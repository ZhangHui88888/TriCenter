
<file path=[Content_Types].xml><?xml version="1.0" encoding="utf-8"?>
<Types xmlns="http://schemas.openxmlformats.org/package/2006/content-types">
  <Default Extension="xml" ContentType="application/xml"/>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4750" windowHeight="10030"/>
  </bookViews>
  <sheets>
    <sheet name="1.1 常州市产业带调研" sheetId="14" r:id="rId1"/>
    <sheet name="1.2 产业带调研汇总表" sheetId="7" r:id="rId2"/>
    <sheet name="2.1 周度建联企业情况表" sheetId="8" r:id="rId3"/>
    <sheet name="2.2 企业周报" sheetId="9" r:id="rId4"/>
    <sheet name="3.1 重点企业情况分析" sheetId="16" r:id="rId5"/>
    <sheet name="4.1 商业化意向表" sheetId="17" r:id="rId6"/>
    <sheet name="5.1 商业化收入统计表" sheetId="18" r:id="rId7"/>
  </sheets>
  <definedNames>
    <definedName name="_xlnm._FilterDatabase" localSheetId="0" hidden="1">'1.1 常州市产业带调研'!$B$2:$BP$969</definedName>
    <definedName name="_xlnm._FilterDatabase" localSheetId="2" hidden="1">'2.1 周度建联企业情况表'!$A$2:$FP$67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<sst xmlns="http://schemas.openxmlformats.org/spreadsheetml/2006/main" count="5896" uniqueCount="2692">
  <si>
    <t>序号</t>
  </si>
  <si>
    <t>企业基本信息</t>
  </si>
  <si>
    <t>产品与服务信息</t>
  </si>
  <si>
    <t>供应链与产能</t>
  </si>
  <si>
    <t>外贸及跨境电商能力</t>
  </si>
  <si>
    <t>政策与资源需求</t>
  </si>
  <si>
    <t>企业竞争力与风险</t>
  </si>
  <si>
    <t>跨境需求和痛点 
（答案为“是”的情况，请详细描述需求）</t>
  </si>
  <si>
    <t>三中心评估</t>
  </si>
  <si>
    <t>三中心初步评估</t>
  </si>
  <si>
    <t>企业名称</t>
  </si>
  <si>
    <t>区域</t>
  </si>
  <si>
    <t>公司地址</t>
  </si>
  <si>
    <t>成立时间</t>
  </si>
  <si>
    <t>企业类型</t>
  </si>
  <si>
    <t>所属行业</t>
  </si>
  <si>
    <t>员工规模</t>
  </si>
  <si>
    <t>年营业额（万元）</t>
  </si>
  <si>
    <t>联系人</t>
  </si>
  <si>
    <t>电话</t>
  </si>
  <si>
    <t>企业官网</t>
  </si>
  <si>
    <t>核心产品，服务</t>
  </si>
  <si>
    <t>主要应用领域</t>
  </si>
  <si>
    <t>产品认证</t>
  </si>
  <si>
    <t>自主品牌
是（填写品牌名称），否</t>
  </si>
  <si>
    <t>主要销售市场</t>
  </si>
  <si>
    <t>主要销售国家</t>
  </si>
  <si>
    <t>联系情况</t>
  </si>
  <si>
    <t>原材料本地采购比例</t>
  </si>
  <si>
    <t>生产设备自动化程度</t>
  </si>
  <si>
    <t>年产能</t>
  </si>
  <si>
    <t>库存管理模式</t>
  </si>
  <si>
    <t>物流合作方</t>
  </si>
  <si>
    <t>外贸模式 
（没有填“无", 有则填贸易代码如0110）</t>
  </si>
  <si>
    <t>是否有国内电商经验 （Y，N)</t>
  </si>
  <si>
    <t>是否有进出口收发货人资质 
（是，否）</t>
  </si>
  <si>
    <t>报关申报主体模式</t>
  </si>
  <si>
    <t>外贸业务团队模式</t>
  </si>
  <si>
    <t>外贸数据
（人民币）</t>
  </si>
  <si>
    <t>是否开展跨境电商</t>
  </si>
  <si>
    <t>主要跨境平台</t>
  </si>
  <si>
    <t>跨境业务占比</t>
  </si>
  <si>
    <t>跨境物流模式</t>
  </si>
  <si>
    <t>支付结算方式</t>
  </si>
  <si>
    <t>跨境电商团队规模</t>
  </si>
  <si>
    <t>是否享受过政策支持</t>
  </si>
  <si>
    <t>希望获得的支持</t>
  </si>
  <si>
    <t>合作需求</t>
  </si>
  <si>
    <t>行业竞争地位</t>
  </si>
  <si>
    <t>主要竞争对手</t>
  </si>
  <si>
    <t>当前面临风险</t>
  </si>
  <si>
    <t>是否有转型跨境意愿</t>
  </si>
  <si>
    <t>代运营</t>
  </si>
  <si>
    <t>流量营销</t>
  </si>
  <si>
    <t>跨境相关培训</t>
  </si>
  <si>
    <t>品牌孵化</t>
  </si>
  <si>
    <t>人才需求</t>
  </si>
  <si>
    <t>工位需求</t>
  </si>
  <si>
    <t>是否签约
入驻三中心</t>
  </si>
  <si>
    <t>是否注册
至三中心</t>
  </si>
  <si>
    <t>跨境政策需求</t>
  </si>
  <si>
    <t>与三中心合作主要需求</t>
  </si>
  <si>
    <t>不考虑三中心合作主要顾虑</t>
  </si>
  <si>
    <t>企业服务合作可能性</t>
  </si>
  <si>
    <t>招商入驻合作可能性</t>
  </si>
  <si>
    <t>孵化转型合作可能性</t>
  </si>
  <si>
    <t>品牌营销合作可能性</t>
  </si>
  <si>
    <t>人才培训合作可能性</t>
  </si>
  <si>
    <t>跨境整体方案合作可能性</t>
  </si>
  <si>
    <t>其它补充说明</t>
  </si>
  <si>
    <t>调研日期</t>
  </si>
  <si>
    <t>调研人员</t>
  </si>
  <si>
    <t>外贸或者跨境转型意愿</t>
  </si>
  <si>
    <t>愿意投入转型的程度</t>
  </si>
  <si>
    <t>成为三中心重点孵化标杆企业的可能</t>
  </si>
  <si>
    <t>备注</t>
  </si>
  <si>
    <t>需求</t>
  </si>
  <si>
    <t>汉得利（常州）电子股份有限公司</t>
  </si>
  <si>
    <t>新北</t>
  </si>
  <si>
    <t xml:space="preserve">新北区黄河西路199号                  </t>
  </si>
  <si>
    <t>生产型</t>
  </si>
  <si>
    <t>汽配</t>
  </si>
  <si>
    <t>王凌峰</t>
  </si>
  <si>
    <t>电声元器件</t>
  </si>
  <si>
    <t>0110</t>
  </si>
  <si>
    <t>是</t>
  </si>
  <si>
    <t>自营</t>
  </si>
  <si>
    <t>独立站</t>
  </si>
  <si>
    <t>朱晓春</t>
  </si>
  <si>
    <t>负责人不愿意详细沟通企业情况，在国外有分公司，已经加了微信，后续可以推一些培训会议内容，2026.01.29 参会企业</t>
  </si>
  <si>
    <t>常州市华尔菲车辆配件有限公</t>
  </si>
  <si>
    <t>丹阳市丹北镇新桥天洋集团新厂</t>
  </si>
  <si>
    <t>戎经理</t>
  </si>
  <si>
    <t>皮卡配件保险杠，尾灯</t>
  </si>
  <si>
    <t>huaerfei</t>
  </si>
  <si>
    <t>中东</t>
  </si>
  <si>
    <t>自营团队</t>
  </si>
  <si>
    <t>否</t>
  </si>
  <si>
    <t>中小企业</t>
  </si>
  <si>
    <t>自主开发周期长</t>
  </si>
  <si>
    <t>代运营，获客与投放，办公场地与工位，品牌定位与规划设计，人才培养，人才招聘</t>
  </si>
  <si>
    <t>斯塔里智能科技有限公司</t>
  </si>
  <si>
    <t>谢寅琪</t>
  </si>
  <si>
    <t>常州博纳车辆部件有限公司</t>
  </si>
  <si>
    <t>江苏省常州市新北区环镇北路190号</t>
  </si>
  <si>
    <t>管成</t>
  </si>
  <si>
    <t>常州市澍普曼车辆部件有限公司</t>
  </si>
  <si>
    <t>新北区孟河镇艳阳路62号</t>
  </si>
  <si>
    <t>朱亚琴</t>
  </si>
  <si>
    <t>车灯，内饰</t>
  </si>
  <si>
    <t>江苏飞拓</t>
  </si>
  <si>
    <t>新北区小河九龙工业园</t>
  </si>
  <si>
    <t>钱逸南</t>
  </si>
  <si>
    <t>江苏永明汽车部件有限公司</t>
  </si>
  <si>
    <t>新北区孟河镇晨风路9号</t>
  </si>
  <si>
    <t>叶鑫</t>
  </si>
  <si>
    <t>中国</t>
  </si>
  <si>
    <t>常州技天电子有限公司</t>
  </si>
  <si>
    <t>新北区春江镇滨江二路68号</t>
  </si>
  <si>
    <t>何宏伦</t>
  </si>
  <si>
    <t>电路板</t>
  </si>
  <si>
    <t>印度</t>
  </si>
  <si>
    <t>常州爱酷探索车辆配件有限公司</t>
  </si>
  <si>
    <t>孟河</t>
  </si>
  <si>
    <t>跨境电商卖家</t>
  </si>
  <si>
    <t>郑美玲（法人）</t>
  </si>
  <si>
    <t>行李架</t>
  </si>
  <si>
    <t>北美，东南亚</t>
  </si>
  <si>
    <t>代理</t>
  </si>
  <si>
    <t>常州梦泽进出口贸易有限公司</t>
  </si>
  <si>
    <t>江苏省常州市新北区龙锦路1590号现代传媒中心</t>
  </si>
  <si>
    <t xml:space="preserve">杨富 </t>
  </si>
  <si>
    <t>陈溪</t>
  </si>
  <si>
    <t>常州润杰汽车饰件有限公司</t>
  </si>
  <si>
    <t>新北区孟河镇建设路20号</t>
  </si>
  <si>
    <t>沈经理</t>
  </si>
  <si>
    <t>常州市浩晟车辆部件有限公司</t>
  </si>
  <si>
    <t>新北区孟河镇青河路98号25幢25-2号</t>
  </si>
  <si>
    <t>徐鹏飞</t>
  </si>
  <si>
    <t>汽车改装件</t>
  </si>
  <si>
    <t>欧洲</t>
  </si>
  <si>
    <t>常州泰牛电子科技有限公司</t>
  </si>
  <si>
    <t>孟河镇仇巷路1号</t>
  </si>
  <si>
    <t>2000万</t>
  </si>
  <si>
    <t>吴总</t>
  </si>
  <si>
    <t>改装车灯</t>
  </si>
  <si>
    <t>美国</t>
  </si>
  <si>
    <t>国际站</t>
  </si>
  <si>
    <t>常州力凯新材料科技有限公司</t>
  </si>
  <si>
    <t>新北区信息大道6号</t>
  </si>
  <si>
    <t>新材料</t>
  </si>
  <si>
    <t>陈先生</t>
  </si>
  <si>
    <t>抗震领域新材料，纳米材料</t>
  </si>
  <si>
    <t>无外贸团队，无自营出口资质，产品出给贸易公司，不清楚卖到哪里，有做外贸的想法，后续保持沟通</t>
  </si>
  <si>
    <t>常州依丽芙</t>
  </si>
  <si>
    <t>新北区龙锦路1590号3号楼21</t>
  </si>
  <si>
    <t>贸易型</t>
  </si>
  <si>
    <t>李博聃</t>
  </si>
  <si>
    <t>常州初心怡悦电子商务有限公司</t>
  </si>
  <si>
    <t>新北区三井街道保纳商业广场2幢413室</t>
  </si>
  <si>
    <t>刘怡</t>
  </si>
  <si>
    <t>常州市聚瑞电子商务有限公司</t>
  </si>
  <si>
    <t>新北区万达广场2-2609</t>
  </si>
  <si>
    <t>徐军卫</t>
  </si>
  <si>
    <t>常州西亚图国际贸易有限公司</t>
  </si>
  <si>
    <t>新北区太湖中路8号A座2楼D室</t>
  </si>
  <si>
    <t>潘锦涛</t>
  </si>
  <si>
    <t>常州悦承汽车用品有限公司</t>
  </si>
  <si>
    <t>新北区太湖东路9号4幢6楼631室</t>
  </si>
  <si>
    <t>钟活添</t>
  </si>
  <si>
    <t xml:space="preserve">常州雅思特新材料有限公司                                                    </t>
  </si>
  <si>
    <t>新北区河海西路259号2幢1层西侧</t>
  </si>
  <si>
    <t>11.24对方不愿细说</t>
  </si>
  <si>
    <t>常州市凌越装备科技有限公司</t>
  </si>
  <si>
    <t>新北区孟河镇艳阳路58号</t>
  </si>
  <si>
    <t>2020</t>
  </si>
  <si>
    <t>时间过太久，不愿意了解</t>
  </si>
  <si>
    <t>常州市辉睿车业有限公司</t>
  </si>
  <si>
    <t>新北区孟河镇环镇北路211号</t>
  </si>
  <si>
    <t>2017</t>
  </si>
  <si>
    <t>中东，非洲</t>
  </si>
  <si>
    <t>拒绝沟通</t>
  </si>
  <si>
    <t>常州亨达车业部件有限公司</t>
  </si>
  <si>
    <t>新北区孟河镇九龙路65号</t>
  </si>
  <si>
    <t>2002</t>
  </si>
  <si>
    <t>中东，非洲，南美，
欧洲，东南亚</t>
  </si>
  <si>
    <t>常州豪杰模塑有限公司</t>
  </si>
  <si>
    <t>新北区孟河镇孙家路5号</t>
  </si>
  <si>
    <t>德国，美国，南非</t>
  </si>
  <si>
    <t>跨境电商发展盈余</t>
  </si>
  <si>
    <t>常州汇丰车辆配件厂</t>
  </si>
  <si>
    <t>新北区孟河镇环镇北路238号</t>
  </si>
  <si>
    <t>2013</t>
  </si>
  <si>
    <t>欧洲，东南亚，中东</t>
  </si>
  <si>
    <t>美国，加拿大，俄罗斯</t>
  </si>
  <si>
    <t>不感兴趣</t>
  </si>
  <si>
    <t>常州悠品汽车部件有限公司</t>
  </si>
  <si>
    <t>新北区孟河镇小河汤路二路8号</t>
  </si>
  <si>
    <t>2014</t>
  </si>
  <si>
    <t>电话未接通</t>
  </si>
  <si>
    <t>新北区孟河镇九龙工业区28号</t>
  </si>
  <si>
    <t>北美，南美，北非，
中东，南亚</t>
  </si>
  <si>
    <t>不愿意多交流</t>
  </si>
  <si>
    <t>常州市东方醒狮车辆配件有限公司</t>
  </si>
  <si>
    <t>新北区孟河镇小河兴镇北50幢</t>
  </si>
  <si>
    <t>2001</t>
  </si>
  <si>
    <t>全球</t>
  </si>
  <si>
    <t>已加微信，后续再看</t>
  </si>
  <si>
    <t>常州市天辰车辆部件有限公司</t>
  </si>
  <si>
    <t>新北区孟河镇九龙路30号</t>
  </si>
  <si>
    <t>2010</t>
  </si>
  <si>
    <t>欧洲，中东，南美，非洲</t>
  </si>
  <si>
    <t>电话未拨通</t>
  </si>
  <si>
    <t>新北区孟河镇仇巷路1号</t>
  </si>
  <si>
    <t>欧洲，东南亚，中东，中亚</t>
  </si>
  <si>
    <t>俄罗斯，美国，巴西，印度</t>
  </si>
  <si>
    <t>之前已经联系过，目前不感兴趣</t>
  </si>
  <si>
    <t>常州小河水清包装材料厂</t>
  </si>
  <si>
    <t>新北区孟河镇向阳路8号</t>
  </si>
  <si>
    <t>2009</t>
  </si>
  <si>
    <t>工厂不是跨境卖家，对跨境电商发展没方向</t>
  </si>
  <si>
    <t>常州市富江车业有限公司</t>
  </si>
  <si>
    <t>新北区孟河镇沿江路</t>
  </si>
  <si>
    <t>2005</t>
  </si>
  <si>
    <t>北美</t>
  </si>
  <si>
    <t>供应链完整，暂时不需要</t>
  </si>
  <si>
    <t>常州闻琪车辆部件厂</t>
  </si>
  <si>
    <t>新北区孟河镇晨风路1-5号</t>
  </si>
  <si>
    <t>2003</t>
  </si>
  <si>
    <t>东南亚，中东，非洲，
南美，欧洲</t>
  </si>
  <si>
    <t>常州市驰君安车辆部件制造有限公司</t>
  </si>
  <si>
    <t>常州劲捷汽车零部件有限公司</t>
  </si>
  <si>
    <t>新北区孟河镇环城西路49号</t>
  </si>
  <si>
    <t>2012</t>
  </si>
  <si>
    <t>目前没有别的需要</t>
  </si>
  <si>
    <t>江苏时氪装备科技有限公司</t>
  </si>
  <si>
    <t>新北区典雅商业广场3幢四层58号</t>
  </si>
  <si>
    <t>2022</t>
  </si>
  <si>
    <t>常州鑫凯车辆部件有限公司</t>
  </si>
  <si>
    <t>新北区孟河镇董家村新村280号</t>
  </si>
  <si>
    <t>欧洲，</t>
  </si>
  <si>
    <t>德国，以色列，土耳其</t>
  </si>
  <si>
    <t>暂时不考虑</t>
  </si>
  <si>
    <t>常州大航车业有限公司</t>
  </si>
  <si>
    <t>新北区孟河镇环镇北路242号</t>
  </si>
  <si>
    <t>2016</t>
  </si>
  <si>
    <t>台湾，美国，印尼，泰国，英国 加拿大</t>
  </si>
  <si>
    <t>维泰汽车科技（江苏）有限公司</t>
  </si>
  <si>
    <t>新北区孟河镇通江工业园望江路28号</t>
  </si>
  <si>
    <t>2019</t>
  </si>
  <si>
    <t>新北区孟河镇通江工业园晨风路9号</t>
  </si>
  <si>
    <t>美国，泰国</t>
  </si>
  <si>
    <t>不愿与透露公司信息，不配合</t>
  </si>
  <si>
    <t>常州市凯凌车配有限公司</t>
  </si>
  <si>
    <t>新北区孟河镇九龙路31号</t>
  </si>
  <si>
    <t>2000</t>
  </si>
  <si>
    <t>东南亚，欧洲，美洲，非洲</t>
  </si>
  <si>
    <t>目前暂无兴趣</t>
  </si>
  <si>
    <t>常州市迪心车辆部件有限公司</t>
  </si>
  <si>
    <t>新北区孟河镇银河村委四圩棣13号</t>
  </si>
  <si>
    <t>2011</t>
  </si>
  <si>
    <t>常州市时俊车辆饰件有限公司</t>
  </si>
  <si>
    <t>新北区孟河镇富民工业园</t>
  </si>
  <si>
    <t>北美，亚洲</t>
  </si>
  <si>
    <t>美国，土耳其</t>
  </si>
  <si>
    <t>常州市茗菁秀裕车业有限公司</t>
  </si>
  <si>
    <t>新北区孟河镇通江工业园明阳路5号</t>
  </si>
  <si>
    <t>常州市怡江汽车部件有限公司</t>
  </si>
  <si>
    <t>新北区孟河镇小河路1-1号</t>
  </si>
  <si>
    <t>常州市飞拓模塑有限公司</t>
  </si>
  <si>
    <t>新北区孟河镇九龙工业园</t>
  </si>
  <si>
    <t>1995</t>
  </si>
  <si>
    <t>常州市铂钒汽车零部件有限公司</t>
  </si>
  <si>
    <t>江苏华利沃车辆部件有限公司</t>
  </si>
  <si>
    <t>新北区春江镇青城工业园青城295号</t>
  </si>
  <si>
    <t>常州成峰车业有限公司</t>
  </si>
  <si>
    <t>新北区孟河镇小河工业园汽摩路11号</t>
  </si>
  <si>
    <t>常州中孚鼎汽配有限公司</t>
  </si>
  <si>
    <t>新北区孟河镇建设路28号</t>
  </si>
  <si>
    <t>2021</t>
  </si>
  <si>
    <t>常州市沿江欣业车辆部件厂</t>
  </si>
  <si>
    <t>新北区孟河镇汤家村</t>
  </si>
  <si>
    <t>2007</t>
  </si>
  <si>
    <t>常州明治汽车配件有限公司</t>
  </si>
  <si>
    <t>常州市鼎峰灯业有限公司</t>
  </si>
  <si>
    <t>新北区孟河镇望江路21-2号</t>
  </si>
  <si>
    <t>江苏美龙时宇电子科技有限公司</t>
  </si>
  <si>
    <t>新北区孟河镇锦江路5号</t>
  </si>
  <si>
    <t>江苏海丰国际货运代理</t>
  </si>
  <si>
    <t>新北区曼哈顿广场3-3楼</t>
  </si>
  <si>
    <t>2008</t>
  </si>
  <si>
    <t>服务商</t>
  </si>
  <si>
    <t>海路运输</t>
  </si>
  <si>
    <t>洪杰</t>
  </si>
  <si>
    <t>常州微森智能装备有限公司</t>
  </si>
  <si>
    <t>新北区春江街道百丈东街3号</t>
  </si>
  <si>
    <t>通用设备</t>
  </si>
  <si>
    <t>宣庆政</t>
  </si>
  <si>
    <t>常州博德克进出口有限公司</t>
  </si>
  <si>
    <t>新北区三井街道镜湖路2号</t>
  </si>
  <si>
    <t>2024</t>
  </si>
  <si>
    <t>批发业</t>
  </si>
  <si>
    <t>马磊</t>
  </si>
  <si>
    <t>常州吉尔盛工业设备有限公司</t>
  </si>
  <si>
    <t>新北区高新科技园3号楼E座207室</t>
  </si>
  <si>
    <t>批发商</t>
  </si>
  <si>
    <t>陈景远</t>
  </si>
  <si>
    <t>常州市墅乐厨具有限公司</t>
  </si>
  <si>
    <t>新北区西夏墅镇翠屏湖路19号</t>
  </si>
  <si>
    <t>1973</t>
  </si>
  <si>
    <t>工贸一体</t>
  </si>
  <si>
    <t>厨具</t>
  </si>
  <si>
    <t>王林浩</t>
  </si>
  <si>
    <t>江苏申皇纺织集团</t>
  </si>
  <si>
    <t>新北区太湖东路103-505室</t>
  </si>
  <si>
    <t>纺织业</t>
  </si>
  <si>
    <t>丁鹿鸣</t>
  </si>
  <si>
    <t>常州安菲德国际贸易有限公司</t>
  </si>
  <si>
    <t>新北区高新科技园10号楼东楼201-19室</t>
  </si>
  <si>
    <t>2025</t>
  </si>
  <si>
    <t>汽车配件</t>
  </si>
  <si>
    <t>常州青山网络科技有限公司</t>
  </si>
  <si>
    <t>江苏省常州市新北区通江中路77号府琛商务广场B区2号楼</t>
  </si>
  <si>
    <t>2015</t>
  </si>
  <si>
    <t>高新技术业</t>
  </si>
  <si>
    <t>张培玉</t>
  </si>
  <si>
    <t>常州筑基贸易有限公司</t>
  </si>
  <si>
    <t>江苏省常州市新北区三井街道府琛商务广场2幢1510室</t>
  </si>
  <si>
    <t>批发零售业</t>
  </si>
  <si>
    <t>黄添</t>
  </si>
  <si>
    <t>常州安兴信息科技有限公司</t>
  </si>
  <si>
    <t>常州市新北区新桥镇汉江西路91号</t>
  </si>
  <si>
    <t>信息传输软件业</t>
  </si>
  <si>
    <t>吴义军</t>
  </si>
  <si>
    <t>常州千颂伊科技有限公司</t>
  </si>
  <si>
    <t>常州市新北区华山路18号</t>
  </si>
  <si>
    <t>技术进出口</t>
  </si>
  <si>
    <t>王建</t>
  </si>
  <si>
    <t>常州魔方科技有限公司</t>
  </si>
  <si>
    <t>常州新北区常州创意园e座728</t>
  </si>
  <si>
    <t>专业设计服务</t>
  </si>
  <si>
    <t>陈琦</t>
  </si>
  <si>
    <t>常州清禾车辆配件有限公司</t>
  </si>
  <si>
    <t>江苏省常州市新北区太湖东路9号4幢1026室</t>
  </si>
  <si>
    <t>2023</t>
  </si>
  <si>
    <t>郑美玲</t>
  </si>
  <si>
    <t>常州布洛瑟姆进出口贸易有限公司</t>
  </si>
  <si>
    <t>常州市新北万达广场5-1823室（最新年报地址：新北区汉江路128号9号楼218室）</t>
  </si>
  <si>
    <t>2018</t>
  </si>
  <si>
    <t>纺织品</t>
  </si>
  <si>
    <t>金茜钰</t>
  </si>
  <si>
    <t>空号</t>
  </si>
  <si>
    <t>常州元韬精密切削技术有限公司</t>
  </si>
  <si>
    <t>常州市孟河镇万绥街齐梁路130号（办公地址：新北区太湖中路8号锦湖创新中心A座5楼）</t>
  </si>
  <si>
    <t>刀具</t>
  </si>
  <si>
    <t>王希萍</t>
  </si>
  <si>
    <t>接通后直接挂断</t>
  </si>
  <si>
    <t>常州市吉亿金属有限公司</t>
  </si>
  <si>
    <t>新北区常州市新北区薛家镇吕南路29号</t>
  </si>
  <si>
    <t>2925</t>
  </si>
  <si>
    <t>扳机</t>
  </si>
  <si>
    <t>顾经理</t>
  </si>
  <si>
    <t>金属桌椅，展架，超声波设备</t>
  </si>
  <si>
    <t>仓库，车库，车间</t>
  </si>
  <si>
    <t>metrixpio</t>
  </si>
  <si>
    <t>亚马逊，国际站，1688</t>
  </si>
  <si>
    <t>海运</t>
  </si>
  <si>
    <t>1准备搭建独立站，独立站服务商已有，后续Google推广运营有需求    2，产品生产供应商需要协助找寻</t>
  </si>
  <si>
    <t>货物运输中受损导致亚马逊退换货</t>
  </si>
  <si>
    <t>无</t>
  </si>
  <si>
    <t>单个货值150美金，产品较重，运输过程会有破损，</t>
  </si>
  <si>
    <t>2025，11，18</t>
  </si>
  <si>
    <t>常州云帆广告用品有限公司</t>
  </si>
  <si>
    <t>新北区黄山路217号10118室</t>
  </si>
  <si>
    <t>邓磊</t>
  </si>
  <si>
    <t xml:space="preserve">13775213519 </t>
  </si>
  <si>
    <t>江苏裕成电子有限公司</t>
  </si>
  <si>
    <t>奔牛镇运南路206号</t>
  </si>
  <si>
    <t>1994</t>
  </si>
  <si>
    <t>电子</t>
  </si>
  <si>
    <t>施梦萱</t>
  </si>
  <si>
    <t xml:space="preserve">13685205829 </t>
  </si>
  <si>
    <t>常州谌安化工科技</t>
  </si>
  <si>
    <t>新北区典雅商业广场1幢906室</t>
  </si>
  <si>
    <t>化工</t>
  </si>
  <si>
    <t>施丽娟</t>
  </si>
  <si>
    <t xml:space="preserve">13775182878 </t>
  </si>
  <si>
    <t>千代众享（常州）科贸有限公司</t>
  </si>
  <si>
    <t>新北区</t>
  </si>
  <si>
    <t>王晓庆</t>
  </si>
  <si>
    <t>电动自行车，电动滑板</t>
  </si>
  <si>
    <t>东亚，欧洲，北美</t>
  </si>
  <si>
    <t>中国，美国</t>
  </si>
  <si>
    <t>2026，12，2</t>
  </si>
  <si>
    <t>2026.01.29 参会企业</t>
  </si>
  <si>
    <t>江苏凌越装备有限公司</t>
  </si>
  <si>
    <t>2026，12，25</t>
  </si>
  <si>
    <t>玖赐服饰</t>
  </si>
  <si>
    <t>2026，12，22</t>
  </si>
  <si>
    <t>常州爱尔威智能科技有限公司</t>
  </si>
  <si>
    <t>2026，12，9</t>
  </si>
  <si>
    <t>江苏骠马电力科技有限公司</t>
  </si>
  <si>
    <t>新北区汉江西路999号</t>
  </si>
  <si>
    <t>智能机器人</t>
  </si>
  <si>
    <t>张鸿峰</t>
  </si>
  <si>
    <t>http://www.piaomazn.com/case/</t>
  </si>
  <si>
    <t>工业机器人</t>
  </si>
  <si>
    <t>电网，通讯运营商，发电厂</t>
  </si>
  <si>
    <t>国内认证</t>
  </si>
  <si>
    <t>北美，东亚</t>
  </si>
  <si>
    <t>对于跨境电商有拓展计划，目前方向还没确认tob或toc，年后才能确认业务开展方向，保持联系</t>
  </si>
  <si>
    <t>跨境市场调研及产品方向确认，代运营需求</t>
  </si>
  <si>
    <t>跨境整体营销策划</t>
  </si>
  <si>
    <t>强</t>
  </si>
  <si>
    <t>2026，1，20</t>
  </si>
  <si>
    <t>代运营，获客与投放，人才培养</t>
  </si>
  <si>
    <t>常州仪轩激光</t>
  </si>
  <si>
    <t>新北区三井街道太湖东路9号4幢2层217</t>
  </si>
  <si>
    <t>技术服务型</t>
  </si>
  <si>
    <t>3c</t>
  </si>
  <si>
    <t>不透露</t>
  </si>
  <si>
    <t>李明</t>
  </si>
  <si>
    <t>量子点火器，充电宝</t>
  </si>
  <si>
    <t>电子产品</t>
  </si>
  <si>
    <t>希望开展跨境平台全托管业务，目前尚未量产，需要做完市场调研后开始进行</t>
  </si>
  <si>
    <t>有（电商团队）</t>
  </si>
  <si>
    <t>待定</t>
  </si>
  <si>
    <t>2026，1，29</t>
  </si>
  <si>
    <t>常州佑伴生企业管理咨询有限公司</t>
  </si>
  <si>
    <t>常州市新北区奔牛镇工业园区龙城大道2687号</t>
  </si>
  <si>
    <t>服务业</t>
  </si>
  <si>
    <t>李元江</t>
  </si>
  <si>
    <t>针对企业人力资源管理咨询，针对企业数智化产品开发，针对出海企业服务产品</t>
  </si>
  <si>
    <t>常州礼云科技有限公司</t>
  </si>
  <si>
    <t>常州市新北区龙锦路1590号现代传媒中心1号楼1601室（G292）</t>
  </si>
  <si>
    <t>潘红梅</t>
  </si>
  <si>
    <t>保健枕</t>
  </si>
  <si>
    <t>跨境培训需求</t>
  </si>
  <si>
    <t>拉卡拉支付股份有限公司</t>
  </si>
  <si>
    <t>常州市新北区传媒大厦</t>
  </si>
  <si>
    <t>沈翠</t>
  </si>
  <si>
    <t>支付系统</t>
  </si>
  <si>
    <t>2026.02.05 参会企业</t>
  </si>
  <si>
    <t>常州墨尔科技有限公司</t>
  </si>
  <si>
    <t>常州市新北区太湖中路21号706室</t>
  </si>
  <si>
    <t>80万美金</t>
  </si>
  <si>
    <t>程志鹏</t>
  </si>
  <si>
    <t>门禁卡，电子标签等</t>
  </si>
  <si>
    <t>欧洲，北美</t>
  </si>
  <si>
    <t>目前公司规模较小，业务饱和，但是目前没有太大精发展业务，考虑做独立站建站引流推广。</t>
  </si>
  <si>
    <t>2026，3，5</t>
  </si>
  <si>
    <t>Google网站推广效果一般，已暂停，缺少运营人员，不愿意继续招人</t>
  </si>
  <si>
    <t>常州晟皓智能科技有限公司</t>
  </si>
  <si>
    <t>新北区通江中路315号B座10楼（星北大厦</t>
  </si>
  <si>
    <t>信息工程</t>
  </si>
  <si>
    <t>7千万</t>
  </si>
  <si>
    <t>龚总</t>
  </si>
  <si>
    <t>信息面板，配线架，理线器，光纤，光纤配线架，</t>
  </si>
  <si>
    <t>通信</t>
  </si>
  <si>
    <t>卓拉</t>
  </si>
  <si>
    <t xml:space="preserve">外贸人员1人，2006年开始运营，国内已注册，2024年京东跨境投入十几万运营失败，阿里1688国内投入失败。25年开始搭建独立站，目前效果一般
</t>
  </si>
  <si>
    <t>1，专业外贸人员需要招聘1-2人                   2，产品检测认证            3，海外经销商及代理商渠道拓展</t>
  </si>
  <si>
    <t>2026.2.10</t>
  </si>
  <si>
    <t>邹总，朱晓春</t>
  </si>
  <si>
    <t>跨境电商行业零基础，公司确认专业外贸人员，产品缺少海外认证</t>
  </si>
  <si>
    <t>代运营，获客与投放，品牌定位与规划设计，人才培养，人才招聘</t>
  </si>
  <si>
    <t>江苏康华医疗器材有限公司</t>
  </si>
  <si>
    <t>天宁</t>
  </si>
  <si>
    <t>常州市天宁区郑陆镇三河口</t>
  </si>
  <si>
    <t>1985</t>
  </si>
  <si>
    <t>医疗器械</t>
  </si>
  <si>
    <t>邹明新</t>
  </si>
  <si>
    <t>一次性医疗器材</t>
  </si>
  <si>
    <t>医院</t>
  </si>
  <si>
    <t>CE</t>
  </si>
  <si>
    <t>常宝</t>
  </si>
  <si>
    <t>头部企业</t>
  </si>
  <si>
    <t>江苏康进医疗器材有限公司</t>
  </si>
  <si>
    <t>郑陆镇常郑路56号</t>
  </si>
  <si>
    <t>5000以上</t>
  </si>
  <si>
    <t>瞿晓峰</t>
  </si>
  <si>
    <t>Http//:www.kangjin.cn</t>
  </si>
  <si>
    <t>各类医疗器械的生产，研发，销售</t>
  </si>
  <si>
    <t>医院临床耗材，微创手术器械，康复治疗器械</t>
  </si>
  <si>
    <t>康进</t>
  </si>
  <si>
    <t>东南亚，欧洲，中东，南美，美国 </t>
  </si>
  <si>
    <t>中国，俄罗斯</t>
  </si>
  <si>
    <t>8026</t>
  </si>
  <si>
    <t>规则培训，财政补助</t>
  </si>
  <si>
    <t>在了解跨境电商规则情况下决定</t>
  </si>
  <si>
    <t>国内同行</t>
  </si>
  <si>
    <t>国内集采售价下降，利润下降；国外同样面临国内出口企业的无序竞争</t>
  </si>
  <si>
    <t>制定国际出口产品售价战略联盟，使出口产品能保持一定毛利</t>
  </si>
  <si>
    <t>常州市回春医疗器材有限公司</t>
  </si>
  <si>
    <t>天宁区郑陆镇常河路路6号</t>
  </si>
  <si>
    <t>丁建龙</t>
  </si>
  <si>
    <t>www.huichun.cn</t>
  </si>
  <si>
    <t>一次性使用注射器，输液器</t>
  </si>
  <si>
    <t>医疗</t>
  </si>
  <si>
    <t>ISO，CE</t>
  </si>
  <si>
    <t>连叶鱼</t>
  </si>
  <si>
    <t>南美，西亚，非洲，欧洲</t>
  </si>
  <si>
    <t>10000</t>
  </si>
  <si>
    <t>展会补贴，注册证书补贴，检测费用补贴</t>
  </si>
  <si>
    <t>，</t>
  </si>
  <si>
    <t>康华，吉春，宏宇五洲</t>
  </si>
  <si>
    <t>同业恶性竞争，国际客户自设厂房导致需求下降</t>
  </si>
  <si>
    <t>国际形势不稳定，战争影响</t>
  </si>
  <si>
    <t>常州市金利源医疗器械有限公司</t>
  </si>
  <si>
    <t>常州市天宁区郑陆镇三河口溪河西路6号</t>
  </si>
  <si>
    <t>500-5000</t>
  </si>
  <si>
    <t>刘丽霞</t>
  </si>
  <si>
    <t>www.jinliyuanmedical.com</t>
  </si>
  <si>
    <t>一次性注射器，输液器</t>
  </si>
  <si>
    <t>医院，卫生部</t>
  </si>
  <si>
    <t>CH</t>
  </si>
  <si>
    <t>南美，非洲</t>
  </si>
  <si>
    <t>4800</t>
  </si>
  <si>
    <t>常州市佳峰医疗器材有限公司</t>
  </si>
  <si>
    <t>天宁区郑陆镇宁河村</t>
  </si>
  <si>
    <t>制造业</t>
  </si>
  <si>
    <t>吴进德</t>
  </si>
  <si>
    <t>http://www.jf-syringe.com/</t>
  </si>
  <si>
    <t>一次性使用无菌注射器 带针</t>
  </si>
  <si>
    <t>ISO 13485，ISO 9001,CE</t>
  </si>
  <si>
    <t>佳峰</t>
  </si>
  <si>
    <t>欧洲，南美洲，亚洲，非洲</t>
  </si>
  <si>
    <t>4000</t>
  </si>
  <si>
    <t>常州金龙医用塑料器械有限公司</t>
  </si>
  <si>
    <t>常州市天宁区郑陆镇镇南路6号</t>
  </si>
  <si>
    <t>蔡佳</t>
  </si>
  <si>
    <t>www.jinlongmed.com</t>
  </si>
  <si>
    <t>一次性使用注射器一次性使用活体取样钳</t>
  </si>
  <si>
    <t>医用</t>
  </si>
  <si>
    <t>CE,ISO13485</t>
  </si>
  <si>
    <t>畅怡</t>
  </si>
  <si>
    <t>亚洲，欧洲，南美</t>
  </si>
  <si>
    <t>2800</t>
  </si>
  <si>
    <t>TT</t>
  </si>
  <si>
    <t>费用</t>
  </si>
  <si>
    <t>浙江厂家</t>
  </si>
  <si>
    <t>无完全生产资质的半成品代工厂不计成本胡乱降价，影响正规厂家的正常生产经营。</t>
  </si>
  <si>
    <t>业务不稳定</t>
  </si>
  <si>
    <t>常州市创佳医疗器械有限公司</t>
  </si>
  <si>
    <t>常州市天宁区郑陆镇常河路586号</t>
  </si>
  <si>
    <t>徐佳</t>
  </si>
  <si>
    <t>www.cancan.com</t>
  </si>
  <si>
    <t>一次性使用注射器，尿袋，扩张器</t>
  </si>
  <si>
    <t>创嘉</t>
  </si>
  <si>
    <t>5000</t>
  </si>
  <si>
    <t>江苏吉春医用器材有限公司</t>
  </si>
  <si>
    <t>天宁区郑陆镇东白洋98号</t>
  </si>
  <si>
    <t>轻工业</t>
  </si>
  <si>
    <t>王烨</t>
  </si>
  <si>
    <t>051988733998</t>
  </si>
  <si>
    <t>http://www.chinajichun.com/cn/</t>
  </si>
  <si>
    <t>卫生材料和医用制品</t>
  </si>
  <si>
    <t>CE，ISO13485</t>
  </si>
  <si>
    <t>JJMD</t>
  </si>
  <si>
    <t>欧洲，南美，中亚，东南亚，非洲，中东</t>
  </si>
  <si>
    <t>7000</t>
  </si>
  <si>
    <t>常州市双马医疗器材有限公司</t>
  </si>
  <si>
    <t>天宁区郑陆镇三河路220号</t>
  </si>
  <si>
    <t>1999</t>
  </si>
  <si>
    <t>徐伟</t>
  </si>
  <si>
    <t>一次性注射器，输液器，扩阴器，等</t>
  </si>
  <si>
    <t>9000体系认证，CE认证等</t>
  </si>
  <si>
    <t>神舟牌</t>
  </si>
  <si>
    <t>德国，法国，泰国，罗马尼亚</t>
  </si>
  <si>
    <t>江苏凯寿医用器材有限公司</t>
  </si>
  <si>
    <t>中国江苏省常州市天宁区郑陆镇三河口街</t>
  </si>
  <si>
    <t>王小玉</t>
  </si>
  <si>
    <t>kaishou.com.cn</t>
  </si>
  <si>
    <t>导管类</t>
  </si>
  <si>
    <t>外科</t>
  </si>
  <si>
    <t>凯寿</t>
  </si>
  <si>
    <t>东南亚</t>
  </si>
  <si>
    <t>800</t>
  </si>
  <si>
    <t>款到发货</t>
  </si>
  <si>
    <t>常州市恒纶纺织有限公司</t>
  </si>
  <si>
    <t>常州市中吴大道581号</t>
  </si>
  <si>
    <t>纺织</t>
  </si>
  <si>
    <t>王雨恒</t>
  </si>
  <si>
    <t>15195000000</t>
  </si>
  <si>
    <t>https://www.chinahenglun.com/</t>
  </si>
  <si>
    <t>针织面料</t>
  </si>
  <si>
    <t>服装</t>
  </si>
  <si>
    <t>oeko-tex100</t>
  </si>
  <si>
    <t>10906</t>
  </si>
  <si>
    <t>希望</t>
  </si>
  <si>
    <t>常州老三集团有限公司</t>
  </si>
  <si>
    <t>常州市天宁区凤凰路8号</t>
  </si>
  <si>
    <t>陈莉</t>
  </si>
  <si>
    <t>0519-89801800</t>
  </si>
  <si>
    <t>针织面料和服装</t>
  </si>
  <si>
    <t>欧美，东南亚</t>
  </si>
  <si>
    <t>日本</t>
  </si>
  <si>
    <t>60000</t>
  </si>
  <si>
    <t>关税风险</t>
  </si>
  <si>
    <t>常州华利达服装集团有限公司</t>
  </si>
  <si>
    <t>常州市中吴大道599号</t>
  </si>
  <si>
    <t>服装制造</t>
  </si>
  <si>
    <t>宋丽霞</t>
  </si>
  <si>
    <t>羽绒服</t>
  </si>
  <si>
    <t>东亚</t>
  </si>
  <si>
    <t>暂无</t>
  </si>
  <si>
    <t>常州东奥服装有限公司</t>
  </si>
  <si>
    <t>光华路2-1号</t>
  </si>
  <si>
    <t>王月</t>
  </si>
  <si>
    <t>牛仔</t>
  </si>
  <si>
    <t>常州彩帛国际贸易有限公司</t>
  </si>
  <si>
    <t>常州市天宁区红梅街道红梅科技创业园4号楼三楼</t>
  </si>
  <si>
    <t>批发和零售业</t>
  </si>
  <si>
    <t>刘主任</t>
  </si>
  <si>
    <t>www.caibo-indivino.com</t>
  </si>
  <si>
    <t>针织服装</t>
  </si>
  <si>
    <t>日常生活</t>
  </si>
  <si>
    <t>ISO9001，OCS，RCS，OEKO-TEX，BSCI</t>
  </si>
  <si>
    <t>INDIVINO</t>
  </si>
  <si>
    <t>10415.71</t>
  </si>
  <si>
    <t>平台运营，我司按平台需求供货，利益共享</t>
  </si>
  <si>
    <t>需要</t>
  </si>
  <si>
    <t>劳动密集型</t>
  </si>
  <si>
    <t>产品似乎不适合，运营人员成本高，退货换货率高</t>
  </si>
  <si>
    <t>常州市海尚进出口有限公司</t>
  </si>
  <si>
    <t>常州天宁区关河东路44号12A05室</t>
  </si>
  <si>
    <t>王丽华</t>
  </si>
  <si>
    <t>1000</t>
  </si>
  <si>
    <t>常州溢达服装有限公司</t>
  </si>
  <si>
    <t>和平中路346号</t>
  </si>
  <si>
    <t>各类T恤，外套和裤子</t>
  </si>
  <si>
    <t>棉衣工房</t>
  </si>
  <si>
    <t>2500</t>
  </si>
  <si>
    <t>客户资源</t>
  </si>
  <si>
    <t>所有类似产品经营商</t>
  </si>
  <si>
    <t>价格低和成本高</t>
  </si>
  <si>
    <t>无客户 </t>
  </si>
  <si>
    <t>常州市雅轩服装有限公司</t>
  </si>
  <si>
    <t>常州市天宁区九洲新世界15-B幢912室</t>
  </si>
  <si>
    <t>服装贸易进出口</t>
  </si>
  <si>
    <t>功能性防护工作服</t>
  </si>
  <si>
    <t>石油化工，冶炼，焊接，煤炭开采，造船，电力，有易燃试验品的实验室等有易燃，高温风险领域</t>
  </si>
  <si>
    <t>NFPA2112</t>
  </si>
  <si>
    <t>BOCOMAL</t>
  </si>
  <si>
    <t>T，T</t>
  </si>
  <si>
    <t>暂时没有</t>
  </si>
  <si>
    <t>Wrangler</t>
  </si>
  <si>
    <t>品牌升级压力</t>
  </si>
  <si>
    <t>库存</t>
  </si>
  <si>
    <t>常州市服装一厂有限公司</t>
  </si>
  <si>
    <t>兰陵街道中吴大道1512号</t>
  </si>
  <si>
    <t>1979</t>
  </si>
  <si>
    <t>李敏</t>
  </si>
  <si>
    <t>衬衫</t>
  </si>
  <si>
    <t>穿着类</t>
  </si>
  <si>
    <t>东亚，东南亚，欧洲</t>
  </si>
  <si>
    <t>8200</t>
  </si>
  <si>
    <t>本地区规模以上服装生产加工企业</t>
  </si>
  <si>
    <t>行业内部不计成本的内卷，使得我司接单困难极大</t>
  </si>
  <si>
    <t>常州艾贝服饰有限公司</t>
  </si>
  <si>
    <t>常州市青洋北路69号 </t>
  </si>
  <si>
    <t>纺织服装类</t>
  </si>
  <si>
    <t>言小平</t>
  </si>
  <si>
    <t>www.ablejeans.com</t>
  </si>
  <si>
    <t>牛仔类休闲服装</t>
  </si>
  <si>
    <t>成人休闲服</t>
  </si>
  <si>
    <t>ISO9001</t>
  </si>
  <si>
    <t>ABLE JEANS</t>
  </si>
  <si>
    <t>东亚，欧洲</t>
  </si>
  <si>
    <t>常州宁之聚贸易有限公司</t>
  </si>
  <si>
    <t>常州市天宁区创客路28号苏南智城数字产业中心43幢1604室</t>
  </si>
  <si>
    <t>多品类</t>
  </si>
  <si>
    <t>常州丰之通电子商务有限公司（已经加微信）</t>
  </si>
  <si>
    <t>江苏省常州市天宁区丽华北路11号（123）（办公在新北世茂）</t>
  </si>
  <si>
    <t>跨境卖家</t>
  </si>
  <si>
    <t>王娟娟</t>
  </si>
  <si>
    <t>工具</t>
  </si>
  <si>
    <t>常州霍亚智能科技有限公司</t>
  </si>
  <si>
    <t>常州市天宁区郑陆镇三河口委西姚村188号</t>
  </si>
  <si>
    <t>姚亦秀</t>
  </si>
  <si>
    <t>ebike</t>
  </si>
  <si>
    <t>智能电动</t>
  </si>
  <si>
    <t>常州市凯优医疗器械有限公司</t>
  </si>
  <si>
    <t>常州天宁区郑陆镇舜山路69号</t>
  </si>
  <si>
    <t>赵鑫凯</t>
  </si>
  <si>
    <t>https://www.czcareu.cn/</t>
  </si>
  <si>
    <t>尿袋喂食袋</t>
  </si>
  <si>
    <t>麦迪威尔医疗器械有限公司</t>
  </si>
  <si>
    <t>常州天宁区郑陆镇舜南村</t>
  </si>
  <si>
    <t>1997</t>
  </si>
  <si>
    <t>冯栋钫</t>
  </si>
  <si>
    <t>常州海辰装饰材料有限公司</t>
  </si>
  <si>
    <t>常州市天宁区郑陆镇三河口常河路557号</t>
  </si>
  <si>
    <t>吴玉庆</t>
  </si>
  <si>
    <t>地膜及塑料制品</t>
  </si>
  <si>
    <t>常州华宝恒齿轮有限公司</t>
  </si>
  <si>
    <t>常州市天宁区郑陆镇焦溪工业集中区东塘路18号</t>
  </si>
  <si>
    <t>2006</t>
  </si>
  <si>
    <t>齿轮</t>
  </si>
  <si>
    <t>张晓月</t>
  </si>
  <si>
    <t>齿轮以及传动部分</t>
  </si>
  <si>
    <t>常州市海达医疗器械有限公司</t>
  </si>
  <si>
    <t>常州市天宁区郑陆镇三河口工业集中区</t>
  </si>
  <si>
    <t>朱柯楠</t>
  </si>
  <si>
    <t>外科手术器械</t>
  </si>
  <si>
    <t>常州市通达医疗器械有限公司</t>
  </si>
  <si>
    <t>常州市天宁区郑陆镇三河口街</t>
  </si>
  <si>
    <t>1998</t>
  </si>
  <si>
    <t>杨涛</t>
  </si>
  <si>
    <t>注射器</t>
  </si>
  <si>
    <t>常州安克医疗</t>
  </si>
  <si>
    <t>常州市天宁区郑陆镇董墅村常郑路56号</t>
  </si>
  <si>
    <t>吴蕙竹</t>
  </si>
  <si>
    <t>吻合器</t>
  </si>
  <si>
    <t>常州锐德医疗科技有限公司</t>
  </si>
  <si>
    <t>常州市天宁区郑陆镇河丰路8号</t>
  </si>
  <si>
    <t>俞健</t>
  </si>
  <si>
    <t>PVC袋，引流袋，冲洗连接带</t>
  </si>
  <si>
    <t>江苏宇阳医疗</t>
  </si>
  <si>
    <t>常州市天宁区郑陆镇三河口东塘路1号</t>
  </si>
  <si>
    <t>陶选极</t>
  </si>
  <si>
    <t>常州亚特曼国际贸易公司</t>
  </si>
  <si>
    <t>常州市天宁区竹林北路256号天宁科技中心2-904</t>
  </si>
  <si>
    <t>张玉</t>
  </si>
  <si>
    <t>常州润晨国际贸易有限公司</t>
  </si>
  <si>
    <t>常州市天宁区郑陆镇小商品广场</t>
  </si>
  <si>
    <t>家居园艺</t>
  </si>
  <si>
    <t>舒婷</t>
  </si>
  <si>
    <t>18052820320</t>
  </si>
  <si>
    <t>常州第二干燥设备厂</t>
  </si>
  <si>
    <t>常州市天宁区郑陆镇胡家村142号</t>
  </si>
  <si>
    <t>1992</t>
  </si>
  <si>
    <t>干燥设备</t>
  </si>
  <si>
    <t>闵波</t>
  </si>
  <si>
    <t>15806116851</t>
  </si>
  <si>
    <t>常州意恒基业进出口有限公司</t>
  </si>
  <si>
    <t>天宁区和平北路135号840室</t>
  </si>
  <si>
    <t>2004</t>
  </si>
  <si>
    <t>批发</t>
  </si>
  <si>
    <t>常州驰云渡贸易有限公司</t>
  </si>
  <si>
    <t>江苏省常州市天宁区天鹅湖花园8幢406室</t>
  </si>
  <si>
    <t>日用百货</t>
  </si>
  <si>
    <t>徐文豪</t>
  </si>
  <si>
    <t>常州奥里恩科技有限公司</t>
  </si>
  <si>
    <t>江苏省常州市天宁区北塘河路8号恒生科技园29幢303室-6</t>
  </si>
  <si>
    <t>汽车零部件</t>
  </si>
  <si>
    <t>周鑫</t>
  </si>
  <si>
    <t>常州数果科技有限公司</t>
  </si>
  <si>
    <t>常州天宁区恒生科技园29栋509（注册地址：天宁区青龙街道恒生科技园29幢505室）</t>
  </si>
  <si>
    <t>王娇逸</t>
  </si>
  <si>
    <t>昆宇(常州)电子商务有限公司</t>
  </si>
  <si>
    <t>江苏省常州市天宁区茶山街道采华路18号</t>
  </si>
  <si>
    <t>刘倩</t>
  </si>
  <si>
    <t>常州德泰安网络科技有限公司</t>
  </si>
  <si>
    <t>天宁区北塘河路8号恒生科技园二区19幢2-301</t>
  </si>
  <si>
    <t>互联网信息</t>
  </si>
  <si>
    <t>沙瑞阳</t>
  </si>
  <si>
    <t>常州新绎美贸易有限公司</t>
  </si>
  <si>
    <t>常州天宁区恒生科技园2幢601室（注册地址：天宁区兰陵街道浦前社区驴场头105号E座-1114）</t>
  </si>
  <si>
    <t>针纺织品</t>
  </si>
  <si>
    <t>周守志</t>
  </si>
  <si>
    <t>常州市海江干燥设备有限公司</t>
  </si>
  <si>
    <t>杜家村33号附近</t>
  </si>
  <si>
    <t>机械设备</t>
  </si>
  <si>
    <t>姚秋萍</t>
  </si>
  <si>
    <t xml:space="preserve">13776835157 </t>
  </si>
  <si>
    <t>常州鑫丰堂商贸有限公司</t>
  </si>
  <si>
    <t>天宁区福阳路95号天宁高新技术创业服务中心北区办公楼2层c2031</t>
  </si>
  <si>
    <t>智能家居</t>
  </si>
  <si>
    <t>任蒙</t>
  </si>
  <si>
    <t xml:space="preserve">15106126111 </t>
  </si>
  <si>
    <t>常州安斯曼科技有限公司</t>
  </si>
  <si>
    <t>天宁区兰陵街道劳动中路50号A幢1层129室</t>
  </si>
  <si>
    <t>常州卡梅拉电子商务有限公司</t>
  </si>
  <si>
    <t>天宁区科促中心2号楼905</t>
  </si>
  <si>
    <t>常州柚米家居有限公司</t>
  </si>
  <si>
    <t>天宁区科促中心2号楼15楼</t>
  </si>
  <si>
    <t>常州高悦国际贸易有限公司</t>
  </si>
  <si>
    <t>天宁区北太平桥路58号8302室</t>
  </si>
  <si>
    <t>黑牡丹荣元（江苏）服饰有限公司</t>
  </si>
  <si>
    <t>天宁区</t>
  </si>
  <si>
    <t>2026，12，12</t>
  </si>
  <si>
    <t>常州凯罗斯进出口有限公司</t>
  </si>
  <si>
    <t>常州玉豆国际贸易有限公司</t>
  </si>
  <si>
    <t>谢育溪</t>
  </si>
  <si>
    <t>瑜伽用品</t>
  </si>
  <si>
    <t>东南亚，欧洲</t>
  </si>
  <si>
    <t>跨境培训</t>
  </si>
  <si>
    <t>2026，12，23</t>
  </si>
  <si>
    <t>常州同德电器有限公司</t>
  </si>
  <si>
    <t>制造</t>
  </si>
  <si>
    <t>电动自行车</t>
  </si>
  <si>
    <t>北美，欧洲</t>
  </si>
  <si>
    <t>代运营需求┋跨境培训需求┋品牌孵化需求┋海外仓需求</t>
  </si>
  <si>
    <t>2026，12，31</t>
  </si>
  <si>
    <t>运营，海外仓</t>
  </si>
  <si>
    <t>常州方柯威尔电子商务有限公司</t>
  </si>
  <si>
    <t>常州星环供应链有限公司</t>
  </si>
  <si>
    <t>2026，12，29</t>
  </si>
  <si>
    <t>常州磐韵新文化传媒有限公司</t>
  </si>
  <si>
    <t>2026，12，16</t>
  </si>
  <si>
    <t>常州市天宁区佳德斯汽车科技有限公司</t>
  </si>
  <si>
    <t>2026，12，19</t>
  </si>
  <si>
    <t>常州市天宁区艾克斯汽车科技有限公司</t>
  </si>
  <si>
    <t>创志科技（江苏）股份有限公司</t>
  </si>
  <si>
    <t>制药装备</t>
  </si>
  <si>
    <t>诸荷旦</t>
  </si>
  <si>
    <t>流量营销需求┋品牌孵化需求┋企业出海规划方案需求</t>
  </si>
  <si>
    <t>常州浩万国际贸易有限公司</t>
  </si>
  <si>
    <t>常州一步干燥设备有限公司</t>
  </si>
  <si>
    <t>机械设备制造</t>
  </si>
  <si>
    <t>王晓龙</t>
  </si>
  <si>
    <t>制药化工干燥设备</t>
  </si>
  <si>
    <t>东南亚，北美，南美</t>
  </si>
  <si>
    <t>俄罗斯，美国，墨西哥</t>
  </si>
  <si>
    <t>流量营销需求┋品牌孵化需求┋跨境人才需求┋企业出海规划方案需求</t>
  </si>
  <si>
    <t>2026，12，10</t>
  </si>
  <si>
    <t>常州对外贸易有限公司</t>
  </si>
  <si>
    <t>2026，12，30</t>
  </si>
  <si>
    <t>常州沃德阻燃材料科技有限公司</t>
  </si>
  <si>
    <t>朱寅</t>
  </si>
  <si>
    <t>水菱镁阻燃剂</t>
  </si>
  <si>
    <t>阻燃产品</t>
  </si>
  <si>
    <t>目前企业网站即将搭建完成，准备考虑再搭建营销型独立站或者注册中国制造网，需要三中心联合服务商给出整体方案支持</t>
  </si>
  <si>
    <t>跨境电商零经验，目前准备通过跨境开展业务，拓展市场</t>
  </si>
  <si>
    <t>常州政科信息科技服务有限公司</t>
  </si>
  <si>
    <t>常州市天宁区创智路5号3号楼3层</t>
  </si>
  <si>
    <t>马亮</t>
  </si>
  <si>
    <t>常州浩金</t>
  </si>
  <si>
    <t>天宁区红梅新村108号北首</t>
  </si>
  <si>
    <t>张永浩</t>
  </si>
  <si>
    <t>传感器，连接器等</t>
  </si>
  <si>
    <t>跨境培训，海外仓需求</t>
  </si>
  <si>
    <t>常州裕罗国际贸易有限公司</t>
  </si>
  <si>
    <t>天宁区北塘河路8号恒生科技园二区2幢607室</t>
  </si>
  <si>
    <t>进出口</t>
  </si>
  <si>
    <t>文凤梅</t>
  </si>
  <si>
    <t>服装，环保产品</t>
  </si>
  <si>
    <t>欧洲，东南亚</t>
  </si>
  <si>
    <t>流量营销需求┋跨境人才需求</t>
  </si>
  <si>
    <t>销售量和营销问题</t>
  </si>
  <si>
    <t>常州市瑞旺纺织品有限公司</t>
  </si>
  <si>
    <t>天宁区丽华北路291号815，817室，武进区人民路（办公）</t>
  </si>
  <si>
    <t>严能兵</t>
  </si>
  <si>
    <t>http://www.jsrwang.cn/</t>
  </si>
  <si>
    <t>服装面料，灯芯绒，色织布</t>
  </si>
  <si>
    <t>350</t>
  </si>
  <si>
    <t>传统贸易基础人员1-2人</t>
  </si>
  <si>
    <t>人才需求，口语能力比较看重</t>
  </si>
  <si>
    <t>外贸订单一直下降</t>
  </si>
  <si>
    <t>2026.2.3</t>
  </si>
  <si>
    <t>人员需求，跨境线上无运营经验</t>
  </si>
  <si>
    <t>常州市汇博信息技术有限公司</t>
  </si>
  <si>
    <t>常州市天宁区富邦商业广场1幢乙单元902室，</t>
  </si>
  <si>
    <t>软件</t>
  </si>
  <si>
    <t>骆树伟</t>
  </si>
  <si>
    <t>ERP，MES，QMS，PLM，BPM，HRM EAM</t>
  </si>
  <si>
    <t>常州缯彩纺织品有限公司</t>
  </si>
  <si>
    <t>天宁区雕庄街道采菱凤凰路25号南楼一楼</t>
  </si>
  <si>
    <t>2－3千万</t>
  </si>
  <si>
    <t>袁薇</t>
  </si>
  <si>
    <t>http://www.zengcaitextile.com/</t>
  </si>
  <si>
    <t>针织牛仔面料</t>
  </si>
  <si>
    <t>纺织服装</t>
  </si>
  <si>
    <t>1500</t>
  </si>
  <si>
    <t>fob</t>
  </si>
  <si>
    <t>平台运营培训</t>
  </si>
  <si>
    <t>跨境tob平台了解</t>
  </si>
  <si>
    <t>没有跨境运营经验</t>
  </si>
  <si>
    <t>常州赟雅纺织科技有限公司</t>
  </si>
  <si>
    <t>常州市天宁区中吴大道1485号</t>
  </si>
  <si>
    <t>纺织科技</t>
  </si>
  <si>
    <t>2k</t>
  </si>
  <si>
    <t>李瑞</t>
  </si>
  <si>
    <t>服装面料</t>
  </si>
  <si>
    <t>日本，韩国</t>
  </si>
  <si>
    <t>税务合规咨询需求┋海关监管咨询需求┋外汇兑换及结算咨询需求┋流量营销需求┋跨境培训需求┋品牌孵化需求┋跨境人才需求</t>
  </si>
  <si>
    <t>常州泰如达科技有限公司</t>
  </si>
  <si>
    <t>江苏省常州市天宁区青阳北路1号15幢甲单元501室</t>
  </si>
  <si>
    <t>贸易</t>
  </si>
  <si>
    <t>都亦男</t>
  </si>
  <si>
    <t>液压管件出口，半导体管件</t>
  </si>
  <si>
    <t>印度，韩国</t>
  </si>
  <si>
    <t>税务合规咨询需求┋海关监管咨询需求┋海外展会需求</t>
  </si>
  <si>
    <t>1.收不回货款，中信保不做 2.运营本地化的需求</t>
  </si>
  <si>
    <t>常州市达蒙砂轮制造有限公司</t>
  </si>
  <si>
    <t>常州市天宁区郑陆镇花园村委周塘桥124号</t>
  </si>
  <si>
    <t>五金</t>
  </si>
  <si>
    <t>9千万</t>
  </si>
  <si>
    <t>柳玲</t>
  </si>
  <si>
    <t>https://www.dmsl666.com/factory/</t>
  </si>
  <si>
    <t>砂轮片</t>
  </si>
  <si>
    <t>建筑，机械制造等</t>
  </si>
  <si>
    <t>MPA认证,BSCI认证,CE认证</t>
  </si>
  <si>
    <t>南美，欧洲，非洲</t>
  </si>
  <si>
    <t>8000</t>
  </si>
  <si>
    <t>跨境电商流程指导与运营培训</t>
  </si>
  <si>
    <t>2021年在武进产业园注册公司，做亚马逊平台，处于亏损状态，做的电动工具，做了半年项目暂停。</t>
  </si>
  <si>
    <t>2026，3，4</t>
  </si>
  <si>
    <t>愿意</t>
  </si>
  <si>
    <t>人员招聘，培训，产品选品</t>
  </si>
  <si>
    <t>常州新禹衡国际贸易有限公司</t>
  </si>
  <si>
    <t>常州经济开发区潞城街道龙锦路355号（集群登记）</t>
  </si>
  <si>
    <t>徐仁庆</t>
  </si>
  <si>
    <t>涂料</t>
  </si>
  <si>
    <t>企业出海规划方案需求┋其他</t>
  </si>
  <si>
    <t>常州奥里恩车辆科技有限公司</t>
  </si>
  <si>
    <t>批发外贸</t>
  </si>
  <si>
    <t>汽配产品</t>
  </si>
  <si>
    <t>税务合规咨询需求┋海关监管咨询需求┋外汇兑换及结算咨询需求┋海外展会需求┋跨境人才需求</t>
  </si>
  <si>
    <t>税务</t>
  </si>
  <si>
    <t>常州浩万新能源科技有限公司</t>
  </si>
  <si>
    <t>常州市天宁区创智路5号1号楼1-2层</t>
  </si>
  <si>
    <t>4.5亿</t>
  </si>
  <si>
    <t>张晨鑫</t>
  </si>
  <si>
    <t>电动摩托车</t>
  </si>
  <si>
    <t>想要了解2c跨境电商模式，支出及风险点</t>
  </si>
  <si>
    <t>常州远大新材料科技股份有限公司</t>
  </si>
  <si>
    <t>天宁区郑陆镇黄天荡村白洋桥191-1号</t>
  </si>
  <si>
    <t>8k</t>
  </si>
  <si>
    <t>金颖</t>
  </si>
  <si>
    <t>地垫，工具，婴儿用品</t>
  </si>
  <si>
    <t>北美，欧洲，中东</t>
  </si>
  <si>
    <t>税务问题，人才输送</t>
  </si>
  <si>
    <t>常州市三个喵宠物用品有限公司</t>
  </si>
  <si>
    <t>江苏省常州市天宁区郑陆镇新沟桥村委徐家村208号</t>
  </si>
  <si>
    <t>李涵</t>
  </si>
  <si>
    <t>宠物用品</t>
  </si>
  <si>
    <t>常州市苏力干燥设备有限公司</t>
  </si>
  <si>
    <t>常州市天宁区郑陆镇新沟村</t>
  </si>
  <si>
    <t>主要做国内生意，已做贸易通，没有效果</t>
  </si>
  <si>
    <t>久崎电机（常州）有限公司</t>
  </si>
  <si>
    <t>天宁区北塘河东路17号</t>
  </si>
  <si>
    <t>郭璐璐</t>
  </si>
  <si>
    <t>汽车应用电机，伺服装置及微电机</t>
  </si>
  <si>
    <t>机器人行业，汽车，小家电</t>
  </si>
  <si>
    <t>中国，韩国</t>
  </si>
  <si>
    <t>海运，空运</t>
  </si>
  <si>
    <t>跨境电商业务思路拓展</t>
  </si>
  <si>
    <t>2026，3，6</t>
  </si>
  <si>
    <t>2017年成立，2022年收购</t>
  </si>
  <si>
    <t>一直从事传统贸易，对于跨境电商行业情况不了解，没有选品思路</t>
  </si>
  <si>
    <t>常州萃郎国际贸易有限公司</t>
  </si>
  <si>
    <t>武进区遥观镇长虹东路397号（天宁人才大厦）</t>
  </si>
  <si>
    <t>医疗行业</t>
  </si>
  <si>
    <t>2亿</t>
  </si>
  <si>
    <t>孔总</t>
  </si>
  <si>
    <t>一次性医疗用品，脊椎麻醉穿刺针</t>
  </si>
  <si>
    <t>中亚，欧洲，南美</t>
  </si>
  <si>
    <t>俄罗斯</t>
  </si>
  <si>
    <t>20000</t>
  </si>
  <si>
    <t>欧洲展会协助</t>
  </si>
  <si>
    <t>tob业务欧洲市场拓展及产品认证需求</t>
  </si>
  <si>
    <t>2026，3，9</t>
  </si>
  <si>
    <t>低端产品目前保持现状，高端产品目前作为主要发展方向，主要针对欧洲市场</t>
  </si>
  <si>
    <t>常州丰茂产品设计有限公司（拒绝交流0</t>
  </si>
  <si>
    <t>武进</t>
  </si>
  <si>
    <t>常州市武进区常武中路18-67号中国以色列常州创新园11号楼11层110</t>
  </si>
  <si>
    <t xml:space="preserve">封沁 </t>
  </si>
  <si>
    <t>常州腾兴祥奕商贸有限公司</t>
  </si>
  <si>
    <t>江苏省常州市武进区湖塘镇沟南工业集中区2撞320号</t>
  </si>
  <si>
    <t xml:space="preserve">朱志祥 </t>
  </si>
  <si>
    <t>常州鲸鱼出海网络科技（无法接通）</t>
  </si>
  <si>
    <t>注册地位于江苏省常州市武进区湖塘镇花园街85-22号</t>
  </si>
  <si>
    <t xml:space="preserve">杜京 </t>
  </si>
  <si>
    <t>常州华蚁跨境有限公司</t>
  </si>
  <si>
    <t>常州市武进区常武中路18号常州科教城东区实训基地411室</t>
  </si>
  <si>
    <t>.</t>
  </si>
  <si>
    <t>朱雅</t>
  </si>
  <si>
    <t>已经在武进做了</t>
  </si>
  <si>
    <t>载体在武进是免费</t>
  </si>
  <si>
    <t>坤泰车辆</t>
  </si>
  <si>
    <t>江苏省常州市武进区龙锦路368号</t>
  </si>
  <si>
    <t>常州市惠裕达机械有限公司</t>
  </si>
  <si>
    <t>常州市武进区雪堰镇浒庄村</t>
  </si>
  <si>
    <t>张乐瑜</t>
  </si>
  <si>
    <t>常州市泓帆自动化设备有限公司</t>
  </si>
  <si>
    <t>武进区礼嘉镇蒲岸村委周家塘609号</t>
  </si>
  <si>
    <t>周总</t>
  </si>
  <si>
    <t>常州简赛商贸有限公司</t>
  </si>
  <si>
    <t>武进区湖塘镇吾悦广场1幢1010号</t>
  </si>
  <si>
    <t xml:space="preserve">成威 </t>
  </si>
  <si>
    <t>常州羽芙贸易有限公司</t>
  </si>
  <si>
    <t>武进区国家高新技术产业开发园天安数码城33幢120室</t>
  </si>
  <si>
    <t xml:space="preserve">何晓龙 </t>
  </si>
  <si>
    <t>常州高力办公家具</t>
  </si>
  <si>
    <t>武进区高新技术开发区人民东路龚家村城东工业园9-5号</t>
  </si>
  <si>
    <t>江苏友奥智能科技股份有限公司</t>
  </si>
  <si>
    <t>礼嘉镇武进大道501</t>
  </si>
  <si>
    <t>生产制造</t>
  </si>
  <si>
    <t>晏加莉</t>
  </si>
  <si>
    <t>www.shinco.net</t>
  </si>
  <si>
    <t>移动空调，除湿机</t>
  </si>
  <si>
    <t>家用</t>
  </si>
  <si>
    <t>ETL,GS，CB等</t>
  </si>
  <si>
    <t>SHINCO</t>
  </si>
  <si>
    <t>东亚，北美</t>
  </si>
  <si>
    <t>韩国，美国</t>
  </si>
  <si>
    <t>10人</t>
  </si>
  <si>
    <t>关税问题</t>
  </si>
  <si>
    <t>不需要</t>
  </si>
  <si>
    <t>有</t>
  </si>
  <si>
    <t>获客与投放，办公场地与工位</t>
  </si>
  <si>
    <t>常州市海润机电有限公司</t>
  </si>
  <si>
    <t>常州市武进区礼嘉镇秦巷村委赵岸路1号</t>
  </si>
  <si>
    <t>机电行业</t>
  </si>
  <si>
    <t>200</t>
  </si>
  <si>
    <t>张佳波</t>
  </si>
  <si>
    <t>www.hiearns.com</t>
  </si>
  <si>
    <t>柴油发电机组</t>
  </si>
  <si>
    <t>广泛服务于军需，工业，商业，偏远地区及应急供电等多个领域</t>
  </si>
  <si>
    <t xml:space="preserve">CE认证，ISO9001-2015认证，国四排放认证，欧五排放认证，常州市高新产品
</t>
  </si>
  <si>
    <t>hiearns</t>
  </si>
  <si>
    <t>东南亚，中东，非洲，南美，欧洲</t>
  </si>
  <si>
    <t>12000</t>
  </si>
  <si>
    <t>15人</t>
  </si>
  <si>
    <t>外贸遇到的地区法规和认证的阻碍</t>
  </si>
  <si>
    <t>江苏常发农业装备股份有限公司</t>
  </si>
  <si>
    <t>武进区礼嘉镇武进东大道555号</t>
  </si>
  <si>
    <t>6000</t>
  </si>
  <si>
    <t>袁玉诚</t>
  </si>
  <si>
    <t>www.changfanz.com</t>
  </si>
  <si>
    <t>农业机械研发，生产，销售</t>
  </si>
  <si>
    <t>ISO认证</t>
  </si>
  <si>
    <t>常发</t>
  </si>
  <si>
    <t>非洲，东南亚，南亚，南美</t>
  </si>
  <si>
    <t>40000</t>
  </si>
  <si>
    <t>TT,LC</t>
  </si>
  <si>
    <t>1，海运物流不顺畅，海运费涨跌频繁，缺箱情况时有发生。</t>
  </si>
  <si>
    <t>有中亚，南美区域产品适应性调研需求</t>
  </si>
  <si>
    <t>江苏华凌机电科技有限公司</t>
  </si>
  <si>
    <t>武进区礼嘉镇政前路18号</t>
  </si>
  <si>
    <t>钣金制造</t>
  </si>
  <si>
    <t>钱银</t>
  </si>
  <si>
    <t>www.aullen.com</t>
  </si>
  <si>
    <t>烧烤炉</t>
  </si>
  <si>
    <t>户外花园用品</t>
  </si>
  <si>
    <t>ETL CE</t>
  </si>
  <si>
    <t>常州洛克曼医疗器械有限公司</t>
  </si>
  <si>
    <t>武进区湖塘镇湖塘科技产业园工业坊标准厂房B32楼</t>
  </si>
  <si>
    <t>35专用设备制造业</t>
  </si>
  <si>
    <t>黄松华</t>
  </si>
  <si>
    <t>www.Lookmed.cn</t>
  </si>
  <si>
    <t>皮肤吻合器，穿刺器，取样钳</t>
  </si>
  <si>
    <t>外包团队</t>
  </si>
  <si>
    <t>1454</t>
  </si>
  <si>
    <t>英特曼电工（常州）有限公司</t>
  </si>
  <si>
    <t>常州市武进区礼嘉镇武阳村庙坂路6号</t>
  </si>
  <si>
    <t>电子电工</t>
  </si>
  <si>
    <t>杨晓孺</t>
  </si>
  <si>
    <t>www.etman.cn</t>
  </si>
  <si>
    <t>开关，插座，灯具，电工电料</t>
  </si>
  <si>
    <t>民用</t>
  </si>
  <si>
    <t>CCC，GS，VDE，CE，S，N，D</t>
  </si>
  <si>
    <t>etman</t>
  </si>
  <si>
    <t>欧洲，东亚</t>
  </si>
  <si>
    <t>17000</t>
  </si>
  <si>
    <t>江苏丰润电器集团有限公司</t>
  </si>
  <si>
    <t>江苏省常州市武进区礼嘉镇甘棠路10号</t>
  </si>
  <si>
    <t>杜晓娟</t>
  </si>
  <si>
    <t>蒸发器，冷凝器</t>
  </si>
  <si>
    <t>RoHS REACH</t>
  </si>
  <si>
    <t>巴基斯坦，土耳其，韩国，伊拉克</t>
  </si>
  <si>
    <t>常州百佳年代薄膜科技股份有限公司</t>
  </si>
  <si>
    <t>江苏省常州市武进区武进东大道666号</t>
  </si>
  <si>
    <t>光伏</t>
  </si>
  <si>
    <t>邢莹莹</t>
  </si>
  <si>
    <t>https://www.betterial.cn/</t>
  </si>
  <si>
    <t>光伏封装胶膜，高性能薄膜</t>
  </si>
  <si>
    <t>德国莱茵TÜV，TÜV南德，美国UL</t>
  </si>
  <si>
    <t>百佳年代（BETTERIAL）</t>
  </si>
  <si>
    <t>中国，印度，美国+R184:R185</t>
  </si>
  <si>
    <t>17140</t>
  </si>
  <si>
    <t>1，价格竞争激烈               2，国内产能过剩               3，关税壁垒严重</t>
  </si>
  <si>
    <t>是，当前客户来源高度依赖每年有限的几次国际展会，渠道比较单一，希望通过跨境电商线上获取客户</t>
  </si>
  <si>
    <t>江苏普森帝照明有限公司</t>
  </si>
  <si>
    <t>常州市武进区雪堰镇漕桥金三角北路36号</t>
  </si>
  <si>
    <t>照明</t>
  </si>
  <si>
    <t>李春利</t>
  </si>
  <si>
    <t>三防灯</t>
  </si>
  <si>
    <t>CCC,CQC,CB,CE</t>
  </si>
  <si>
    <t>众意，普森帝，光发现</t>
  </si>
  <si>
    <t>南美</t>
  </si>
  <si>
    <t>2572</t>
  </si>
  <si>
    <t>江苏九洲包装科技有限公司</t>
  </si>
  <si>
    <t>常州市武进区洛阳镇创盛路2号</t>
  </si>
  <si>
    <t>梅京燕</t>
  </si>
  <si>
    <t>www.guolian-steel.com</t>
  </si>
  <si>
    <t>镀锡薄板</t>
  </si>
  <si>
    <t>金属包装</t>
  </si>
  <si>
    <t>质量认证，环境认证，职业卫生认证，能源认证</t>
  </si>
  <si>
    <t>东南亚，南美</t>
  </si>
  <si>
    <t>办公场地与工位</t>
  </si>
  <si>
    <t>江苏洛凯电气有限公司</t>
  </si>
  <si>
    <t>武进区洛阳镇永安里路101号</t>
  </si>
  <si>
    <t>高压配电</t>
  </si>
  <si>
    <t>徐恬</t>
  </si>
  <si>
    <t>https://www.rolink.com.cn/</t>
  </si>
  <si>
    <t>环网柜核心部件，环网柜</t>
  </si>
  <si>
    <t>Rocoi</t>
  </si>
  <si>
    <t>425</t>
  </si>
  <si>
    <t>常州市惠宇电器有限公司</t>
  </si>
  <si>
    <t>武进区洛阳镇戴洛路111号</t>
  </si>
  <si>
    <t>1981</t>
  </si>
  <si>
    <t>250</t>
  </si>
  <si>
    <t>谈琳花</t>
  </si>
  <si>
    <t>汽车制造</t>
  </si>
  <si>
    <t>IATF16949</t>
  </si>
  <si>
    <t>常州多维电气股份有限公司</t>
  </si>
  <si>
    <t>武进区洛阳镇阳光路158号</t>
  </si>
  <si>
    <t>机械</t>
  </si>
  <si>
    <t>周建华</t>
  </si>
  <si>
    <t>www.duoweimotor.com</t>
  </si>
  <si>
    <t>微特电机及配件</t>
  </si>
  <si>
    <t>工业控制</t>
  </si>
  <si>
    <t>CCC,UL</t>
  </si>
  <si>
    <t>多维</t>
  </si>
  <si>
    <t>美元，欧元</t>
  </si>
  <si>
    <t>江苏铭星智能家居有限公司</t>
  </si>
  <si>
    <t>洛阳镇环阳路11号</t>
  </si>
  <si>
    <t>金珊珊</t>
  </si>
  <si>
    <t>升降桌</t>
  </si>
  <si>
    <t>9710</t>
  </si>
  <si>
    <t>5466</t>
  </si>
  <si>
    <t>价格竞争大，关税不稳</t>
  </si>
  <si>
    <t>江苏常意电机科技有限公司</t>
  </si>
  <si>
    <t>武进区洛阳镇上阳路16号</t>
  </si>
  <si>
    <t>吴浙萌</t>
  </si>
  <si>
    <t>www.cn-changyi.com</t>
  </si>
  <si>
    <t>发电机冲片</t>
  </si>
  <si>
    <t>TS16949</t>
  </si>
  <si>
    <t>常意</t>
  </si>
  <si>
    <t>常州常意电机有限公司</t>
  </si>
  <si>
    <t>电机</t>
  </si>
  <si>
    <t>常州市创舰精密机械制造有限公司</t>
  </si>
  <si>
    <t>武进洛阳马鞍</t>
  </si>
  <si>
    <t>沈叶</t>
  </si>
  <si>
    <t>飞机坐具餐板</t>
  </si>
  <si>
    <t>航空</t>
  </si>
  <si>
    <t>常州市蓝托金属制品有限公司</t>
  </si>
  <si>
    <t>常州市武进区洛阳镇马鞍墩路55号</t>
  </si>
  <si>
    <t>陈燕虹</t>
  </si>
  <si>
    <t>飞机用坐具的零件</t>
  </si>
  <si>
    <t>Ranto</t>
  </si>
  <si>
    <t>欧洲，北美，东南亚</t>
  </si>
  <si>
    <t>30000</t>
  </si>
  <si>
    <t>常州迈腾机械有限公司</t>
  </si>
  <si>
    <t>武进区洛阳镇工业集中区创盛路</t>
  </si>
  <si>
    <t>洪天荣</t>
  </si>
  <si>
    <t>www.mateng.com</t>
  </si>
  <si>
    <t>农业机具</t>
  </si>
  <si>
    <t>CE,TUV</t>
  </si>
  <si>
    <t>Mateng</t>
  </si>
  <si>
    <t>常州欧尔孚特国际贸易有限公司</t>
  </si>
  <si>
    <t>武进国家高新技术产业开发区常州天安数码城15幢甲单元701室</t>
  </si>
  <si>
    <t>周妍</t>
  </si>
  <si>
    <t>家具</t>
  </si>
  <si>
    <t>WLIVE</t>
  </si>
  <si>
    <t>9730</t>
  </si>
  <si>
    <t>关税过高</t>
  </si>
  <si>
    <t>常州维数进出口有限公司</t>
  </si>
  <si>
    <t>武进国家高新技术产业开发区常州天安数码城15幢甲单元402室</t>
  </si>
  <si>
    <t>2376</t>
  </si>
  <si>
    <t>常州利普丰电子商务有限公司</t>
  </si>
  <si>
    <t>武进国家高新技术产业开发区天安数码城15幢甲单元401室</t>
  </si>
  <si>
    <t>9594</t>
  </si>
  <si>
    <t>江苏绿盛园艺用品有限公司</t>
  </si>
  <si>
    <t>武进区常武中路801号常州科教城天润科技大厦A座二楼</t>
  </si>
  <si>
    <t>汤冬梅</t>
  </si>
  <si>
    <t>https://www.amazon.com/s?me=A1Z18POI3WHRDZ&amp;marketplaceID=ATVPDKIKX0DER</t>
  </si>
  <si>
    <t>园艺用品</t>
  </si>
  <si>
    <t>SUNSHORE</t>
  </si>
  <si>
    <t>830</t>
  </si>
  <si>
    <t>其他</t>
  </si>
  <si>
    <t>5人</t>
  </si>
  <si>
    <t>选品</t>
  </si>
  <si>
    <t>有，美国</t>
  </si>
  <si>
    <t>希望能有补贴</t>
  </si>
  <si>
    <t>获客与投放，人才培养</t>
  </si>
  <si>
    <t>江苏波科马智能制造有限公司</t>
  </si>
  <si>
    <t>武进区大通西路197号三号楼</t>
  </si>
  <si>
    <t>谢秀岳</t>
  </si>
  <si>
    <t>功能性防火服装</t>
  </si>
  <si>
    <t>UL</t>
  </si>
  <si>
    <t>亚马逊</t>
  </si>
  <si>
    <t>60人</t>
  </si>
  <si>
    <t>物流时效，物流成本上涨，海外仓扩建</t>
  </si>
  <si>
    <t>已有</t>
  </si>
  <si>
    <t>品牌扶持</t>
  </si>
  <si>
    <t>代运营，办公场地与工位，品牌定位与规划设计，人才招聘</t>
  </si>
  <si>
    <t>常州建富光电仪器有限公司</t>
  </si>
  <si>
    <t>虹西路168号</t>
  </si>
  <si>
    <t>丁江锋</t>
  </si>
  <si>
    <t>测距仪</t>
  </si>
  <si>
    <t>高尔夫，打猎</t>
  </si>
  <si>
    <t>aofar</t>
  </si>
  <si>
    <t>9人</t>
  </si>
  <si>
    <t>外部因素：内卷的市场，不断增加的运营成本
内部因素：运营成员稳定性弱，运营能力有待加强</t>
  </si>
  <si>
    <t>代运营，获客与投放，办公场地与工位，人才招聘</t>
  </si>
  <si>
    <t>常州美好工具有限公司</t>
  </si>
  <si>
    <t>武进区牛塘镇青云村青莲路10号</t>
  </si>
  <si>
    <t>于云雷</t>
  </si>
  <si>
    <t>https://meihaotools.en.alibaba.com</t>
  </si>
  <si>
    <t>刷子生产</t>
  </si>
  <si>
    <t>FSC</t>
  </si>
  <si>
    <t>主要市场为欧美地区,北美占比约 75%，欧洲占比约20%</t>
  </si>
  <si>
    <t>物流成本较高，海外营销难度大</t>
  </si>
  <si>
    <t>是，有转型跨境电商的计划</t>
  </si>
  <si>
    <t>有明确规划，目标市场为东南亚，欧美地区</t>
  </si>
  <si>
    <t>常州市钧达轴承有限公司</t>
  </si>
  <si>
    <t>武进区牛塘镇工业园区</t>
  </si>
  <si>
    <t>吴斐</t>
  </si>
  <si>
    <t>www.jade-bearing.com</t>
  </si>
  <si>
    <t>精密轴承的制造与销售</t>
  </si>
  <si>
    <t>CNJDB</t>
  </si>
  <si>
    <t>3人</t>
  </si>
  <si>
    <t>国外消费意愿不足</t>
  </si>
  <si>
    <t>常州康普瑞汽车空调有限公司</t>
  </si>
  <si>
    <t>武进区牛塘镇工业园区东宝路6号</t>
  </si>
  <si>
    <t>500</t>
  </si>
  <si>
    <t>林文文</t>
  </si>
  <si>
    <t>https://www.kprui.com</t>
  </si>
  <si>
    <t>汽车空调压缩机</t>
  </si>
  <si>
    <t>CE认证</t>
  </si>
  <si>
    <t>康普瑞KPRUI</t>
  </si>
  <si>
    <t>东南亚，中东，欧洲，北美</t>
  </si>
  <si>
    <t>3100</t>
  </si>
  <si>
    <t>江苏康普瑞森新能源科技有限公司</t>
  </si>
  <si>
    <t>武进区牛塘镇牛溪路18号</t>
  </si>
  <si>
    <t>技术服务</t>
  </si>
  <si>
    <t>https://www.jskprs.com</t>
  </si>
  <si>
    <t>康普瑞森，KPRS</t>
  </si>
  <si>
    <t>640</t>
  </si>
  <si>
    <t>常州市森迈网业有限公司</t>
  </si>
  <si>
    <t>武进区牛塘村高家村</t>
  </si>
  <si>
    <t>50</t>
  </si>
  <si>
    <t>万卓君</t>
  </si>
  <si>
    <t>遮阳网，园艺网</t>
  </si>
  <si>
    <t>BSCI,ISO</t>
  </si>
  <si>
    <t>森迈网业</t>
  </si>
  <si>
    <t>美金</t>
  </si>
  <si>
    <t>内卷，人工成本增高</t>
  </si>
  <si>
    <t>常州丁丁纺织科技有限公司</t>
  </si>
  <si>
    <t>武进区牛塘镇延政西大道21号</t>
  </si>
  <si>
    <t>100</t>
  </si>
  <si>
    <t>蒋晓琴</t>
  </si>
  <si>
    <t>http://www.tintintextile.com</t>
  </si>
  <si>
    <t>高档面料</t>
  </si>
  <si>
    <t>GRS，OCS，欧麻认证，ISO9001，OEKO-TEX</t>
  </si>
  <si>
    <t>增值税加计抵减</t>
  </si>
  <si>
    <t>订单少</t>
  </si>
  <si>
    <t>暂无意愿</t>
  </si>
  <si>
    <t>弗斯迈智能科技（江苏）有限公司</t>
  </si>
  <si>
    <t>武进区牛塘镇虹西路180号</t>
  </si>
  <si>
    <t>黎珮雯</t>
  </si>
  <si>
    <t>http://www.fsmpv.com/</t>
  </si>
  <si>
    <t>光伏设备</t>
  </si>
  <si>
    <t>市场不稳定，同行竞争激烈等问题</t>
  </si>
  <si>
    <t>常州市向阳制刷厂</t>
  </si>
  <si>
    <t>武进区牛塘镇白家村委白家组</t>
  </si>
  <si>
    <t>1996</t>
  </si>
  <si>
    <t>杨燕</t>
  </si>
  <si>
    <t>300</t>
  </si>
  <si>
    <t>江苏金鼎电器有限公司</t>
  </si>
  <si>
    <t>武进区湟里镇金鼎路28号</t>
  </si>
  <si>
    <t>400</t>
  </si>
  <si>
    <t>陆波</t>
  </si>
  <si>
    <t>www.jinding.com</t>
  </si>
  <si>
    <t>电动工具</t>
  </si>
  <si>
    <t>CCC</t>
  </si>
  <si>
    <t>28000</t>
  </si>
  <si>
    <t>江苏东冶轧辊有限公司</t>
  </si>
  <si>
    <t>武进区湟里镇东安兴旺路126号</t>
  </si>
  <si>
    <t>戴文婷</t>
  </si>
  <si>
    <t>www.dong-ye.com</t>
  </si>
  <si>
    <t>轧辊</t>
  </si>
  <si>
    <t>东冶</t>
  </si>
  <si>
    <t>没有</t>
  </si>
  <si>
    <t>常州恒尔称重设备制造有限公司</t>
  </si>
  <si>
    <t>常州市武进区湟里镇新园路9-1号</t>
  </si>
  <si>
    <t>蒋丽芳</t>
  </si>
  <si>
    <t>汽车衡 小地磅</t>
  </si>
  <si>
    <t>衡器</t>
  </si>
  <si>
    <t>衡尔</t>
  </si>
  <si>
    <t>1200</t>
  </si>
  <si>
    <t>常州方佳电器有限公司</t>
  </si>
  <si>
    <t>江苏省常州市武进区湟里镇湟东北路158号</t>
  </si>
  <si>
    <t>傅元梅</t>
  </si>
  <si>
    <t>https://www.amazon.com/s?me=A18D4XEY096TPR&amp;marketplaceID=ATVPDKIKX0DER</t>
  </si>
  <si>
    <t>俱全，enertwist</t>
  </si>
  <si>
    <t>在做</t>
  </si>
  <si>
    <t>马拉兹（江苏）电梯导轨有限公司</t>
  </si>
  <si>
    <t>武进区湟里镇东方路6号</t>
  </si>
  <si>
    <t>生产加工</t>
  </si>
  <si>
    <t>王婷</t>
  </si>
  <si>
    <t>www.marazziguide.com</t>
  </si>
  <si>
    <t>电梯导轨</t>
  </si>
  <si>
    <t>ISO 9001</t>
  </si>
  <si>
    <t>MARAZZI</t>
  </si>
  <si>
    <t>常州市武进鸿程汽车配件有限公司</t>
  </si>
  <si>
    <t>常州市武进区雪堰镇闾城路8号</t>
  </si>
  <si>
    <t>陈乐庆</t>
  </si>
  <si>
    <t>www.cn-hongchong.com</t>
  </si>
  <si>
    <t>水封</t>
  </si>
  <si>
    <t>鸿程</t>
  </si>
  <si>
    <t>欧洲，南美，东南亚</t>
  </si>
  <si>
    <t>江苏方瑞机械有限公司</t>
  </si>
  <si>
    <t>武进区雪堰镇漕桥漕分路155号</t>
  </si>
  <si>
    <t>朱静</t>
  </si>
  <si>
    <t>液压举升系统</t>
  </si>
  <si>
    <t>工业</t>
  </si>
  <si>
    <t>3500</t>
  </si>
  <si>
    <t>小</t>
  </si>
  <si>
    <t>没有新客户，接单较少</t>
  </si>
  <si>
    <t>江苏光蔓新材料有限公司</t>
  </si>
  <si>
    <t>雪堰镇共建村上山大道6号</t>
  </si>
  <si>
    <t>王亚萍</t>
  </si>
  <si>
    <t>www.czboman.com/</t>
  </si>
  <si>
    <t>遮阳幕，保温幕</t>
  </si>
  <si>
    <t>农业大棚</t>
  </si>
  <si>
    <t>BOMAN</t>
  </si>
  <si>
    <t>1900</t>
  </si>
  <si>
    <t>常州宏达益科技有限公司</t>
  </si>
  <si>
    <t>常州武进雪堰漕桥工业园新善路8号</t>
  </si>
  <si>
    <t>杭峰</t>
  </si>
  <si>
    <t>塑料制品</t>
  </si>
  <si>
    <t>GB，T 19001-2016，ISO 9001:2015</t>
  </si>
  <si>
    <t>2700</t>
  </si>
  <si>
    <t>常州开源铸造有限公司</t>
  </si>
  <si>
    <t>雪城路186号</t>
  </si>
  <si>
    <t>李心月</t>
  </si>
  <si>
    <t>铸件</t>
  </si>
  <si>
    <t>59</t>
  </si>
  <si>
    <t>江苏万盛铸造有限公司</t>
  </si>
  <si>
    <t>雪堰镇楼村村</t>
  </si>
  <si>
    <t>赵蕾</t>
  </si>
  <si>
    <t>机械零部件</t>
  </si>
  <si>
    <t>11383.48</t>
  </si>
  <si>
    <t>订单减少</t>
  </si>
  <si>
    <t>常州市醇通机械科技有限公司</t>
  </si>
  <si>
    <t>雪堰镇宇友路8号</t>
  </si>
  <si>
    <t>陈军</t>
  </si>
  <si>
    <t>ISO9000</t>
  </si>
  <si>
    <t>常州东申泵业有限公司</t>
  </si>
  <si>
    <t>武进区嘉泽镇厚余街</t>
  </si>
  <si>
    <t>1993</t>
  </si>
  <si>
    <t>巢爱明</t>
  </si>
  <si>
    <t>水泵</t>
  </si>
  <si>
    <t>ISO</t>
  </si>
  <si>
    <t>东申</t>
  </si>
  <si>
    <t>常州中希环保科技有限公司</t>
  </si>
  <si>
    <t>嘉泽镇厚余太和北路15号</t>
  </si>
  <si>
    <t>卖家</t>
  </si>
  <si>
    <t>陈永锋</t>
  </si>
  <si>
    <t>https://www.dongshenpump.cn/</t>
  </si>
  <si>
    <t>泵及真空设备销售</t>
  </si>
  <si>
    <t>3000</t>
  </si>
  <si>
    <t>常州市方鑫化工物资有限公司</t>
  </si>
  <si>
    <t>嘉泽镇闵市村</t>
  </si>
  <si>
    <t>王琴芳</t>
  </si>
  <si>
    <t>常州丰厚服装有限公司</t>
  </si>
  <si>
    <t>嘉泽镇满墩村</t>
  </si>
  <si>
    <t>严全妹</t>
  </si>
  <si>
    <t>服装加工</t>
  </si>
  <si>
    <t>常州格蕾丝服饰有限公司</t>
  </si>
  <si>
    <t>常州天宁区丽华北路291号</t>
  </si>
  <si>
    <t>NANCY</t>
  </si>
  <si>
    <t>MOVINGGIRLZ</t>
  </si>
  <si>
    <t>亚马逊，沃尔玛</t>
  </si>
  <si>
    <t>FBA</t>
  </si>
  <si>
    <t>万里汇</t>
  </si>
  <si>
    <t>暂还是亏的</t>
  </si>
  <si>
    <t>常州市巨威气弹簧有限公司</t>
  </si>
  <si>
    <t>常州市武进区前黄镇寨桥工业集中区</t>
  </si>
  <si>
    <t>干燥业</t>
  </si>
  <si>
    <t>邰亮亮</t>
  </si>
  <si>
    <t>常州一昊防弹科技有限公司</t>
  </si>
  <si>
    <t>武进区常武中路18号常州科教城创研港3号楼A904-C</t>
  </si>
  <si>
    <t>尹帅</t>
  </si>
  <si>
    <t>江苏亚示照明集团有限公司</t>
  </si>
  <si>
    <t>武进区横山桥镇西崦村</t>
  </si>
  <si>
    <t>王习侣</t>
  </si>
  <si>
    <t>18136599579</t>
  </si>
  <si>
    <t>常州市欧卡国际贸易有限公司</t>
  </si>
  <si>
    <t>武进区前黄镇寨桥村</t>
  </si>
  <si>
    <t>顾娜</t>
  </si>
  <si>
    <t>13584525737</t>
  </si>
  <si>
    <t>常州宇和浩文化科技发展有限公司</t>
  </si>
  <si>
    <t>西太湖科技产业园禾香路119号香奈花园60幢</t>
  </si>
  <si>
    <t>江苏欣华天泰安全系统工程有限公司</t>
  </si>
  <si>
    <t>武进区常武中路18-3号常州科教城天鸿科技大厦A座5层</t>
  </si>
  <si>
    <t>戚建伟</t>
  </si>
  <si>
    <t>常州市卫星机房设备有限公司</t>
  </si>
  <si>
    <t>江苏省常州市武进区横林镇卫星工业区卫中路10号</t>
  </si>
  <si>
    <t>司益明</t>
  </si>
  <si>
    <t>常州创锦箱包</t>
  </si>
  <si>
    <t>武进区横林镇镇西村武英路17号</t>
  </si>
  <si>
    <t>箱包</t>
  </si>
  <si>
    <t>张yi yi</t>
  </si>
  <si>
    <t>常州赫德进出口有限公司</t>
  </si>
  <si>
    <t>常州市武进区湖塘镇武宜中路158-5号</t>
  </si>
  <si>
    <t>艺术品进出口</t>
  </si>
  <si>
    <t>方远</t>
  </si>
  <si>
    <t>江苏羽芙贸易有限公司</t>
  </si>
  <si>
    <t>武进高新开发区天安数码城33-1209室</t>
  </si>
  <si>
    <t>互联网销售</t>
  </si>
  <si>
    <t>何晓龙</t>
  </si>
  <si>
    <t>服饰配件，没有参会，不愿意过多交流，跨境业务刚刚起步</t>
  </si>
  <si>
    <t>江苏三朴乐居家用品有限公司</t>
  </si>
  <si>
    <t>常州市武进区南夏墅街道南塘路2008号</t>
  </si>
  <si>
    <t>蓝贞贞</t>
  </si>
  <si>
    <t>不是本人，拒绝沟通</t>
  </si>
  <si>
    <t>常州梅勒柯装饰材料有限公司</t>
  </si>
  <si>
    <t>常州武进区科教城</t>
  </si>
  <si>
    <t>装饰材料</t>
  </si>
  <si>
    <t>黄总</t>
  </si>
  <si>
    <t>亚克力装饰材料</t>
  </si>
  <si>
    <t>家装建材</t>
  </si>
  <si>
    <t>墨西哥</t>
  </si>
  <si>
    <t>海外参展补贴政策</t>
  </si>
  <si>
    <t>海外产品市场调研</t>
  </si>
  <si>
    <t>2025.11.10</t>
  </si>
  <si>
    <t>获客方式及目的国市场调研</t>
  </si>
  <si>
    <t>常州耀发网络科技有限公司</t>
  </si>
  <si>
    <t>武进国家高新技术产业开发区常州天安数码城33幢1208室，</t>
  </si>
  <si>
    <t>闽小仲</t>
  </si>
  <si>
    <t>赛麟</t>
  </si>
  <si>
    <t>武进区湖塘镇万达广场2-1316</t>
  </si>
  <si>
    <t>沈国栋</t>
  </si>
  <si>
    <t>江苏鹏程伟业家具有限公司</t>
  </si>
  <si>
    <t>横林镇崔桥村</t>
  </si>
  <si>
    <t>沈司聿</t>
  </si>
  <si>
    <t xml:space="preserve">15851940835 </t>
  </si>
  <si>
    <t>常州宝盛木业有限公司</t>
  </si>
  <si>
    <t>长虹东路109号</t>
  </si>
  <si>
    <t>建材</t>
  </si>
  <si>
    <t>徐鹰</t>
  </si>
  <si>
    <t xml:space="preserve">13816039189 </t>
  </si>
  <si>
    <t>常州拾玖科技</t>
  </si>
  <si>
    <t>武进区吾悦广场</t>
  </si>
  <si>
    <t>葛先生</t>
  </si>
  <si>
    <t xml:space="preserve">17601273999 </t>
  </si>
  <si>
    <t>常州科继源供应链有限公司</t>
  </si>
  <si>
    <t>湖塘镇人民东路126号安速物流园2号楼三楼</t>
  </si>
  <si>
    <t>3c电子</t>
  </si>
  <si>
    <t>高海萍</t>
  </si>
  <si>
    <t xml:space="preserve">18861490166 </t>
  </si>
  <si>
    <t>常州申之杰经编科技有限公司</t>
  </si>
  <si>
    <t>武进区牛塘镇卢西工业园1号路21号1，2，3楼</t>
  </si>
  <si>
    <t>纺机</t>
  </si>
  <si>
    <t>王向阳</t>
  </si>
  <si>
    <t xml:space="preserve">13961160683 </t>
  </si>
  <si>
    <t>常州佳联工业科技有限公司</t>
  </si>
  <si>
    <t>武进区湖塘镇湖塘科技产业园工业坊标准厂房b3楼1楼</t>
  </si>
  <si>
    <t>工业品</t>
  </si>
  <si>
    <t>何俊</t>
  </si>
  <si>
    <t xml:space="preserve">13906121166 </t>
  </si>
  <si>
    <t>常州晟盛文化传媒</t>
  </si>
  <si>
    <t>武进区科教城</t>
  </si>
  <si>
    <t>常州喜晒科技有限公司</t>
  </si>
  <si>
    <t>武进区湖塘镇武进万达广场2幢1603室</t>
  </si>
  <si>
    <t>海日升汽车电子科技(常州)有限公司</t>
  </si>
  <si>
    <t>武进国家高新技术产业开发区龙资路63号</t>
  </si>
  <si>
    <t>汽车配套工具</t>
  </si>
  <si>
    <t>42000</t>
  </si>
  <si>
    <t>蒋总</t>
  </si>
  <si>
    <t>汽车用小电器，电源组，小电动工具</t>
  </si>
  <si>
    <t>美国，加拿大</t>
  </si>
  <si>
    <t>常州橙果网络科技有限公司</t>
  </si>
  <si>
    <t>武进区</t>
  </si>
  <si>
    <t>常州米耀进出口有限公司</t>
  </si>
  <si>
    <t>江苏友奥智能科技有限公司</t>
  </si>
  <si>
    <t>常州晟硕文化传媒有限公司</t>
  </si>
  <si>
    <t>常州贰零贰一电子商务有限公司</t>
  </si>
  <si>
    <t>办公用品</t>
  </si>
  <si>
    <t>4个亿</t>
  </si>
  <si>
    <t>考虑亚马逊：墨西哥，日本，tk直播及视频拍摄（马克笔，彩铅，中性笔）</t>
  </si>
  <si>
    <t>税务合规，出口退税</t>
  </si>
  <si>
    <t>场地，可以退税</t>
  </si>
  <si>
    <t>工位支持</t>
  </si>
  <si>
    <t>常州新贸信息技术有限公司</t>
  </si>
  <si>
    <t>江苏省常州市武进区湖塘镇湖塘科技产业园工业坊标准厂房D区2栋4层</t>
  </si>
  <si>
    <t>电子机械</t>
  </si>
  <si>
    <t>汤闻霞</t>
  </si>
  <si>
    <t>食品机械</t>
  </si>
  <si>
    <t>医顺通信息科技(江苏)有限公司</t>
  </si>
  <si>
    <t>常州市武进区湖塘镇莱蒙城53-26二楼</t>
  </si>
  <si>
    <t>戴元成</t>
  </si>
  <si>
    <t>医院运营和质控平台</t>
  </si>
  <si>
    <t>代运营需求┋流量营销需求┋跨境培训需求┋品牌孵化需求┋跨境人才需求┋工位需求┋海外仓需求┋企业出海规划方案需求</t>
  </si>
  <si>
    <t>常州集创知识产权服务有限公司</t>
  </si>
  <si>
    <t>常州市武进区常武中路18号常州科教城创研港3-C304</t>
  </si>
  <si>
    <t>王清宇</t>
  </si>
  <si>
    <t>企业出海规划方案需求</t>
  </si>
  <si>
    <t>常州瑞之欢商贸有限公司</t>
  </si>
  <si>
    <t>武进区湖塘镇长虹路88号B31幢07号</t>
  </si>
  <si>
    <t>建筑工程</t>
  </si>
  <si>
    <t>施</t>
  </si>
  <si>
    <t>13961406191</t>
  </si>
  <si>
    <t>工程</t>
  </si>
  <si>
    <t>马来西亚物流发货，以及时效性</t>
  </si>
  <si>
    <t>2月4日</t>
  </si>
  <si>
    <t>工程公司，目前接了马来西亚的园区建设项目，施工建材需要从国内发货，项目持续4-5年，   目前印度尼西亚已经进入商超市场</t>
  </si>
  <si>
    <t>常州市久辉电子设备科技有限公司</t>
  </si>
  <si>
    <t>常州市武进区洛阳镇圻庄村塘门桥路12号</t>
  </si>
  <si>
    <t>25</t>
  </si>
  <si>
    <t>2千万</t>
  </si>
  <si>
    <t>陆江林</t>
  </si>
  <si>
    <t>13901500970</t>
  </si>
  <si>
    <t>中国，马来西亚，越南</t>
  </si>
  <si>
    <t>武进高新区</t>
  </si>
  <si>
    <t>展示器材</t>
  </si>
  <si>
    <t>4千万</t>
  </si>
  <si>
    <t>活动展架，展台，易拉宝</t>
  </si>
  <si>
    <t>展会活动</t>
  </si>
  <si>
    <t>防火证书，电源认证</t>
  </si>
  <si>
    <t>空运</t>
  </si>
  <si>
    <t>十几人</t>
  </si>
  <si>
    <t>跨境财税合规及政策解读</t>
  </si>
  <si>
    <t>美西海外仓</t>
  </si>
  <si>
    <t>常州品驰办公家具有限公司</t>
  </si>
  <si>
    <t>经开</t>
  </si>
  <si>
    <t>横林镇崔北村濮姚路5号</t>
  </si>
  <si>
    <t>吴炳</t>
  </si>
  <si>
    <t>小家具</t>
  </si>
  <si>
    <t>常州上尚优品智能家居有限公司</t>
  </si>
  <si>
    <t>横林镇崔卫路25号</t>
  </si>
  <si>
    <t>沈晓霞</t>
  </si>
  <si>
    <t>常州双爱家私股份有限公司</t>
  </si>
  <si>
    <t>横林镇崔北工业园</t>
  </si>
  <si>
    <t>陈倩男</t>
  </si>
  <si>
    <t>钢木家具</t>
  </si>
  <si>
    <t>中国，日本</t>
  </si>
  <si>
    <t>获客与投放，品牌定位与规划设计，人才培养，人才招聘</t>
  </si>
  <si>
    <t>常州约书亚家具有限公司·</t>
  </si>
  <si>
    <t>横林镇崔共路7号</t>
  </si>
  <si>
    <t>徐晨凯</t>
  </si>
  <si>
    <t>常州酷奇儿家具有限公司</t>
  </si>
  <si>
    <t>横林镇卫星村卫西路12-2</t>
  </si>
  <si>
    <t>沈煜</t>
  </si>
  <si>
    <t>学习桌椅</t>
  </si>
  <si>
    <t>江苏志派家具制造有限公司</t>
  </si>
  <si>
    <t>横林镇庆丰村庆丰路29号</t>
  </si>
  <si>
    <t>王小双</t>
  </si>
  <si>
    <t>常州潮客家居有限公司</t>
  </si>
  <si>
    <t>横林镇崔桥崔蓉路</t>
  </si>
  <si>
    <t>徐燕</t>
  </si>
  <si>
    <t>钢木小家具</t>
  </si>
  <si>
    <t>常州简居办公家具有限公司</t>
  </si>
  <si>
    <t>横林镇崔桥崔横南路52号</t>
  </si>
  <si>
    <t>常州市强华镀锡薄板有限公司</t>
  </si>
  <si>
    <t>横林镇双蓉村和顺路79号</t>
  </si>
  <si>
    <t>地板</t>
  </si>
  <si>
    <t>横林晓宇办公家具厂</t>
  </si>
  <si>
    <t>横林镇崔桥卫星村卫芙路16号</t>
  </si>
  <si>
    <t>常州佳瑞智能家居有限公司</t>
  </si>
  <si>
    <t>横林镇新蓉路2号</t>
  </si>
  <si>
    <t>横林双蓉办公用品厂</t>
  </si>
  <si>
    <t>横林镇蓉丰村崔蓉路16号</t>
  </si>
  <si>
    <t>电脑桌，
板式书架</t>
  </si>
  <si>
    <t>常州良欣装饰材料有限公司</t>
  </si>
  <si>
    <t>横林镇莲蓉村</t>
  </si>
  <si>
    <t>水易家居有限公司</t>
  </si>
  <si>
    <t>横林镇红联村</t>
  </si>
  <si>
    <t>横林镇新鹏路6号</t>
  </si>
  <si>
    <t xml:space="preserve">沈司聿                                                                   </t>
  </si>
  <si>
    <t>家具柜</t>
  </si>
  <si>
    <t>常州市家禾家具有限公司</t>
  </si>
  <si>
    <t>横林镇镇西村</t>
  </si>
  <si>
    <t>秦佳华</t>
  </si>
  <si>
    <t>办公家具</t>
  </si>
  <si>
    <t>南美，东南亚</t>
  </si>
  <si>
    <t>常州忆陇南家居有限公司</t>
  </si>
  <si>
    <t>横林镇润河路2号</t>
  </si>
  <si>
    <t>桑东琴</t>
  </si>
  <si>
    <t>折叠床</t>
  </si>
  <si>
    <t>常州虎爸爸家具有限公司</t>
  </si>
  <si>
    <t>横林镇新赵路10号</t>
  </si>
  <si>
    <t>薛炜栋</t>
  </si>
  <si>
    <t>常州市宏达金属办公家具有限公司</t>
  </si>
  <si>
    <t>横林镇红联路43号</t>
  </si>
  <si>
    <t>赵文杰</t>
  </si>
  <si>
    <t>绘图桌，缝纫桌，裁剪桌</t>
  </si>
  <si>
    <t>常州鸿勋纺织有限公司</t>
  </si>
  <si>
    <t>遥观镇洪庄村陆家头163号</t>
  </si>
  <si>
    <t>张少华</t>
  </si>
  <si>
    <t>台球布</t>
  </si>
  <si>
    <t>裕丰家具有限公司</t>
  </si>
  <si>
    <t>横林镇通顺路5号</t>
  </si>
  <si>
    <t>王亮</t>
  </si>
  <si>
    <t>沙发，电动床</t>
  </si>
  <si>
    <t>欧洲，中东</t>
  </si>
  <si>
    <t>常州市裕宸家居有限公司</t>
  </si>
  <si>
    <t>横林镇木石圩路4号</t>
  </si>
  <si>
    <t>沈国健</t>
  </si>
  <si>
    <t>坦希尔</t>
  </si>
  <si>
    <t>横林夏家路6号</t>
  </si>
  <si>
    <t>陈震宇</t>
  </si>
  <si>
    <t>电动床</t>
  </si>
  <si>
    <t>江苏格林家具有限公司</t>
  </si>
  <si>
    <t>横林镇蓉丰村</t>
  </si>
  <si>
    <t>朱秋萍</t>
  </si>
  <si>
    <t>常州明欣能源科技有限公司</t>
  </si>
  <si>
    <t>常州市武进区横林镇双蓉村</t>
  </si>
  <si>
    <t>光伏行业</t>
  </si>
  <si>
    <t>毛总</t>
  </si>
  <si>
    <t>光伏玻璃</t>
  </si>
  <si>
    <t>准备做外贸跨境业务，目前正在了解阿里国际站，前期想要突破东南亚市场</t>
  </si>
  <si>
    <t>常州乐千智能家居有限公司</t>
  </si>
  <si>
    <t>常州经开区横林镇新横崔路49号</t>
  </si>
  <si>
    <t>家居</t>
  </si>
  <si>
    <t>王松玲</t>
  </si>
  <si>
    <t>板式家居，钢木家具</t>
  </si>
  <si>
    <t>常州未蓝家居有限公司</t>
  </si>
  <si>
    <t>常州经开区横林镇南村委杨岐路12-1</t>
  </si>
  <si>
    <t>陆莹琳</t>
  </si>
  <si>
    <t>常州世昌家具有限公司</t>
  </si>
  <si>
    <t>常州经开区横山桥镇双庙村矮凳桥807号</t>
  </si>
  <si>
    <t>赵学是</t>
  </si>
  <si>
    <t>翻斗换鞋凳</t>
  </si>
  <si>
    <t>奥融家居科技有限公司</t>
  </si>
  <si>
    <t>经开区横林镇西村委横城路3-2号</t>
  </si>
  <si>
    <t>诸云鹏</t>
  </si>
  <si>
    <t>收纳箱</t>
  </si>
  <si>
    <t>常州威嘉轴承</t>
  </si>
  <si>
    <t>经开区遥观工业园新312国道旁</t>
  </si>
  <si>
    <t>汽车零部件，机械零部件，轴承</t>
  </si>
  <si>
    <t>邵春美</t>
  </si>
  <si>
    <t xml:space="preserve">13813667872 </t>
  </si>
  <si>
    <t>常州环瑞电子有限公司</t>
  </si>
  <si>
    <t>经开区加州科技港1号楼</t>
  </si>
  <si>
    <t>汽车部件</t>
  </si>
  <si>
    <t>唐鹤</t>
  </si>
  <si>
    <t xml:space="preserve">13861143800 </t>
  </si>
  <si>
    <t>常州白鹭电器</t>
  </si>
  <si>
    <t>经开区</t>
  </si>
  <si>
    <t>工业制造</t>
  </si>
  <si>
    <t>5个亿</t>
  </si>
  <si>
    <t>钱莉</t>
  </si>
  <si>
    <t>工业胶带</t>
  </si>
  <si>
    <t>rush</t>
  </si>
  <si>
    <t>运营培训，陪跑</t>
  </si>
  <si>
    <t>常州童二科技有限公司</t>
  </si>
  <si>
    <t>常州经济开发区潞城街道五一路285号（集群登记）</t>
  </si>
  <si>
    <t>人工智能</t>
  </si>
  <si>
    <t>聂海亮</t>
  </si>
  <si>
    <t>智能游学终端</t>
  </si>
  <si>
    <t>品牌孵化需求</t>
  </si>
  <si>
    <t>慧刃科技（常州）有限公司</t>
  </si>
  <si>
    <t>常州经济开发区潞城街道上东城12幢249号</t>
  </si>
  <si>
    <t>五金工具</t>
  </si>
  <si>
    <t>黄佳鑫</t>
  </si>
  <si>
    <t>钻头五金工具</t>
  </si>
  <si>
    <t>跨境人才需求</t>
  </si>
  <si>
    <t>常州市泰宏纺织有限公司</t>
  </si>
  <si>
    <t>常州经济开发区遥观镇人民东路92号</t>
  </si>
  <si>
    <t>8-9k</t>
  </si>
  <si>
    <t>许留留</t>
  </si>
  <si>
    <t>常州荣声纺织科技有限公司</t>
  </si>
  <si>
    <t>江苏武进经济开发区锦丰路9号</t>
  </si>
  <si>
    <t>张丽叶</t>
  </si>
  <si>
    <t>色织布</t>
  </si>
  <si>
    <t>税务合规咨询需求</t>
  </si>
  <si>
    <t>润发住宅工业（常州）股份有限公司</t>
  </si>
  <si>
    <t>经开区丁堰街道徐窑村168号</t>
  </si>
  <si>
    <t>建筑</t>
  </si>
  <si>
    <t>1个亿</t>
  </si>
  <si>
    <t>戴伟俊</t>
  </si>
  <si>
    <t>整体卫浴房（玻璃钢材质）</t>
  </si>
  <si>
    <t>家装建筑</t>
  </si>
  <si>
    <t>外贸人员，海外展会</t>
  </si>
  <si>
    <t>海外市场拓展需求</t>
  </si>
  <si>
    <t>海外仓及外贸市场信息获取，海外展会</t>
  </si>
  <si>
    <t>费总</t>
  </si>
  <si>
    <t>钟楼</t>
  </si>
  <si>
    <t>成人用品</t>
  </si>
  <si>
    <t>200-500</t>
  </si>
  <si>
    <t>出海规划</t>
  </si>
  <si>
    <t>有外贸和国内电商经验</t>
  </si>
  <si>
    <t>常州欧维斯汽车零部件有限公司</t>
  </si>
  <si>
    <t>钟楼区</t>
  </si>
  <si>
    <t>主机厂</t>
  </si>
  <si>
    <t>人才培训，设备搭建</t>
  </si>
  <si>
    <t>目前已开发东南市场，需要开发美国市场</t>
  </si>
  <si>
    <t>工位</t>
  </si>
  <si>
    <t>代运营，获客与投放，办公场地与工位，人才培养，人才招聘</t>
  </si>
  <si>
    <t>波威特（上海）国际贸易</t>
  </si>
  <si>
    <t>吾悦国际（朋友地方）</t>
  </si>
  <si>
    <t>电商</t>
  </si>
  <si>
    <t>洛杉矶海外仓7千平方，线下实体店100平方，3个，家居，暖炉，智能马桶，体育用品</t>
  </si>
  <si>
    <t>temu</t>
  </si>
  <si>
    <t>利用美国自建仓库和门店帮助工厂卖货，希望三中心与工厂争取3-5月账期用TEMU店和线下3个门店进行销售</t>
  </si>
  <si>
    <t>常州迪邦彩印有限公司</t>
  </si>
  <si>
    <t>邹区镇广源路132号</t>
  </si>
  <si>
    <t>印刷</t>
  </si>
  <si>
    <t>徐秋云</t>
  </si>
  <si>
    <t>环保袋</t>
  </si>
  <si>
    <t>美国，德国，日本</t>
  </si>
  <si>
    <t>代运营，流量营销，品牌孵化，海外仓</t>
  </si>
  <si>
    <t>常州塞拉摩电子商务有限公司</t>
  </si>
  <si>
    <t>孙辉</t>
  </si>
  <si>
    <t>国外本本店铺需求，海外财税，法外法务</t>
  </si>
  <si>
    <t>江苏盛高电子商务有限公司</t>
  </si>
  <si>
    <t>江苏省常州市钟楼区飞龙西路35号</t>
  </si>
  <si>
    <t>黄珂涵</t>
  </si>
  <si>
    <t xml:space="preserve">常州枫雪网络科技有限公司 </t>
  </si>
  <si>
    <t>常州钟楼区中博科技园11号楼10号楼116</t>
  </si>
  <si>
    <t>虞祥</t>
  </si>
  <si>
    <t>常州雅思特新材料技术有限公司</t>
  </si>
  <si>
    <t>邹区灯具城东大门院内5栋17-2号</t>
  </si>
  <si>
    <t>赵正娣</t>
  </si>
  <si>
    <t>常州良森进出口有限公司</t>
  </si>
  <si>
    <t>西林街道凌家村委船后组凌家塘3号-2</t>
  </si>
  <si>
    <t>塑料包装</t>
  </si>
  <si>
    <t>王金良</t>
  </si>
  <si>
    <t xml:space="preserve">13861132916 </t>
  </si>
  <si>
    <t>江苏松立太阳能科技有限公司</t>
  </si>
  <si>
    <t>邹区灯具城</t>
  </si>
  <si>
    <t>灯具照明</t>
  </si>
  <si>
    <t>2千多万</t>
  </si>
  <si>
    <t>潘会芹</t>
  </si>
  <si>
    <t>路灯，户外灯，核心部件外部采购，常州本地组装。盐城工厂做光伏产品加工</t>
  </si>
  <si>
    <t>城市建设，庭院装饰</t>
  </si>
  <si>
    <t>海外营销拓展需求</t>
  </si>
  <si>
    <t>海外市场业务拓展</t>
  </si>
  <si>
    <t>国内利润下滑严重</t>
  </si>
  <si>
    <t>跨境市场营销推广策划及获客</t>
  </si>
  <si>
    <t>高</t>
  </si>
  <si>
    <t>可能</t>
  </si>
  <si>
    <t>2025，12，30</t>
  </si>
  <si>
    <t>江苏省照明协会，渠道市场专业委员会。协会层面合作会议培训，企业推荐，办活动向常照协金主任汇报</t>
  </si>
  <si>
    <t>代运营，获客与投放，品牌定位与规划设计，人才培养</t>
  </si>
  <si>
    <t>格力博江苏有限公司</t>
  </si>
  <si>
    <t>钟楼经济开发区</t>
  </si>
  <si>
    <t>2026，12，5</t>
  </si>
  <si>
    <t>江苏宣宣重工机械有限公司</t>
  </si>
  <si>
    <t>2026，12，26</t>
  </si>
  <si>
    <t>常州市弘凯进出口贸易有限公司</t>
  </si>
  <si>
    <t>江苏佳得顺热能设备有限公司</t>
  </si>
  <si>
    <t>常州华联医疗器械集团股份有限公司</t>
  </si>
  <si>
    <t>常州市威尔莱炉业有限公司</t>
  </si>
  <si>
    <t>常州美杰医疗用品有限公司</t>
  </si>
  <si>
    <t>常州华日升反光材料有限公司</t>
  </si>
  <si>
    <t>常州华威电子有限公司</t>
  </si>
  <si>
    <t>常州市善泰进出口有限公司</t>
  </si>
  <si>
    <t>常州好时新能源有限公司</t>
  </si>
  <si>
    <t>常州三提进出口有限公司</t>
  </si>
  <si>
    <t>盛德鑫泰新材料股份有限公司</t>
  </si>
  <si>
    <t>常州兴盛天和电器有限公司</t>
  </si>
  <si>
    <t>江苏豪凯机械有限公司</t>
  </si>
  <si>
    <t>常州赫裕贸易有限公司</t>
  </si>
  <si>
    <t>江苏海亚新材料科技有限公司</t>
  </si>
  <si>
    <t>常州市华展机械制造有限公司</t>
  </si>
  <si>
    <t>常州市江飞福裕工具有限公司</t>
  </si>
  <si>
    <t>江苏双马钻探工具有限公司</t>
  </si>
  <si>
    <t>常州星启电子科技有限公司</t>
  </si>
  <si>
    <t>常州永益给水设备有限公司</t>
  </si>
  <si>
    <t>常州市福兴电器有限公司</t>
  </si>
  <si>
    <t>常州品尚光电科技有限公司</t>
  </si>
  <si>
    <t>常州菲也特进出口有限公司</t>
  </si>
  <si>
    <t>江苏康北新材料有限公司</t>
  </si>
  <si>
    <t>常州栩翔材料有限公司</t>
  </si>
  <si>
    <t>江苏货同宝科技有限公司</t>
  </si>
  <si>
    <t>常州鹿禾光电有限公司</t>
  </si>
  <si>
    <t>常州市厚泽照明电器有限公司</t>
  </si>
  <si>
    <t>常州振兴中大光源材料有限公司</t>
  </si>
  <si>
    <t>江苏钜明照明电器有限公司</t>
  </si>
  <si>
    <t>江苏易创照明科技有限公司</t>
  </si>
  <si>
    <t>江苏万丰照明集团有限公司</t>
  </si>
  <si>
    <t>常州启日照明科技有限公司</t>
  </si>
  <si>
    <t>伟来照明科技（江苏）有限公司</t>
  </si>
  <si>
    <t>常州甄幕文化传媒有限公司</t>
  </si>
  <si>
    <t>钟楼区景荟大厦1幢1324室</t>
  </si>
  <si>
    <t>200万</t>
  </si>
  <si>
    <t>周子淇</t>
  </si>
  <si>
    <t>公司注册，人员办公</t>
  </si>
  <si>
    <t>工位租赁</t>
  </si>
  <si>
    <t>2026.1.13</t>
  </si>
  <si>
    <t>该公司一直做企业宣传片拍摄，手中积累了一批企业资源，目前准备自己创业做tiktok短视频带货，准备在三中心注册新公司，团队目前10个人，需要内部再商议是否全部搬过来。2026.01.29参会企业</t>
  </si>
  <si>
    <t>120平一年3万，电费1.2元，度</t>
  </si>
  <si>
    <t>常州元韬精密机械</t>
  </si>
  <si>
    <t>1亿左右（国内外）</t>
  </si>
  <si>
    <t>家居，工业领域</t>
  </si>
  <si>
    <t>proedge</t>
  </si>
  <si>
    <t>欧洲，北美，东亚</t>
  </si>
  <si>
    <t>美国，中国</t>
  </si>
  <si>
    <t>东南亚平台对接及平台培训</t>
  </si>
  <si>
    <t>目前准备开展东南亚跨境业务</t>
  </si>
  <si>
    <t>东南亚平台资源对接及培训</t>
  </si>
  <si>
    <t>2026，1，21</t>
  </si>
  <si>
    <t>获客与投放</t>
  </si>
  <si>
    <t>常州三恒展示器材有限公司</t>
  </si>
  <si>
    <t>常州市钟楼区西林街道邹傅路</t>
  </si>
  <si>
    <t>广告</t>
  </si>
  <si>
    <t>乔文亮</t>
  </si>
  <si>
    <t>显示器材</t>
  </si>
  <si>
    <t>中国人民财产保险股份有限公司常州市钟楼支公司(钟楼支公司)</t>
  </si>
  <si>
    <t>常州市钟楼区怀德中路82号澜天大厦10层</t>
  </si>
  <si>
    <t>金融</t>
  </si>
  <si>
    <t>潘乃泓</t>
  </si>
  <si>
    <t>保险</t>
  </si>
  <si>
    <t>常州贸境通外贸综合服务有限公司</t>
  </si>
  <si>
    <t>常州市钟楼区关河西路180号恒远大厦807室</t>
  </si>
  <si>
    <t>张晨旭</t>
  </si>
  <si>
    <t>外贸代理</t>
  </si>
  <si>
    <t>常州市耀灿照明电器有限公司</t>
  </si>
  <si>
    <t>常州市钟楼区邹区镇灯城路15号（邹区灯贸中心三区1幢2129号）</t>
  </si>
  <si>
    <t>灯具</t>
  </si>
  <si>
    <t>王义意</t>
  </si>
  <si>
    <t>户外灯具</t>
  </si>
  <si>
    <t>国内</t>
  </si>
  <si>
    <t>溧阳市东晨服饰制伞有限公司</t>
  </si>
  <si>
    <t>溧阳</t>
  </si>
  <si>
    <t>溧阳市竹箦镇隆兴路3号</t>
  </si>
  <si>
    <t>常州浩特塑业有限公司</t>
  </si>
  <si>
    <t>金坛</t>
  </si>
  <si>
    <t>金坛区金城镇盐港东路39号3幢11，12号</t>
  </si>
  <si>
    <t>武凡</t>
  </si>
  <si>
    <t>塑料齿轮，塑料件</t>
  </si>
  <si>
    <t>阿里国际站</t>
  </si>
  <si>
    <t>新企业，刚成立，目前对跨境电商没有需求，不愿意沟通信息</t>
  </si>
  <si>
    <t>玥航进出口贸易有限公司</t>
  </si>
  <si>
    <t>金坛区儒林镇园区北路1号1幢</t>
  </si>
  <si>
    <t>3600万</t>
  </si>
  <si>
    <t>张雷</t>
  </si>
  <si>
    <t>定制化促销礼品</t>
  </si>
  <si>
    <t>美国，德国</t>
  </si>
  <si>
    <t>3600</t>
  </si>
  <si>
    <t>1，海外专业谈判人员 2，海外订单需求开发3，需要进入海外大型企业采购白名单</t>
  </si>
  <si>
    <t>订单金额8千－2万美金，收集招标采购信息－电子邮件联系－产品需求收集－报价，谈判－打样</t>
  </si>
  <si>
    <t>人员需要配合海外采购商与政府部门洽谈。企业订单需要了解发布渠道，想要与大型海外企业合作</t>
  </si>
  <si>
    <t xml:space="preserve">
品牌定位与规划设计</t>
  </si>
  <si>
    <t>常州初造电子商务有限公司</t>
  </si>
  <si>
    <t>金坛区</t>
  </si>
  <si>
    <t>江苏万泰电机有限公司</t>
  </si>
  <si>
    <t>博洋路与长泰路交叉口西北100米</t>
  </si>
  <si>
    <t>电机行业</t>
  </si>
  <si>
    <t>朱晋辉</t>
  </si>
  <si>
    <t>跨境人才需求┋海外仓需求</t>
  </si>
  <si>
    <t>江苏宏伟进出口有限公司</t>
  </si>
  <si>
    <t>常州市金坛区金沙大道698号</t>
  </si>
  <si>
    <t>刘轩</t>
  </si>
  <si>
    <t>零配件，轧辊</t>
  </si>
  <si>
    <t>云梦山（常州）科技有限公司</t>
  </si>
  <si>
    <t>常州市武进区常武中路18-55号常州科教城美淼大厦1楼</t>
  </si>
  <si>
    <t>新能源航空动力系统 ， 电机制造</t>
  </si>
  <si>
    <t>刘品（市场总监，15061991819，Sales@cloudreamountain.com）；徐达（商务经理，15651772607，Xuda15651772607@163.com）</t>
  </si>
  <si>
    <t>https://www.cloudreamountain.com/</t>
  </si>
  <si>
    <t>新能源航空动力系统，辅助电动力系统，电机，控制器，油泵及水泵（覆盖1kW-500kW全系列）</t>
  </si>
  <si>
    <t>民航飞机，通航飞机，eVTOL，中程混合动力飞机</t>
  </si>
  <si>
    <t>云梦山科技</t>
  </si>
  <si>
    <t>常州市久林工具有限公司</t>
  </si>
  <si>
    <t>钟楼区邹区镇龙潭村30号</t>
  </si>
  <si>
    <t>五金工具制造</t>
  </si>
  <si>
    <t>董师傅，13921720087；法人代表：刘九林（执行董事兼总经理）</t>
  </si>
  <si>
    <t>五金工具，高档建筑五金件，旅游用品，塑料制品</t>
  </si>
  <si>
    <t>五金建筑，工具制造</t>
  </si>
  <si>
    <t>江苏超日净化科技有限公司</t>
  </si>
  <si>
    <t>常州市武进区常武中路18号常州科教城创研港5号楼407室</t>
  </si>
  <si>
    <t>环保设备 ， 净化科技</t>
  </si>
  <si>
    <t>李战云（副总经理，189611862+J358:J35987@163.com）；法人代表：邵嵩</t>
  </si>
  <si>
    <t>www.jschaori.com</t>
  </si>
  <si>
    <t>环保设备研发与制造，净化设备，防腐设备，塑料制品，玻璃钢制品，机械零部件</t>
  </si>
  <si>
    <t>环保工程（废气，废水，固废及土壤修复），机电设备安装</t>
  </si>
  <si>
    <t>超日净化</t>
  </si>
  <si>
    <t>江苏光线信息系统有限公司</t>
  </si>
  <si>
    <t>常州市武进区常武中路18-3号常州科教城天润科技大厦B座406</t>
  </si>
  <si>
    <t>计算机信息技术服务 ， 系统集成</t>
  </si>
  <si>
    <t>卢总（15861199996）；法人代表：潘迪</t>
  </si>
  <si>
    <t>网页和网站设计，计算机系统集成，网络系统集成，计算机软硬件开发，云计算设备，互联网数据服务，物联网技术服务，工业互联网数据服务</t>
  </si>
  <si>
    <t>IT信息服务，网络工程，安防工程，建筑装修装饰工程设计施工，3D打印，人工智能</t>
  </si>
  <si>
    <t>LANTEC</t>
  </si>
  <si>
    <t>常州市洁士达合成材料有限公司</t>
  </si>
  <si>
    <t>武进区横山桥镇北工业区</t>
  </si>
  <si>
    <t>建筑材料 ， 化工产品 ， 合成材料</t>
  </si>
  <si>
    <t>刘芸（财务总监，15951212288）；法人代表：黄晓东</t>
  </si>
  <si>
    <t>建筑材料，橡胶制品，化工产品，五金产品制造，金属材料，针纺织品，服装服饰</t>
  </si>
  <si>
    <t>建筑建材，化工，五金制造，服装服饰</t>
  </si>
  <si>
    <t>洁士达</t>
  </si>
  <si>
    <t>常州小飞猪网络科技有限公司</t>
  </si>
  <si>
    <t>常州市武进区湖塘镇三勤路23-1号</t>
  </si>
  <si>
    <t>互联网 ， 电子商务</t>
  </si>
  <si>
    <t>夏尔（管理人员，17798922163）</t>
  </si>
  <si>
    <t>深度电商供应链管理，一站式电商服务平台（代运营，设计，客服，推广等）</t>
  </si>
  <si>
    <t>电商运营（淘宝，天猫，京东，微商城，亚马逊）</t>
  </si>
  <si>
    <t>江苏华频电子科技有限公司</t>
  </si>
  <si>
    <t>武进国家高新技术产业开发区马杭南路19号</t>
  </si>
  <si>
    <t>先进制造 ， 电机及控制器制造</t>
  </si>
  <si>
    <t>18118349116，hlianw@hoprio.com</t>
  </si>
  <si>
    <t>https://www.hoprio.cn</t>
  </si>
  <si>
    <t>高压无刷电机及变频控制器的研发与制造，动力系统成套解决方案（无刷角磨机，无刷直磨机，无刷磁力钻，无刷开槽机，无刷切割机，永磁高速深井水泵等）</t>
  </si>
  <si>
    <t>电动工具，流体动力，工业控制，智能家电，农业机械，食品机械（客户包括振华重工，中船重工，中信重工，中国中车等）</t>
  </si>
  <si>
    <t>HOPRIO，雷伦工具，雷原</t>
  </si>
  <si>
    <t>常州钰泰商贸有限公司</t>
  </si>
  <si>
    <t>新北区新桥镇黄河西路197号</t>
  </si>
  <si>
    <t>跨境电商</t>
  </si>
  <si>
    <t>李思莹</t>
  </si>
  <si>
    <t>生活家居</t>
  </si>
  <si>
    <t>之前十几家亚马逊店铺，由于美国商标合规问题，销售业务大幅下降，目前5-6个店铺，出口方式双清包稅，尚未合规</t>
  </si>
  <si>
    <t>融资贷款服务商推荐</t>
  </si>
  <si>
    <t>融资贷款及运营培训</t>
  </si>
  <si>
    <t>资金风险</t>
  </si>
  <si>
    <t>税务尚未合规，对外不想透露过多信息</t>
  </si>
  <si>
    <t>2026.3.16</t>
  </si>
  <si>
    <t>无锡永骅信息科技有限公司</t>
  </si>
  <si>
    <t>无锡</t>
  </si>
  <si>
    <t>无锡市锡山区云林合心路21号</t>
  </si>
  <si>
    <t>集成电路设计</t>
  </si>
  <si>
    <t>摩托车头盔及骑行防护用品</t>
  </si>
  <si>
    <t>ILM</t>
  </si>
  <si>
    <t>2026.03.10 参会企业</t>
  </si>
  <si>
    <t>维吉国际贸易（常州）有限责任公司</t>
  </si>
  <si>
    <t>常州市钟楼区劳动西路323号4号楼205</t>
  </si>
  <si>
    <t>货物进出口</t>
  </si>
  <si>
    <t>苏州锦和吉国际贸易有限公司</t>
  </si>
  <si>
    <t>苏州</t>
  </si>
  <si>
    <t>中国（江苏）自由贸易试验区苏州片区苏州工业园区创苑路236号1号楼535室</t>
  </si>
  <si>
    <t>蓝天泳</t>
  </si>
  <si>
    <t>常州漫天户外用品有限公司</t>
  </si>
  <si>
    <t>常州市新北区薛家凤玉路26号</t>
  </si>
  <si>
    <t>家居用品制造</t>
  </si>
  <si>
    <t>宠物用品，车内装饰用品，箱包</t>
  </si>
  <si>
    <t>常州市智焱电子商务有限公司</t>
  </si>
  <si>
    <t>江苏省常州市钟楼区荷花街道大庙弄2号7楼705</t>
  </si>
  <si>
    <t>家具批发</t>
  </si>
  <si>
    <t>元韬（常州）精密切削技术有限公司</t>
  </si>
  <si>
    <t>常州经济开发区遥观镇戴洛路666号</t>
  </si>
  <si>
    <t>切削工具制造</t>
  </si>
  <si>
    <t>高品质精密金属切削刀具</t>
  </si>
  <si>
    <t>常州星禾沫荔电子商务有限公司</t>
  </si>
  <si>
    <t>江苏省常州市新北区华山中路9号1幢2层C201室</t>
  </si>
  <si>
    <t>运输设备批发</t>
  </si>
  <si>
    <t>陈颖</t>
  </si>
  <si>
    <t>常州旺宝电子商务有限公司</t>
  </si>
  <si>
    <t>江苏省常州市经济开发区横山桥镇五一新苑3幢甲单元201室</t>
  </si>
  <si>
    <t>互联网零售</t>
  </si>
  <si>
    <t>常州穗盈电子商务有限公司</t>
  </si>
  <si>
    <t>江苏省常州市新北区天山路28号4号楼2楼201室</t>
  </si>
  <si>
    <t>文教体育用品批发</t>
  </si>
  <si>
    <t>陈曼青</t>
  </si>
  <si>
    <t>常州市明创管业有限公司</t>
  </si>
  <si>
    <t>常州市武进区遥观镇郑村工业区</t>
  </si>
  <si>
    <t>先进有色金属材料制造</t>
  </si>
  <si>
    <t>常州市孟河伟宇车辆配件有限公司</t>
  </si>
  <si>
    <t>江苏省常州市新北区孟河镇汤家二路56号</t>
  </si>
  <si>
    <t>汽车零部件制造</t>
  </si>
  <si>
    <t>汤亚芬</t>
  </si>
  <si>
    <t>常州市吉亿金属制品有限公司</t>
  </si>
  <si>
    <t>江苏省常州市新北区常州市新北区薛家镇吕南路29号</t>
  </si>
  <si>
    <t>常州市禾煜启进出口贸易有限公司</t>
  </si>
  <si>
    <t>江苏省常州市新北区珠江路89号鑫海大厦608室</t>
  </si>
  <si>
    <t>常州赛里斯电子商务有限公司</t>
  </si>
  <si>
    <t>江苏省常州市天宁区恒生科技园二期31幢709室</t>
  </si>
  <si>
    <t>常州摩方科技有限公司</t>
  </si>
  <si>
    <t>江苏省常州市新北区太湖东路9号4幢727室</t>
  </si>
  <si>
    <t>超高精密微纳3D打印系统</t>
  </si>
  <si>
    <t>常州克欧克厨具有限公司</t>
  </si>
  <si>
    <t>常州市钟楼区芦墅桥北堍</t>
  </si>
  <si>
    <t>厨房用具</t>
  </si>
  <si>
    <t>常州涓洋贸易有限公司</t>
  </si>
  <si>
    <t>江苏省常州市新北区世茂商业广场7幢905室</t>
  </si>
  <si>
    <t>骆丽艳</t>
  </si>
  <si>
    <t>工厂在丹阳，跨境电商在新北区，目前在考虑走9810，销售额2千万左右，目前钱房租水电物业5万左右，面积120</t>
  </si>
  <si>
    <t>常州加吧科技有限公司</t>
  </si>
  <si>
    <t>江苏省常州市钟楼区大仓路65号五星智造园5-202A-2</t>
  </si>
  <si>
    <t>杨艳</t>
  </si>
  <si>
    <t>常州市和风电子商务有限公司</t>
  </si>
  <si>
    <t>常州市新北区黄山路217号11032室</t>
  </si>
  <si>
    <t>常州承尚电子商务有限公司</t>
  </si>
  <si>
    <t>常州市新北区太湖中路23号509室</t>
  </si>
  <si>
    <t>常州超野电子商务有限公司</t>
  </si>
  <si>
    <t>江苏省常州市新北区三井街道时代商务广场3幢1810室</t>
  </si>
  <si>
    <t>常州市新北区孟河镇九龙工业区28号</t>
  </si>
  <si>
    <t>陈会计</t>
  </si>
  <si>
    <t>常州奇点智能制造有限公司</t>
  </si>
  <si>
    <t>常州市武进区常武中路18号常州科教城天润科技大厦C座8层</t>
  </si>
  <si>
    <t>汽车制造业</t>
  </si>
  <si>
    <t>华琴</t>
  </si>
  <si>
    <t>常州海图轩电子商务有限公司</t>
  </si>
  <si>
    <t>新北区华山中路27号</t>
  </si>
  <si>
    <t>5千万</t>
  </si>
  <si>
    <t>潘海强</t>
  </si>
  <si>
    <t>汽车后市场</t>
  </si>
  <si>
    <t>企业成立三年，公司十几个运营，ebay几年前已开通，今年准备尝试。独立站准备搭建。关于跨境电商的政策及方向及运营相关培训后续可以推荐</t>
  </si>
  <si>
    <t>跨境电商政策，平台运营培训</t>
  </si>
  <si>
    <t>2026，3，20</t>
  </si>
  <si>
    <t>常州圣联电子商务有限公司</t>
  </si>
  <si>
    <t>武进区牛塘新高路18号</t>
  </si>
  <si>
    <t>4-5千万</t>
  </si>
  <si>
    <t>刑涤扬</t>
  </si>
  <si>
    <t>家居，家纺</t>
  </si>
  <si>
    <t>公司整体运营情况已比较成熟，主要做欧洲及美国亚马逊，家居及家纺类目，目前主要需求：企业管理及规划咨询，跨境电商政策咨询，跨境培训活动</t>
  </si>
  <si>
    <t>4500</t>
  </si>
  <si>
    <t>2026，3，19</t>
  </si>
  <si>
    <t>格瑞空调</t>
  </si>
  <si>
    <t>钟楼区五星街道新新智能产业园4号楼</t>
  </si>
  <si>
    <t>李轩</t>
  </si>
  <si>
    <t>空调恒温系统</t>
  </si>
  <si>
    <t>装修建筑</t>
  </si>
  <si>
    <t>一般贸易做了2年左右，独立站已搭建，主要进行东南亚及美国市场拓展，针对东南亚市场可以进行后续营销获客方案沟通</t>
  </si>
  <si>
    <t>常州次方电子商务有限公司</t>
  </si>
  <si>
    <t>创意产业园a座</t>
  </si>
  <si>
    <t>4亿</t>
  </si>
  <si>
    <t>曹总</t>
  </si>
  <si>
    <t>综合类，大件</t>
  </si>
  <si>
    <t>总部上海，武汉，常州，速卖通占比50%，2-3个亿，仓库在东莞，大老板敦煌网出身，三老板建筑出身</t>
  </si>
  <si>
    <t>45000</t>
  </si>
  <si>
    <t>亚马逊，tk，teum</t>
  </si>
  <si>
    <t>100人</t>
  </si>
  <si>
    <t>实习生推荐，政府跨境电商政策咨询</t>
  </si>
  <si>
    <t>2026，3，24</t>
  </si>
  <si>
    <t>常州聚瑞电子商务有限公司</t>
  </si>
  <si>
    <t>高新广场2号楼22</t>
  </si>
  <si>
    <t>2千万美金</t>
  </si>
  <si>
    <t>徐总</t>
  </si>
  <si>
    <t>2022年跨境电商起步，目前销售额2千万美金，目前7-8个店铺，主体在常州，孟河工厂，九龙车业</t>
  </si>
  <si>
    <t>14000</t>
  </si>
  <si>
    <t>亚马逊，ebay</t>
  </si>
  <si>
    <t>20人</t>
  </si>
  <si>
    <t>实习生推荐1-2人</t>
  </si>
  <si>
    <t>常州欧罗克家居有限公司</t>
  </si>
  <si>
    <t>常州市新北区薛家镇顺园路11号</t>
  </si>
  <si>
    <t>厨房家居用品</t>
  </si>
  <si>
    <t>1亿</t>
  </si>
  <si>
    <t>袁军</t>
  </si>
  <si>
    <t>厨房用品</t>
  </si>
  <si>
    <t>家居厨房</t>
  </si>
  <si>
    <t>该企业2018年从事跨境电商业务，主营家居厨房类目，主要市场美国，目前年销售额1亿人民币，主要问题跨境电商财税合规，其他方面暂无需求</t>
  </si>
  <si>
    <t>财税合规及跨境电商相关政策咨询</t>
  </si>
  <si>
    <t>2026，3，27</t>
  </si>
  <si>
    <t>常州鲲鹏航空有限公司</t>
  </si>
  <si>
    <t>江苏省常州市武进区常武中路18号常州科教城创研港2号楼A座312</t>
  </si>
  <si>
    <t>航空服务</t>
  </si>
  <si>
    <t>黄亚运</t>
  </si>
  <si>
    <t>2026.03.25 参会企业</t>
  </si>
  <si>
    <t>江苏尚纯自动化技术有限公司</t>
  </si>
  <si>
    <t>江苏省常州市钟楼区五星街道新新村委工业路98号</t>
  </si>
  <si>
    <t>叶子涵</t>
  </si>
  <si>
    <t>www.cn-sch.com</t>
  </si>
  <si>
    <t>常州图先电子商务有限公司</t>
  </si>
  <si>
    <t>常州市武进区常武中路801号常州科教城科教会堂南楼四楼</t>
  </si>
  <si>
    <t>王明玉</t>
  </si>
  <si>
    <t>常州视感科技有限公司</t>
  </si>
  <si>
    <t>常州市武进区常武中路18号常州科教城创研港2号楼2A2103</t>
  </si>
  <si>
    <t>专业技术服务业</t>
  </si>
  <si>
    <t>骆石川</t>
  </si>
  <si>
    <t>www.poputar.com</t>
  </si>
  <si>
    <t>常州市瑞德电子有限公司</t>
  </si>
  <si>
    <t>常州市武进区牛塘镇青云路15号</t>
  </si>
  <si>
    <t>电子零部件制造</t>
  </si>
  <si>
    <t>丁圣杰</t>
  </si>
  <si>
    <t>常州市青之峰网络科技有限公司</t>
  </si>
  <si>
    <t>武进区常武中路801号常州科教城创研港2-A1001</t>
  </si>
  <si>
    <t>IT技术服务</t>
  </si>
  <si>
    <t>郑</t>
  </si>
  <si>
    <t>www.jsmyqingfeng.cn</t>
  </si>
  <si>
    <t>云梦山智能电气有限公司</t>
  </si>
  <si>
    <t>江苏省常州市武进区常武中路18-55号常州科教城美淼大厦1楼1.2</t>
  </si>
  <si>
    <t>物联网</t>
  </si>
  <si>
    <t>钱啸天</t>
  </si>
  <si>
    <t>杭州觅渡供应链管理有限公司常州分公司</t>
  </si>
  <si>
    <t>常州市武进区常武中路18号常州科教城创研港3号楼3A1806</t>
  </si>
  <si>
    <t>陈丹丹</t>
  </si>
  <si>
    <t>宠物，汽配，健身产品</t>
  </si>
  <si>
    <t>目前常州＋杭州5-6亿销售，tiktok做了一年多，亚马逊几十个店铺，目前团队较稳定，暂时没有人员招聘需求，发货仓库在武进，本地货代发货，后续可以推荐欧洲物流供应商进行报价对比</t>
  </si>
  <si>
    <t>55000</t>
  </si>
  <si>
    <t>亚马逊，ebay，tiktok</t>
  </si>
  <si>
    <t>30人</t>
  </si>
  <si>
    <t>tiktok运营培训，供应链资源对接</t>
  </si>
  <si>
    <t>2026，4，1</t>
  </si>
  <si>
    <t>常州市产业带调研报告情况汇总表</t>
  </si>
  <si>
    <t>政府对接人</t>
  </si>
  <si>
    <t>产业带名称</t>
  </si>
  <si>
    <t>企业数量</t>
  </si>
  <si>
    <t>跨境卖家企业
（不属产业带）</t>
  </si>
  <si>
    <t>信息已完善企业</t>
  </si>
  <si>
    <t>未参加企业</t>
  </si>
  <si>
    <t>存在问题企业</t>
  </si>
  <si>
    <t>存在需求企业</t>
  </si>
  <si>
    <t>已开展跨境
电商企业</t>
  </si>
  <si>
    <t>调研有跨境电商需求的企业</t>
  </si>
  <si>
    <t>已建联企业</t>
  </si>
  <si>
    <t>意向企业</t>
  </si>
  <si>
    <t>产业带调研方式</t>
  </si>
  <si>
    <t>开始调研时间</t>
  </si>
  <si>
    <t>目前状态</t>
  </si>
  <si>
    <t>预计完成时间</t>
  </si>
  <si>
    <t>产业带调研报告完成时间</t>
  </si>
  <si>
    <t>产业带调研报告汇报时间</t>
  </si>
  <si>
    <t>张丹</t>
  </si>
  <si>
    <t>培训研讨会</t>
  </si>
  <si>
    <t>调研中</t>
  </si>
  <si>
    <t>解承</t>
  </si>
  <si>
    <t>项宇光、陈妍</t>
  </si>
  <si>
    <t>照明设备</t>
  </si>
  <si>
    <t>庄振东</t>
  </si>
  <si>
    <t>毛春松</t>
  </si>
  <si>
    <t>绿色家居</t>
  </si>
  <si>
    <t>溧阳市</t>
  </si>
  <si>
    <t>总计</t>
  </si>
  <si>
    <t>建联日期</t>
  </si>
  <si>
    <t>是否签约</t>
  </si>
  <si>
    <t>建联人</t>
  </si>
  <si>
    <t>地址</t>
  </si>
  <si>
    <t>行业</t>
  </si>
  <si>
    <t>核心产品</t>
  </si>
  <si>
    <t>总销售额</t>
  </si>
  <si>
    <t>跨境销售额</t>
  </si>
  <si>
    <t>国内销售区域</t>
  </si>
  <si>
    <t>海外销售区域</t>
  </si>
  <si>
    <t>是否开展跨境电商业务</t>
  </si>
  <si>
    <t>跨境电商业务平台</t>
  </si>
  <si>
    <t>企业需求</t>
  </si>
  <si>
    <t>跨境业务需求</t>
  </si>
  <si>
    <t>w1 01.04-01.10</t>
  </si>
  <si>
    <t>w2 01.11-01.17</t>
  </si>
  <si>
    <t>w3 01.18-01.24</t>
  </si>
  <si>
    <t>w4 01.25-01.31</t>
  </si>
  <si>
    <t>w5 02.01-02.07</t>
  </si>
  <si>
    <t>w6 02.08-02.14</t>
  </si>
  <si>
    <t>w7 02.15-02.21</t>
  </si>
  <si>
    <t>w15 04.12-04.18</t>
  </si>
  <si>
    <t>w16 04.19-04.25</t>
  </si>
  <si>
    <t>w17 04.26-05.02</t>
  </si>
  <si>
    <t>w18 05.03-05.09</t>
  </si>
  <si>
    <t>w19 05.10-05.16</t>
  </si>
  <si>
    <t>w20 05.17-05.23</t>
  </si>
  <si>
    <t>w21 05.24-05.30</t>
  </si>
  <si>
    <t>w22 05.31-06.06</t>
  </si>
  <si>
    <t>w23 06.07-06.13</t>
  </si>
  <si>
    <t>w24 06.14-06.20</t>
  </si>
  <si>
    <t>w25 06.21-06.27</t>
  </si>
  <si>
    <t>w26 06.28-07.04</t>
  </si>
  <si>
    <t>w27 07.05-07.11</t>
  </si>
  <si>
    <t>w28 07.12-07.18</t>
  </si>
  <si>
    <t>w29 07.19-07.25</t>
  </si>
  <si>
    <t>w30 07.26-08.01</t>
  </si>
  <si>
    <t>w31 08.02-08.08</t>
  </si>
  <si>
    <t>w32 08.09-08.15</t>
  </si>
  <si>
    <t>w33 08.16-08.22</t>
  </si>
  <si>
    <t>w34 08.23-08.29</t>
  </si>
  <si>
    <t>w35 08.30-09.05</t>
  </si>
  <si>
    <t>w36 09.06-09.12</t>
  </si>
  <si>
    <t>w37 09.13-09.19</t>
  </si>
  <si>
    <t>w38 09.20-09.26</t>
  </si>
  <si>
    <t>w39 09.27-10.03</t>
  </si>
  <si>
    <t>w40 10.04-10.10</t>
  </si>
  <si>
    <t>w41 10.11-10.17</t>
  </si>
  <si>
    <t>w42 10.18-10.24</t>
  </si>
  <si>
    <t>w43 10.25-10.31</t>
  </si>
  <si>
    <t>w44 11.01-11.07</t>
  </si>
  <si>
    <t>w45 11.08-11.14</t>
  </si>
  <si>
    <t>w46 11.15-11.21</t>
  </si>
  <si>
    <t>w47 11.22-11.28</t>
  </si>
  <si>
    <t>w48 11.29-12.05</t>
  </si>
  <si>
    <t>w49 12.06-12.12</t>
  </si>
  <si>
    <t>w50 12.13-12.19</t>
  </si>
  <si>
    <t>w51 12.20-12.26</t>
  </si>
  <si>
    <t>w52 12.27-01.02</t>
  </si>
  <si>
    <t>建联周数</t>
  </si>
  <si>
    <t>日期</t>
  </si>
  <si>
    <t>内容</t>
  </si>
  <si>
    <t>第2周</t>
  </si>
  <si>
    <t>全国</t>
  </si>
  <si>
    <t>企业出海规划方案</t>
  </si>
  <si>
    <t>跨境业务全流程服务</t>
  </si>
  <si>
    <t>该企业主营产品为工业机器人，月中已经上门拜访，对于跨境业务年后有拓展计划，tob或toc暂时不明确，需要等老板来做决定，企业服务协议电子版已发，等待老板审核</t>
  </si>
  <si>
    <t>目前工作调整，不负责外贸板块，由老板直接负责，本周将整体情况汇报后，如果有外贸拓展计划，将由老板直接与我们联系</t>
  </si>
  <si>
    <t>第3周</t>
  </si>
  <si>
    <t>2026.1.16</t>
  </si>
  <si>
    <t>元韬(常州)精密切削技术有限公司／慧刃科技（常州）有限公司</t>
  </si>
  <si>
    <t>钟楼区运河路50号</t>
  </si>
  <si>
    <t>五金钻头</t>
  </si>
  <si>
    <t>60万美金</t>
  </si>
  <si>
    <t>欧美</t>
  </si>
  <si>
    <t>亚马逊美国</t>
  </si>
  <si>
    <t>东南亚跨境电商平台调研（市场体量、产品销售趋势及销售定价区间）计划拓展虾皮平台</t>
  </si>
  <si>
    <t>邀约参加周四下午会议，企业服务协议已通过公司法务审核并盖章，周四带回协议</t>
  </si>
  <si>
    <t>第48周</t>
  </si>
  <si>
    <t>2025.12.2</t>
  </si>
  <si>
    <t>格力博(江苏)股份有限公司</t>
  </si>
  <si>
    <t>钟楼经济开发区
星港路65-1号</t>
  </si>
  <si>
    <t>吴海峰</t>
  </si>
  <si>
    <t>园林工具</t>
  </si>
  <si>
    <t>割草机、电动工具</t>
  </si>
  <si>
    <t>54亿</t>
  </si>
  <si>
    <t>10亿</t>
  </si>
  <si>
    <t>全球市场</t>
  </si>
  <si>
    <t>亚马逊美国、欧洲、独立站</t>
  </si>
  <si>
    <t>海外仓</t>
  </si>
  <si>
    <t>欧洲海外仓及本土物流资源对接，东南亚市场调研</t>
  </si>
  <si>
    <t>之前欧洲海外仓价格偏高，需要海外仓资源，进行价格对比，已对接爱瑞派陈立洲，保持跟进</t>
  </si>
  <si>
    <t>第29周</t>
  </si>
  <si>
    <t>2025.7.18</t>
  </si>
  <si>
    <t>汉得利（常州）电子股份有限公司／常州奇点智能制造有限公司</t>
  </si>
  <si>
    <t>新北区黄河西路199号</t>
  </si>
  <si>
    <t>3亿（国内电子元器件产品）</t>
  </si>
  <si>
    <t>亚马逊美区注册中</t>
  </si>
  <si>
    <t>亚马逊运营技巧及平台规则培训</t>
  </si>
  <si>
    <t>企业为工贸一体企业，目前产品不适合做跨境电商，该企业已重新注册新公司，开展亚马逊美区跨境电商业务，企业服务协议已签署</t>
  </si>
  <si>
    <t>2026.1.12</t>
  </si>
  <si>
    <t>常州卓美办公用品有限公司／常州赫德进出口有限公司</t>
  </si>
  <si>
    <t>武进区湖塘镇延政中路5号-1801</t>
  </si>
  <si>
    <t>笔记本、纸张、办公用笔</t>
  </si>
  <si>
    <t>6亿</t>
  </si>
  <si>
    <t>3千万</t>
  </si>
  <si>
    <t>亚马逊美区</t>
  </si>
  <si>
    <t>1、财税合规培训； 2、营业执照地址变更（无人员办公、有社保、有交易额）</t>
  </si>
  <si>
    <t>该企业为贸易公司，得力在常州的代理商，目前国内线上平台5-6亿每年，跨境电商平台为美国亚马逊，年销售3千万左右，目前亚马逊后台注册地址为家庭地址，需要进行合规化管理，企业服务协议已签</t>
  </si>
  <si>
    <t>注册新公司事宜年前暂时不推进，需要再观望税务部门的政策方向，年后再联系</t>
  </si>
  <si>
    <t>天宁区黑牡丹科技园14幢</t>
  </si>
  <si>
    <t>阻燃化工原料（水菱美）</t>
  </si>
  <si>
    <t>400万</t>
  </si>
  <si>
    <t>流量营销获客</t>
  </si>
  <si>
    <t>独立站搭建及营销获客，企业规模较小，预算有限</t>
  </si>
  <si>
    <t>该企业为贸易公司，目前主营化工原料，国内贸易为主，2026年准备开展跨境业务，目前企业官网已经搭建完成，后续考虑搭建营销型独立站，下周放假，保持跟进，企业服务协议电子版已发。</t>
  </si>
  <si>
    <t>该企业1月29日已面谈，年后考虑拓展独立站平台，目前企业已放假，年后联系企业服务协议签约</t>
  </si>
  <si>
    <t>电话沟通企业服务协议签约事宜，协议内容已通过老板审核，正在进行盖章流程申请。跨境业务开展进行本周老板正在开会讨论，下周邀约时间面谈详细计划</t>
  </si>
  <si>
    <t>企业服务协议已签约，目前tob业务方向企业老板尚未确定，保持跟进</t>
  </si>
  <si>
    <t>已签约企业，目前正在搭建企业网站，详细沟通了网络营销推广的方向，还需要公司老板做出最终决定与方向，目前国内外市场都有考虑发展，保持跟进</t>
  </si>
  <si>
    <t>第5周</t>
  </si>
  <si>
    <t>2026.1.29</t>
  </si>
  <si>
    <t>常州仪轩激光技术有限公司</t>
  </si>
  <si>
    <t>技术研发</t>
  </si>
  <si>
    <t>充电宝（带点火功能）</t>
  </si>
  <si>
    <t>计划tiktok美区</t>
  </si>
  <si>
    <t>tiktok美区开店流程辅导，产品上架资质查询及代运营需求</t>
  </si>
  <si>
    <t>公司产品目前已研发完成，准备通过tiktok拓展美国市场，目前需要协助进行目的国准入资质确认及办理，tiktok平台需求数据分析，企业服务协议电子版已发送</t>
  </si>
  <si>
    <t>企业服务协议已签署，目前准备对接tiktok 3c品类经理了解平台准入政策</t>
  </si>
  <si>
    <t>周子琪</t>
  </si>
  <si>
    <t>综合</t>
  </si>
  <si>
    <t>家居生活</t>
  </si>
  <si>
    <t>公司注册，工位租赁，可以正常退税，有人员办公</t>
  </si>
  <si>
    <t>该公司主要为企业提供企业宣传片拍摄，在常州积累了部分企业资源，计划在三中心注册新的公司 开展tiktok业务</t>
  </si>
  <si>
    <t>与邹总一起接待周总，目前已明确入驻三中心开展tiktok业务，节前完成战略合作协议及招商租赁协议签署，后续三中心培训活动可以协助免费拍摄</t>
  </si>
  <si>
    <t>第39周</t>
  </si>
  <si>
    <t>2025.9.23</t>
  </si>
  <si>
    <t>谢岳秀</t>
  </si>
  <si>
    <t>阻燃服</t>
  </si>
  <si>
    <t>亚马逊、独立站</t>
  </si>
  <si>
    <t>欧洲品牌出海规划</t>
  </si>
  <si>
    <t>欧洲财税合规及市场准入调研</t>
  </si>
  <si>
    <t>本周工作安排已满，2月第一周约时间详细沟通欧洲市场拓展需求</t>
  </si>
  <si>
    <t>欧洲亚马逊店由于合规问题，已关闭，ce认证已暂停，美国工业阻燃服关税50%，4家亚马逊店铺，2家常州，2家苏州，冲锋衣目前在美国注册子公司进行销售，年后4-5月份再联系欧洲业务拓展计划</t>
  </si>
  <si>
    <t>蒋文惠</t>
  </si>
  <si>
    <t>物流</t>
  </si>
  <si>
    <t>马来西亚建材类产品海运物流及落地配</t>
  </si>
  <si>
    <t>该企业与国企合作在马来西亚建设产业园区并负责运营，目前在找寻专业物流商进行合作，发货产品为装修材料，企业服务协议电子版已发送</t>
  </si>
  <si>
    <t>该企业在马来西亚建设产业园区并负责运营，需要运输建材至马来西亚，已与环洋物流许总拜访对接，后续保持跟进环洋物流服务进度，企业服务协议已签署</t>
  </si>
  <si>
    <t>第6周</t>
  </si>
  <si>
    <t>2026.2.2</t>
  </si>
  <si>
    <t>常州浩金机电科技有限公司</t>
  </si>
  <si>
    <t>天宁区鹤苑新都3幢</t>
  </si>
  <si>
    <t>工业智能</t>
  </si>
  <si>
    <t>传感器、连接器</t>
  </si>
  <si>
    <t>5-6百万</t>
  </si>
  <si>
    <t>跨境tob业务平台搭建及获客</t>
  </si>
  <si>
    <t>目前只开展国内业务，贸易公司，年销售几百万，跨境tob业务年后有计划，本周在外岀差，下周放假，年后再联系</t>
  </si>
  <si>
    <t>医顺通江苏科技有限公司</t>
  </si>
  <si>
    <t>武进区湖塘镇府南社区莱蒙城53幢二层</t>
  </si>
  <si>
    <t>医疗设备</t>
  </si>
  <si>
    <t>5亿</t>
  </si>
  <si>
    <t>暂无明确计划，保持跟进</t>
  </si>
  <si>
    <t>目前主要做国内市场，一年5亿左右销售额，跨境业务目前还在公司内部进行商讨，没有明确开展计划，已加微信，保持沟通</t>
  </si>
  <si>
    <t>经济开发区潞城街道五一路285号</t>
  </si>
  <si>
    <t>6-7百万</t>
  </si>
  <si>
    <t>主要生产儿童陪伴人工智能体，目前产品测试中，暂时没有考虑跨境业务</t>
  </si>
  <si>
    <t>贸易（卖家）</t>
  </si>
  <si>
    <t>服装、环保产品</t>
  </si>
  <si>
    <t>亚马逊有自营团队，目前暂无明确需求，有培训可以通知参加</t>
  </si>
  <si>
    <t>已加微信，目前暂无其他运营需求，年前出差较多，年后再联系</t>
  </si>
  <si>
    <t>金坛区金沙大道698号</t>
  </si>
  <si>
    <t>贸易公司，目前没有开展跨境业务的需求，未参会，保持联系，微信已加</t>
  </si>
  <si>
    <t>天宁区丽华北路291号815、817室／武进区人民路（办公）</t>
  </si>
  <si>
    <t>纺织面料</t>
  </si>
  <si>
    <t>灯芯绒，色织布</t>
  </si>
  <si>
    <t>5-6千万</t>
  </si>
  <si>
    <t>3-4百万</t>
  </si>
  <si>
    <t>欧洲、东南亚</t>
  </si>
  <si>
    <t>跨境人才</t>
  </si>
  <si>
    <t>外贸业务人员需求，可接受实习生1-－2人，需要英语口语流利，年后协助对接高校</t>
  </si>
  <si>
    <t>公司目前依靠传统贸易及展会拓展海外订单，目前海外订单逐步缩减，正在考虑跨境线上业务拓展方向，企业服务协议已签约</t>
  </si>
  <si>
    <t>需求：1、外贸基础人员1人，纺织面料行业，可以接受高校实习生。2、今年准备开拓汽配内饰件跨境电商业务；汽车天窗拉板、遮阳帘、遮雾帘，化妆镜（奇瑞、长安、长城、蔚来），企业内部评估后再制定实施方案</t>
  </si>
  <si>
    <t>已明确招聘需求，并发送岗位职责，已建群沟通实习人员招聘事宜。</t>
  </si>
  <si>
    <t xml:space="preserve">袁薇 </t>
  </si>
  <si>
    <t>牛仔面料</t>
  </si>
  <si>
    <t>2－－3千万</t>
  </si>
  <si>
    <t>1500万</t>
  </si>
  <si>
    <t>跨境电商基础内容培训，公司无跨境电商运营人员</t>
  </si>
  <si>
    <t>该企业为传统贸易型企业，对于跨境电商不了解，2026年有跨境电商业务开展计划，目前还在学习阶段，有培训可以邀约参加，企业服务协议已交给老板审核</t>
  </si>
  <si>
    <t>第50周</t>
  </si>
  <si>
    <t>2025.12.10</t>
  </si>
  <si>
    <t>玖赐服饰／常州云创供应链管理有限公司</t>
  </si>
  <si>
    <t>武进区常武中路18号常州科教城天润大厦科技大厦C座703室</t>
  </si>
  <si>
    <t>王常胜</t>
  </si>
  <si>
    <t>工厂</t>
  </si>
  <si>
    <t>服装代加工</t>
  </si>
  <si>
    <t>服装行业，目前已国内代加工为主，年后计划拓展跨境电商业务，具体需求需要见面详细沟通</t>
  </si>
  <si>
    <t>目前已国内代加工为主，年后计划拓展跨境电商业务，目前在海南出差，12号见面详细沟通跨境需求并签约服务协议</t>
  </si>
  <si>
    <t>电话跟进企业服务协议签约事宜，目前在上海岀差，明天再联系</t>
  </si>
  <si>
    <t>企业服务协议已签署</t>
  </si>
  <si>
    <t>2026.2.5</t>
  </si>
  <si>
    <t>天宁区青阳北路1号15幢甲单元501室</t>
  </si>
  <si>
    <t>设备制造</t>
  </si>
  <si>
    <t>半导体管件、液压管件</t>
  </si>
  <si>
    <t>500万</t>
  </si>
  <si>
    <t>印度、韩国、越南</t>
  </si>
  <si>
    <t>跨境电商保险服务</t>
  </si>
  <si>
    <t>生产制造型企业，目前贸易模式为一般贸易，主要需求为跨境信用保险</t>
  </si>
  <si>
    <t>生产制造型企业，目前贸易模式为一般贸易，由于企业成立时间较短，中信保不提供跨境信用保险服务，计划联合常州太保解决企业需求，已邀约下周拜访</t>
  </si>
  <si>
    <t>目前外贸业务饱和，主要靠老客户维持，毛利10%，没有考虑过拓展新客户，后续跟老板进行汇报，根据企业后续规划在沟通最重需求，企业服务协议已留给负责人进行内部审核</t>
  </si>
  <si>
    <t>江苏浩万国际贸易</t>
  </si>
  <si>
    <t>电动车</t>
  </si>
  <si>
    <t>3.5亿</t>
  </si>
  <si>
    <t>独立站（代理商搭建）</t>
  </si>
  <si>
    <t>跨境电商toc运营及市场拓展，海外人才招聘（奥地利仓管、财务）</t>
  </si>
  <si>
    <t>非洲、南美、中亚。2018年进入欧洲市场，考虑德国、奥地利跨境电商市场，目前全欧洲有代理商，售后由代理商下的门店负责。德国及奥地利有本地分公司，目前主要问题德国线上销售后与门店之间的财税结算问题，德国市场线上本本店铺平台搭建的成本费用构成，以及海外仓的报价。仓库主要法兰克福。奥地利分公司当地中国留学，仓库管理，产品出库入库（入职后可以有推荐费用），当地电视台做广告，fb及ins上做广告投放</t>
  </si>
  <si>
    <t>本周要去国外岀差，3月中下旬再约见面洽谈欧洲市场跨境电商拓展事宜</t>
  </si>
  <si>
    <t>目前已与欧洲当地的服务商合作toc业务，该服务商不收取费用，可以提供整套解决方案，根据销售额进行提点，后续有其他需求再联系</t>
  </si>
  <si>
    <t>第7周</t>
  </si>
  <si>
    <t>邹总、朱晓春</t>
  </si>
  <si>
    <t>新北区通江中路315号B座10楼（星北大厦）</t>
  </si>
  <si>
    <t>通信行业</t>
  </si>
  <si>
    <t>信息面板、配线架、理线器、光纤、光纤配线架、</t>
  </si>
  <si>
    <t>江苏</t>
  </si>
  <si>
    <t>1、专业外贸人员需要招聘1-2人                        2、产品检测认证            3、海外经销商及代理商渠道拓展</t>
  </si>
  <si>
    <t>目前外贸人员1人，2006年开始运营，国内已注册，2024年京东跨境投入十几万运营失败，阿里1688国内投入失败。25年开始搭建独立站，目前效果一般，跨境电商零基础，2026年准备拓展跨境tob业务，需要三中心协助提供整体规划。</t>
  </si>
  <si>
    <t>新北区华山路18号（注册地）    办公地：武进高新区</t>
  </si>
  <si>
    <t>刘总</t>
  </si>
  <si>
    <t>展示展览</t>
  </si>
  <si>
    <t>活动展架、展台、易拉宝</t>
  </si>
  <si>
    <t>美国。欧洲</t>
  </si>
  <si>
    <t>1、美国物流快递费用较高，货量占80%                     2、欧洲部分国家清关问题    3、跨境财税合规及政策解读</t>
  </si>
  <si>
    <t>该企业为工贸一体，已搭建独立站，主要从事定制展示器材及展台等产品销售，年销售4千万左右，美区占比80%，欧洲区域20%，计划在德国开设公司，美国已租赁海外仓，今年计划大力推动欧洲市场，目前主要需求为北美空运费用优化，欧洲部分国家清关协助，企业服务协议已签署</t>
  </si>
  <si>
    <t>2025.11.27</t>
  </si>
  <si>
    <t>天宁区青洋北路77号</t>
  </si>
  <si>
    <t>谢玉溪</t>
  </si>
  <si>
    <t>健身器材</t>
  </si>
  <si>
    <t>五</t>
  </si>
  <si>
    <t>韩国</t>
  </si>
  <si>
    <t>开通韩国coupang平台，新公司注册三中心</t>
  </si>
  <si>
    <t>明确开展跨境电商业务，主要针对韩国市场，运营人员预计3月中旬到岗，3月份再沟通具体项目启动及新公司注册事宜</t>
  </si>
  <si>
    <t>2025.2.5</t>
  </si>
  <si>
    <t>天宁区郑陆镇花园村委周塘桥124号</t>
  </si>
  <si>
    <t>树脂砂轮，研磨片</t>
  </si>
  <si>
    <t>东南亚，东欧</t>
  </si>
  <si>
    <t>跨境电商线上零基础，2026年有拓展跨境电商业务计划</t>
  </si>
  <si>
    <t>目前工厂休假中，年初十正常开工，今年有计划拓展跨境电商业务，下周约时间具体面谈需求</t>
  </si>
  <si>
    <t>目前公司没有跨境电商运营人员，准备自己招聘运营人员，计划5月份开展跨境电商业务，目前正在处理外贸出口退税事宜，企业服务协议已发，正在内部审核中。</t>
  </si>
  <si>
    <t>亚马逊零售正在考虑开展，目前展会事务较多，需要等到广交会之后才有时间进行工作开展。</t>
  </si>
  <si>
    <t>本周刚开工，事务较多，下周再联系拜访</t>
  </si>
  <si>
    <t>2025.1.9</t>
  </si>
  <si>
    <t>江苏白鹭电器集团股份有限公司</t>
  </si>
  <si>
    <t>经开区横林镇镇西工业区通顺路4号</t>
  </si>
  <si>
    <t>橡塑制品</t>
  </si>
  <si>
    <t>工业阻燃胶带、压力开关</t>
  </si>
  <si>
    <t>1.5亿</t>
  </si>
  <si>
    <t>全球市场（东南亚为主）</t>
  </si>
  <si>
    <t>跨境电商线上零基础，2026年有拓展跨境电商业务计划，目前针对亚马逊平台需要提供业务陪跑或代运营服务。</t>
  </si>
  <si>
    <t>目前工厂尚未全部开工，下周一约时间具体面谈跨境电商业务开展规划，计划拓展平台：亚马逊</t>
  </si>
  <si>
    <t>目前东南亚市场主要客户为主机厂（海尔、美的等），公司老板与中淘家居正在接触，准备洽谈跨境电商合作，负责人目前还未明确与中淘的合作模式，待本周与中淘沟通完合作方式后，再与我们详细沟通业务开展方式，目前倾向亚马逊运营陪跑，不考虑培训及代运营。</t>
  </si>
  <si>
    <t>与白鹭钱总沟通跨境电商拓展计划，目前与中淘家居只是采买关系，跨境电商会自建团队，目前展会较多，需要4月底再沟通</t>
  </si>
  <si>
    <t>天宁区大明北路1738号中交·智荟港产业园8#02</t>
  </si>
  <si>
    <t>陆晓清</t>
  </si>
  <si>
    <t>智能出行</t>
  </si>
  <si>
    <t>电动滑板</t>
  </si>
  <si>
    <t>美国，东南亚</t>
  </si>
  <si>
    <t>2026年计划拓展欧洲市场，之前欧洲参展3年，目前有开设欧洲海外仓的计划，并通过线上线下结合的渠道拓展经销商寄采购商</t>
  </si>
  <si>
    <t>已明确2026年开始进行欧洲市场的拓展，目前正在制定整体业务方向，与爱瑞派陈立洲一同拜访，需要先制定初步执行方案，再约见面沟通细节。</t>
  </si>
  <si>
    <t>第9周</t>
  </si>
  <si>
    <t>2026.3.3</t>
  </si>
  <si>
    <t>新北区太湖中路21号706室</t>
  </si>
  <si>
    <t>智能设备</t>
  </si>
  <si>
    <t>门禁卡，芯片卡等</t>
  </si>
  <si>
    <t>跨境tob业务市场拓展，独立站搭建与运营</t>
  </si>
  <si>
    <t>对于跨境tob市场业务拓展有需求，需要详细沟通三中心的赋能方向，本周约时间见面详细沟通</t>
  </si>
  <si>
    <t>该企业从事一般贸易，目前国内年销售额1个亿左右（化工危险品），门禁卡类产品跨境销售额80万美金左右，公司人数较少，对于团队建设人员招聘没有需求，2年前做过英文网站，投放 Google广告，效果一般，目前广告已暂停，考虑重新搭建独立站并进行线上引流推广，企业服务协议已签署</t>
  </si>
  <si>
    <t>2026.3.4</t>
  </si>
  <si>
    <t>张铭豪</t>
  </si>
  <si>
    <t>整体卫浴、台盆、化妆镜</t>
  </si>
  <si>
    <t>跨境业务零基础，海外市场情况不了解，跨境tob及toc业务拓展协助</t>
  </si>
  <si>
    <t>公司外贸业务刚刚准备起步，独立站已搭建，目前在项目筹备期，对于外贸市场情况不了解，需要协助进行整体规划的协助，保持跟进。</t>
  </si>
  <si>
    <t>老板已明确拓展跨境电商业务，目标拓展美国市场及东南亚市场。企业计划通过3年左右时间进行项目操作。目前4个人：庄总＋1个人员跨境电商专业毕业生＋国内电商运营2人</t>
  </si>
  <si>
    <t>第10周</t>
  </si>
  <si>
    <t>2026.3.6</t>
  </si>
  <si>
    <t>1千万</t>
  </si>
  <si>
    <t>欧洲，韩国</t>
  </si>
  <si>
    <t>跨境电商业务思路拓展及tob引流推广</t>
  </si>
  <si>
    <t>一直从事传统贸易，对于跨境电商行业情况不了解，没有选品思路，想了解geo营销引流，计划联合冠捷进行开发</t>
  </si>
  <si>
    <t>公司法务建议企业暂时没有实质性需求前不要签署协议，保持联系</t>
  </si>
  <si>
    <t>2026.3.9</t>
  </si>
  <si>
    <t>常州翠郎国际贸易有限公司</t>
  </si>
  <si>
    <t>天宁区人才大厦</t>
  </si>
  <si>
    <t>孔卫宝</t>
  </si>
  <si>
    <t>中亚、俄罗斯、南美</t>
  </si>
  <si>
    <t>独立站、中国制造网</t>
  </si>
  <si>
    <t>海外展会需求</t>
  </si>
  <si>
    <t>欧洲展会场馆优化</t>
  </si>
  <si>
    <t>目前年销售额2亿左右，其中高端产品300万，主要从事跨境tob业务，目前对于欧洲参展事务有需求，之前一直是中国馆，希望能够进入欧洲馆进行参展</t>
  </si>
  <si>
    <t>2026.3.10</t>
  </si>
  <si>
    <t>新北区世茂广场905</t>
  </si>
  <si>
    <t>外观件，装饰件</t>
  </si>
  <si>
    <t>亚马逊、ebay</t>
  </si>
  <si>
    <t>跨境电商成熟型企业，暂无业务方向需求</t>
  </si>
  <si>
    <t>家居类</t>
  </si>
  <si>
    <t>跨境电商结算咨询</t>
  </si>
  <si>
    <t>之前十几家亚马逊店铺，由于美国商标合规问题，销售业务大幅下降，目前5-6个店铺，出口方式双清包稅，尚未合规，目前需求：融资贷款及运营培训</t>
  </si>
  <si>
    <t>2026.3.20</t>
  </si>
  <si>
    <t>武进区牛塘镇新高路18号b栋220</t>
  </si>
  <si>
    <t>家居纺织品</t>
  </si>
  <si>
    <t>跨境电商培训、跨境电商政策咨询，企业发展规划辅导</t>
  </si>
  <si>
    <t>2026.3.18</t>
  </si>
  <si>
    <t>2017年开始从事跨境电商行业，目前团队20人左右，运营团队比较成熟，后续关于跨境电商相关政策咨询及企业发展规划可以进行相关对接，企业服务协议已签署</t>
  </si>
  <si>
    <t>恒温空调系统</t>
  </si>
  <si>
    <t>美国、东南亚</t>
  </si>
  <si>
    <t>东南亚营销获客</t>
  </si>
  <si>
    <t>该企业外贸开展2年左右，目前出口销售额2千万，后续针对东南亚市场营销获客可以再次沟通，企业服务协议电子版已发给负责人</t>
  </si>
  <si>
    <t>税务合规咨询</t>
  </si>
  <si>
    <t>税务合规及跨境电商政策指导</t>
  </si>
  <si>
    <t>2026.3.24</t>
  </si>
  <si>
    <t>新北区创意产业园A座</t>
  </si>
  <si>
    <t>曹睿倩</t>
  </si>
  <si>
    <t>综合类</t>
  </si>
  <si>
    <t>美国、欧洲</t>
  </si>
  <si>
    <t>亚马逊、tk、teum、美客多</t>
  </si>
  <si>
    <t>税务合规及跨境电商政策指导、政府端跨境电商政策、基础人才招聘</t>
  </si>
  <si>
    <t>该企业2019年常州公司建立，目前上海、武汉均有公司，发货统一在东莞，主要痛点跨境电商合规。基础人才招聘后续可以尝试跟进合作。</t>
  </si>
  <si>
    <t>新北区高新广场2号楼22楼</t>
  </si>
  <si>
    <t>徐卫军</t>
  </si>
  <si>
    <t>跨境电商基础人才招聘1-2人</t>
  </si>
  <si>
    <t>2022年跨境电商起步，目前销售额2千万美金，目前7-8个店铺，主体在常州，孟河工厂，九龙车业，目前准备招聘1-2名运营，可以尝试实习生</t>
  </si>
  <si>
    <t>2026.3.26</t>
  </si>
  <si>
    <t>常州市武进区牛塘镇工业园区</t>
  </si>
  <si>
    <t>汽车保险丝</t>
  </si>
  <si>
    <t>1千万人民币</t>
  </si>
  <si>
    <t>东南亚，欧美</t>
  </si>
  <si>
    <t>工厂从事一般贸易，暂无开展跨境电商业务计划，暂无其他需求</t>
  </si>
  <si>
    <t>武进区常武中路801号</t>
  </si>
  <si>
    <t>1千万美金</t>
  </si>
  <si>
    <t>财税合规及政府端政策支持</t>
  </si>
  <si>
    <t>该企业一直从事跨境电商业务，主营服装行业，年销售额1千万美金美金左右，目前主要需求跨境电商财税合规，负责人在外地岀差，下周邀约面谈企业服务协议签约事宜</t>
  </si>
  <si>
    <t>2026.3.27</t>
  </si>
  <si>
    <t>1亿人民币</t>
  </si>
  <si>
    <t>2026.4.1</t>
  </si>
  <si>
    <t>武进区科教城2号楼</t>
  </si>
  <si>
    <t>宠物、汽配、健身产品</t>
  </si>
  <si>
    <t>5-6亿（常州＋杭州）</t>
  </si>
  <si>
    <t>亚马逊、tiktok</t>
  </si>
  <si>
    <t>跨境电商财税合规，政府政策咨询、家用医疗产品供应链咨询、tiktok运营培训交流</t>
  </si>
  <si>
    <t>目前常州＋杭州5-6亿销售（常州本地团队3亿左右），tiktok做了一年多，亚马逊几十个店铺，目前团队较稳定，暂时没有人员招聘需求，发货仓库在武进，本地报关发货，后续可以推荐欧美物流供应商进行报价对比</t>
  </si>
  <si>
    <t>常州立峰广告传媒有限公司</t>
  </si>
  <si>
    <t>武进区湖塘镇府东路2号誉天大厦1125号</t>
  </si>
  <si>
    <t>张涛峰</t>
  </si>
  <si>
    <t>企业建联及需求汇总表</t>
  </si>
  <si>
    <t>企业数</t>
  </si>
  <si>
    <t>建联企业</t>
  </si>
  <si>
    <t>拜访企业</t>
  </si>
  <si>
    <t>签约企业</t>
  </si>
  <si>
    <t>企业需求调查</t>
  </si>
  <si>
    <t>海关监管咨询</t>
  </si>
  <si>
    <t>产品供应链需求</t>
  </si>
  <si>
    <t>跨境电商结算及金融咨询</t>
  </si>
  <si>
    <t xml:space="preserve"> 重点企业经营情况分析</t>
  </si>
  <si>
    <t>核心产品/服务</t>
  </si>
  <si>
    <t xml:space="preserve">外贸模式 </t>
  </si>
  <si>
    <t>是否有进出口收发货人资质 
（是/否）</t>
  </si>
  <si>
    <t>销售模式</t>
  </si>
  <si>
    <t>主要市场</t>
  </si>
  <si>
    <t>跨境业务中的问题</t>
  </si>
  <si>
    <t>是否作为标杆／原因</t>
  </si>
  <si>
    <t>标杆企业打造标签</t>
  </si>
  <si>
    <t>需要的支持</t>
  </si>
  <si>
    <t>建议下一步计划</t>
  </si>
  <si>
    <t>常州裕丰家具有限公司</t>
  </si>
  <si>
    <t>武进区横林镇通顺路5号</t>
  </si>
  <si>
    <t>3亿</t>
  </si>
  <si>
    <t>沙发，医疗床</t>
  </si>
  <si>
    <t>海外经销商或代工</t>
  </si>
  <si>
    <t>欧美、日韩</t>
  </si>
  <si>
    <t>目前美国区域由于各种原因销量下降严重，需要开拓欧洲市场</t>
  </si>
  <si>
    <t>需要拓展欧洲市场，2026年启动计划，需要欧洲当地展厅及市场拓展人员</t>
  </si>
  <si>
    <t>是，目前外贸销售额3个亿左右，美国市场份额下降严重，企业自身有拓展欧洲市场的计划</t>
  </si>
  <si>
    <t>跨境B2B／欧洲市场拓展</t>
  </si>
  <si>
    <t>1、欧洲品牌打造及当地市场拓展人员</t>
  </si>
  <si>
    <t>1、欧洲当地开设展厅，并招聘当地市场拓展人员</t>
  </si>
  <si>
    <t>负责人王总离职，确定负责人后继续跟进</t>
  </si>
  <si>
    <t>新的负责人信息尚未获取，已委托太保丁总协助联系</t>
  </si>
  <si>
    <t>黑牡丹集团荣元服饰</t>
  </si>
  <si>
    <t>天宁区龙锦路510号</t>
  </si>
  <si>
    <t>徐同英</t>
  </si>
  <si>
    <t>海外代工</t>
  </si>
  <si>
    <t>国内、美国</t>
  </si>
  <si>
    <t>国企库存管理问题</t>
  </si>
  <si>
    <t>国企，之前尝试跨境电商转型失败，如果重新开始跨境电商业务，需要解决国有资产库存管理问题及跨境运营团队搭建</t>
  </si>
  <si>
    <t>是，国有企业，一直从事外贸代工，国内品牌已逐步稳定，可以尝试进行海外品牌拓展</t>
  </si>
  <si>
    <t>跨境B2B</t>
  </si>
  <si>
    <t>1、海外库存管理及品牌打造，海外仓政策支持</t>
  </si>
  <si>
    <t>1、解决海外产品库存问题。2、与跨境代运营公司合作，快速拓展业务</t>
  </si>
  <si>
    <t>目前没有跨境业务规划，希望对同行业跨境服装的做法进一步了解，可以组织纺织服装跨境专题研讨</t>
  </si>
  <si>
    <t>常州时盈跨境电商有限公司</t>
  </si>
  <si>
    <t>武进区湖塘镇杨区路26号</t>
  </si>
  <si>
    <t>周敏</t>
  </si>
  <si>
    <t>线上平台</t>
  </si>
  <si>
    <t>运营人员、跨境平台运营培训</t>
  </si>
  <si>
    <t>跨境电商卖家，已与三中心合作，目前亚马逊销售已到瓶颈期，需要多平台共同发展</t>
  </si>
  <si>
    <t>是，跨境电商卖家，已具备多年的运营经验，希望可以多平台同时发展。</t>
  </si>
  <si>
    <t>跨境B2C／新兴市场拓展</t>
  </si>
  <si>
    <t>1、跨境人才支持及运营培训需求</t>
  </si>
  <si>
    <t>1、参与跨境平台运营培训，提升员工运营能力</t>
  </si>
  <si>
    <t>1. 希望参与TIKTOK和亚马逊运营培训
2. 新兴市场：可以考虑韩国，中东市场等</t>
  </si>
  <si>
    <t>年后根据业务开展情况制定人员办公计划，针对海外留学生兼职tk直播可以进行初步尝试</t>
  </si>
  <si>
    <t>工业阻燃服饰</t>
  </si>
  <si>
    <t>1、独立站业务拓展，目前一年600万美金。     2、欧洲市场计划拓展，目前尚未开始                    3、物流时效、物流成本上涨、海外仓扩建</t>
  </si>
  <si>
    <t>1、欧洲市场品牌拓展需求；   2、独立站业务需要快速扩大；    3、有经验的平台运营人员需求；4、2026年准备开始生产冲锋衣，有市场拓展及流量获取需求</t>
  </si>
  <si>
    <t>是，目前跨境体量属于中部卖家，2026年有新产品及市场拓展计划，有资金投入实力，可以作为标杆企业打造</t>
  </si>
  <si>
    <t>跨境B2C／欧洲市场拓展</t>
  </si>
  <si>
    <t>1、欧洲海外市场拓展            2、海外仓扩建政策支持</t>
  </si>
  <si>
    <t>1、欧洲市场调研，涉及市场准入、合规等。        2、与欧洲市场品牌出海服务商合作，共同打造欧洲销售渠道</t>
  </si>
  <si>
    <t xml:space="preserve">下周联合产品检测服务商和品牌服务服务商共同拜访明确具体需求后准备方案。（月底约时间沟通欧洲财税合规问题） </t>
  </si>
  <si>
    <t>1月最后一周约见面详细沟通欧洲市场拓展计划</t>
  </si>
  <si>
    <t>下周约见面谈欧洲市场拓展需求</t>
  </si>
  <si>
    <t>千代众享（常州)科贸有限公司</t>
  </si>
  <si>
    <t>新北区汉江路128号</t>
  </si>
  <si>
    <t>亚马逊、阿里国际站</t>
  </si>
  <si>
    <t>1、亚马逊销量进入瓶颈期；   2、品牌专利保护</t>
  </si>
  <si>
    <t xml:space="preserve">1、亚马逊销量提升需求，目前销售额上升缓慢。                2、2026年欧洲市场线上线下拓展需求  </t>
  </si>
  <si>
    <t>是，2026年大力发展欧洲，之前参展3年，目前准备货物前置，更新迭代新产品。并进行线下经销商渠道铺设。有投入计划</t>
  </si>
  <si>
    <t>1、欧洲展会政策支持。             2、欧洲市场线上线下拓展支持                      3、欧洲市场专利保护</t>
  </si>
  <si>
    <t>1、欧洲市场调研，涉及市场准入、合规等。3、与欧洲市场品牌出海服务商合作，共同打造欧洲销售渠道</t>
  </si>
  <si>
    <t>已确认2026年准备拓展欧洲市场，需要目的国市场调研及对应服务商一起合作，需要见面进一步沟通，已与爱瑞派建联，下一步联合爱瑞派拜访确定方案</t>
  </si>
  <si>
    <t>年前公司事务较多，尚未理清欧洲市场拓展计划，年后再约时间见面沟通</t>
  </si>
  <si>
    <t>柚米家居</t>
  </si>
  <si>
    <t>天宁区青洋北路1号15幢乙单元401室</t>
  </si>
  <si>
    <t>厨房、家居</t>
  </si>
  <si>
    <t>国内5亿，跨境2亿</t>
  </si>
  <si>
    <t>李米娜</t>
  </si>
  <si>
    <t>厨房砂锅、玻璃收纳套装、酒杯套装</t>
  </si>
  <si>
    <t>亚马逊、temu、希音、速卖通、tiktok</t>
  </si>
  <si>
    <t>1、tiktok建联达人数量多，但是销量较低</t>
  </si>
  <si>
    <t>1、跨境平台投流玩法培训，之前只靠自然流量。</t>
  </si>
  <si>
    <t>是，2018年开始做亚马逊，目前速卖通、希音，temu。主要产品玻璃器皿、玻璃储物罐，加拿大市场有自己的仓库及线下市场拓展人员。目前跨境销售额只占整体业务的30%，后续上升空间巨大，可以扩大新兴跨境市场</t>
  </si>
  <si>
    <t>跨境B2C／韩国市场拓展</t>
  </si>
  <si>
    <t>1、新兴跨境平台运营培训及卖家政策支持。           2、跨境平台投流玩法培训</t>
  </si>
  <si>
    <t>1、新兴平台大卖家政策了解，尝试新市场突破</t>
  </si>
  <si>
    <t>进一步沟通确定具体新兴市场的需求，可以考虑韩国、中东市场等</t>
  </si>
  <si>
    <t>常州安斯曼科技有限公司（塞拉摩）</t>
  </si>
  <si>
    <t>钟楼区运河路50号4幢202室</t>
  </si>
  <si>
    <t>全品类</t>
  </si>
  <si>
    <t>1、跨境税务合规</t>
  </si>
  <si>
    <t>是，从事亚马逊平台销售多年，目前公司员工30人左右，销售额1亿，对于跨境平台运营经验丰富，目前已遇到瓶颈期，可以集中资源支持，作为案例打造。</t>
  </si>
  <si>
    <t>1、税务合规支持。2、供应链资源支持</t>
  </si>
  <si>
    <t>1、解决税务合规问题。                    2、拓展新兴跨境平台</t>
  </si>
  <si>
    <t>1. 进一步沟通确定具体新兴市场的需求</t>
  </si>
  <si>
    <t>常州市安菲德国际贸易有限公司</t>
  </si>
  <si>
    <t>新北区高新科技园10号楼东楼二楼201-19室</t>
  </si>
  <si>
    <t>裴琳</t>
  </si>
  <si>
    <t>人员、平台运营经验</t>
  </si>
  <si>
    <t>跨境电商平台2026年已有计划开展，需要有经验运营的人员（亚马逊、ebay）</t>
  </si>
  <si>
    <t>是，该公司在孟河有自己的工厂，工厂主要从事国内生产及贸易。新北区的贸易公司2025年刚刚成立，有跨境电商业务发展计划，有资金投入计划。</t>
  </si>
  <si>
    <t>跨境B2C／美国市场拓展</t>
  </si>
  <si>
    <t>1、跨境平台有经验运营人员                         2、亚马逊、ebay运营、选品规划及培训</t>
  </si>
  <si>
    <t>1、有经验的平台运营人员招聘                 
2、参与跨境平台运营培训，了解平台运营及选品规则               3、做好资金投入计划</t>
  </si>
  <si>
    <t>1. 房租2026.03到期，可以考虑搬迁到三中心
2. 需要亚马逊运营支持</t>
  </si>
  <si>
    <t>已放假，年后再沟通跨境电商搭建需要的协助，计划开设亚马逊及ebay</t>
  </si>
  <si>
    <t>天宁区恒生科技园29栋509</t>
  </si>
  <si>
    <t>潘俊杰</t>
  </si>
  <si>
    <t>是，从事亚马逊平台销售多年，目前公司员工60人左右，销售额4亿，对于跨境平台运营经验丰富，可以集中资源支持，发展新兴平台，作为案例打造。</t>
  </si>
  <si>
    <t>1、税务合规支持。       2、新兴跨境平台运营培训及卖家政策支持。</t>
  </si>
  <si>
    <t>1、解决税务合规问题                    2、拓展新兴跨境平台</t>
  </si>
  <si>
    <t>需要进一步沟通具体需求</t>
  </si>
  <si>
    <t>武进区延政西大道8号</t>
  </si>
  <si>
    <t>2-3千万</t>
  </si>
  <si>
    <t>毕敏峰</t>
  </si>
  <si>
    <t>泳衣、瑜伽服</t>
  </si>
  <si>
    <t>1、平台销量提升缓慢  2、业务合规</t>
  </si>
  <si>
    <t>1、平台业务销量提升需求；   2、办公场地需求</t>
  </si>
  <si>
    <t>是，亚马逊已做7-8年，目前销量提升缓慢，可以作为运营效果提升案例打造</t>
  </si>
  <si>
    <t>运营支持、办公场地</t>
  </si>
  <si>
    <t>1、招引进入三中心   2、协助办理新公司注册，并提供合规咨询</t>
  </si>
  <si>
    <t>1. 目前在武进，需要考虑员工上班问题。</t>
  </si>
  <si>
    <t>考虑到员工上班距离问题，暂时不考虑租赁三中心工位，其他方面暂无需求</t>
  </si>
  <si>
    <t>户外灯，路灯</t>
  </si>
  <si>
    <t>内贸</t>
  </si>
  <si>
    <t>线上线下</t>
  </si>
  <si>
    <t>零基础，准备启动跨境b2b业务</t>
  </si>
  <si>
    <t>跨境整体营销解决方案</t>
  </si>
  <si>
    <t>可以作为国内贸易转型跨境贸易案例打造</t>
  </si>
  <si>
    <t>跨境出海整体规划，海外市场调研及产品调研面，开展跨境业务平台选择</t>
  </si>
  <si>
    <t>搭建品牌独立站，进行跨境市场及产品热度调研，明确跨境业务拓展方向，完成产品相关的各项合规及认证。</t>
  </si>
  <si>
    <t>可以组织部分企业共同建立独立站，需要前期规划和立项沟通</t>
  </si>
  <si>
    <t>贸易商</t>
  </si>
  <si>
    <t>3-4千万</t>
  </si>
  <si>
    <t>阿里巴巴</t>
  </si>
  <si>
    <t>没有做过跨境电商平台，目前零基础起步，准备开通韩国coupang</t>
  </si>
  <si>
    <t>coupang整体运营培训需求，工位需求</t>
  </si>
  <si>
    <t>可以作为传统贸易转型跨境电商案例打造</t>
  </si>
  <si>
    <t>平台运营培训支持，工位需求</t>
  </si>
  <si>
    <t>协助开通coupang平台，提供选品意见，提供1－2个工位支持</t>
  </si>
  <si>
    <t xml:space="preserve">1、已邀约1月13日来三中心考察工位，并沟通coupang账号开设，下一步计划注册在中心开设公司专门做COUPANG. </t>
  </si>
  <si>
    <t>计划年后启动coupang店铺注册，保持跟进</t>
  </si>
  <si>
    <t>已明确年后开展跨进电商业务，计划注册coupang平台，保持跟进</t>
  </si>
  <si>
    <t>AIRWHEEEL</t>
  </si>
  <si>
    <t>智能箱包</t>
  </si>
  <si>
    <t>2-3亿</t>
  </si>
  <si>
    <t>黄冠岚</t>
  </si>
  <si>
    <t>智能行李箱</t>
  </si>
  <si>
    <t>海外线下市场经销商拓展</t>
  </si>
  <si>
    <t>根据海外市场经销商的分布区域进行跨境电商线上平台的搭建，需要协助拓展线下渠道代理</t>
  </si>
  <si>
    <t>是，已具备多年跨境电商运营经验，对于新兴市场及平台可实现快速突破</t>
  </si>
  <si>
    <t>跨境B2C＋跨境B2B</t>
  </si>
  <si>
    <t>海外线下代理经销商的拓展</t>
  </si>
  <si>
    <t>通过海外营销渠道找寻线下合作经销商，进而继续开展线上业务</t>
  </si>
  <si>
    <t>欧美、东南亚</t>
  </si>
  <si>
    <t>跨境电商零基础，确认专业人员</t>
  </si>
  <si>
    <t>跨境电商全链路支持</t>
  </si>
  <si>
    <t>是，企业规模中大型，有发展跨境电商的计划，有投资及抗风险能力</t>
  </si>
  <si>
    <t>跨境B2C／美国市场</t>
  </si>
  <si>
    <t>与合适的服务商配合洽谈，制定项目方案及前期市场及产品调研。</t>
  </si>
  <si>
    <t>目前已在制定跨境电商业务规划，预计春年后启动，年前可与服务商制定初步方案，再次拜访洽谈</t>
  </si>
  <si>
    <t>企业服务协议已通过审核，预计1月底前完成签约</t>
  </si>
  <si>
    <t>已收到企业服务协议，继续跟进洽谈亚马逊及阿里巴巴整体陪跑方案</t>
  </si>
  <si>
    <t>格利博（江苏）股份有限公司</t>
  </si>
  <si>
    <t>60亿左右</t>
  </si>
  <si>
    <t>园林电动工具</t>
  </si>
  <si>
    <t>全球市场业务拓展</t>
  </si>
  <si>
    <t>线下业务拓展</t>
  </si>
  <si>
    <t>是，大型企业，区域内有一定影响力，有投资及抗风险能力</t>
  </si>
  <si>
    <t>跨境B2B／全球市场拓展</t>
  </si>
  <si>
    <t>线下经销商拓展</t>
  </si>
  <si>
    <t>需要进一步沟通确定具体海外市场拓展需求</t>
  </si>
  <si>
    <t>已邀约1月26日见面详细沟通跨境业务需求</t>
  </si>
  <si>
    <t>1、欧洲海外仓资源对接，目前有工作人员在欧洲办公，先了解海外仓服务情况，爱瑞派陈立洲已发送德国产业园介绍。格力博在欧洲有办公室及样品间                                                             2、越南有工厂，生产后发货至美国销售。                                           3、日本、韩国目前有独家代理商。线上线下直接交给代理商。                                             4、东南亚平台（菲律宾、越南）目前需要进行产品定位调研，了解当地产品售卖价格及总体市场需求量。                                                   5、有自身的网站搭建、社交媒体及广告投放团队。                                                             6、对于人才孵化及人才定制没有需求。7、国内如果有采购只能接受代工，不考虑国内授权</t>
  </si>
  <si>
    <t>爱瑞派已将德国、英国仓储及本地物流价格发给格力博德国负责人，待比价后继续沟通</t>
  </si>
  <si>
    <t>3月17日，爱瑞派已将欧洲海外仓及物流报价已发给负责人，目前正在内部评估</t>
  </si>
  <si>
    <t>长三角（常州）跨境电商创新中心跨境业务转介绍进度表</t>
  </si>
  <si>
    <t>服务商对接时间</t>
  </si>
  <si>
    <t>对接服务商</t>
  </si>
  <si>
    <t>项目合作进展</t>
  </si>
  <si>
    <t>常州未蓝家居</t>
  </si>
  <si>
    <t>亚马逊平台联合运营及培训学习</t>
  </si>
  <si>
    <t>陆轶群</t>
  </si>
  <si>
    <t>常州冠捷</t>
  </si>
  <si>
    <t>汪荣</t>
  </si>
  <si>
    <t>10月16日：亚马逊日本站联合运营，目前合作洽谈中</t>
  </si>
  <si>
    <t>10月31日：目前还在考虑中，没有订好跨境业务开展方式，自我学习还是找代运营</t>
  </si>
  <si>
    <t>2026/11/26 目前跨境电商业务暂不计划开展，后续有培训可以邀约参与</t>
  </si>
  <si>
    <t>常州市景逸洸电子商务有限公司</t>
  </si>
  <si>
    <t>美国海运物流</t>
  </si>
  <si>
    <t>环洋物流</t>
  </si>
  <si>
    <t>许久东</t>
  </si>
  <si>
    <t>10月16日：海运发美国亚马逊仓库15箱货，合同金额1379元</t>
  </si>
  <si>
    <t>10月31日：10月30日新发货100箱，合同总金额10535.5元</t>
  </si>
  <si>
    <t>亚马逊产品拍摄</t>
  </si>
  <si>
    <t>米可摄影</t>
  </si>
  <si>
    <t>蔡龙生</t>
  </si>
  <si>
    <t>10月16日：拍摄价格已报给工厂，目前正在继续沟通价格问题</t>
  </si>
  <si>
    <t>10月31日：10月30日已沟通产品拍摄事宜，目前暂无产品需要拍摄，保持跟进</t>
  </si>
  <si>
    <t>江阴英特派奇包装材料</t>
  </si>
  <si>
    <t>亚马逊平台代运营</t>
  </si>
  <si>
    <t>戴总</t>
  </si>
  <si>
    <t>江苏喜课</t>
  </si>
  <si>
    <t>吕鹏</t>
  </si>
  <si>
    <t>江苏喜课代运营报价10万／年，企业觉得投入太高，暂不考虑，只能接受2-3万／年的投入</t>
  </si>
  <si>
    <t>由于代运营费用过高，暂不考虑江苏喜课</t>
  </si>
  <si>
    <t>temu平台代运营</t>
  </si>
  <si>
    <t>苏州亿帆瀛</t>
  </si>
  <si>
    <t>韩雷杰</t>
  </si>
  <si>
    <t>10.16:temu平台前期价格调研已做，代运营费用2万／年，可以接受。企业老板目前忙于线下实体店生意，过段时间再详细沟通。</t>
  </si>
  <si>
    <t>暂时不开展跨境业务</t>
  </si>
  <si>
    <t>产品检测及认证</t>
  </si>
  <si>
    <t>常州锦智曜诚</t>
  </si>
  <si>
    <t>栾国峰</t>
  </si>
  <si>
    <t>10.20:该企业对接产品有毒有害检测及防倾倒测试有需求，已对接锦智曜诚，目前正在方案整理阶段，签约后三中心反佣10%</t>
  </si>
  <si>
    <t>10月31日：10月25日已签约，合同金额11600元，，反佣10%已支付给常州三中心</t>
  </si>
  <si>
    <t>长三角（常州）跨境电商创新中心商业化收入统计表</t>
  </si>
  <si>
    <t>收入名称</t>
  </si>
  <si>
    <t>收入来源</t>
  </si>
  <si>
    <t>费用支付方</t>
  </si>
  <si>
    <t>金额／元</t>
  </si>
  <si>
    <t>是否入账</t>
  </si>
  <si>
    <t>入账时间</t>
  </si>
  <si>
    <t>是否开票</t>
  </si>
  <si>
    <t>签约人</t>
  </si>
  <si>
    <t>会议赞助费</t>
  </si>
  <si>
    <t>2025年8月28日虾皮绿色家居会议</t>
  </si>
  <si>
    <t>2025年9月25日韩国coupang活动会议</t>
  </si>
  <si>
    <t>商业化项目转介绍反佣</t>
  </si>
  <si>
    <t>转介绍常州景逸洸电子商务产品监测项目，合同金额11600元，反佣10％</t>
  </si>
  <si>
    <t>常州锦智耀诚</t>
  </si>
  <si>
    <t>1160元</t>
  </si>
  <si>
    <t>2026年1月9日启动仪式</t>
  </si>
  <si>
    <t>10000元</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</si>
</sst>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0_ "/>
    <numFmt numFmtId="178" formatCode="#,##0_ "/>
    <numFmt numFmtId="179" formatCode="\¥#,##0.00;\¥\-#,##0.00"/>
  </numFmts>
  <fonts count="50">
    <font>
      <sz val="12"/>
      <color theme="1"/>
      <name val="TimesNewRomanPSMT"/>
      <charset val="134"/>
    </font>
    <font>
      <b/>
      <sz val="14"/>
      <color theme="1"/>
      <name val="TimesNewRomanPSMT"/>
      <charset val="134"/>
    </font>
    <font>
      <b/>
      <sz val="14"/>
      <color rgb="FF000000"/>
      <name val="宋体"/>
      <charset val="134"/>
    </font>
    <font>
      <sz val="12"/>
      <color rgb="FF000000"/>
      <name val="宋体"/>
      <charset val="134"/>
    </font>
    <font>
      <b/>
      <sz val="12"/>
      <color rgb="FF000000"/>
      <name val="宋体"/>
      <charset val="134"/>
    </font>
    <font>
      <b/>
      <sz val="24"/>
      <color rgb="FF000000"/>
      <name val="宋体"/>
      <charset val="134"/>
    </font>
    <font>
      <sz val="14"/>
      <color rgb="FF000000"/>
      <name val="宋体"/>
      <charset val="134"/>
    </font>
    <font>
      <sz val="11"/>
      <color rgb="FF000000"/>
      <name val="宋体"/>
      <charset val="134"/>
    </font>
    <font>
      <b/>
      <sz val="12"/>
      <color theme="1"/>
      <name val="宋体"/>
      <charset val="134"/>
    </font>
    <font>
      <b/>
      <sz val="14"/>
      <color theme="1"/>
      <name val="宋体"/>
      <charset val="134"/>
    </font>
    <font>
      <sz val="12"/>
      <color rgb="FF000000"/>
      <name val="TimesNewRomanPSMT"/>
      <charset val="134"/>
    </font>
    <font>
      <sz val="12"/>
      <color rgb="FF000000"/>
      <name val="SimSun"/>
      <charset val="134"/>
    </font>
    <font>
      <sz val="12"/>
      <color theme="1"/>
      <name val="SimSun"/>
      <charset val="134"/>
    </font>
    <font>
      <sz val="12"/>
      <color rgb="FF000000"/>
      <name val="等线"/>
      <charset val="134"/>
      <scheme val="minor"/>
    </font>
    <font>
      <b/>
      <sz val="20"/>
      <color theme="1"/>
      <name val="宋体"/>
      <charset val="134"/>
    </font>
    <font>
      <b/>
      <sz val="18"/>
      <color theme="1"/>
      <name val="宋体"/>
      <charset val="134"/>
    </font>
    <font>
      <sz val="16"/>
      <color theme="1"/>
      <name val="宋体"/>
      <charset val="134"/>
    </font>
    <font>
      <sz val="14"/>
      <color theme="1"/>
      <name val="宋体"/>
      <charset val="134"/>
    </font>
    <font>
      <sz val="12"/>
      <color theme="1"/>
      <name val="宋体"/>
      <charset val="134"/>
    </font>
    <font>
      <b/>
      <sz val="18"/>
      <color theme="0"/>
      <name val="宋体"/>
      <charset val="134"/>
    </font>
    <font>
      <sz val="16"/>
      <color rgb="FF000000"/>
      <name val="宋体"/>
      <charset val="134"/>
    </font>
    <font>
      <sz val="16"/>
      <name val="宋体"/>
      <charset val="134"/>
    </font>
    <font>
      <b/>
      <sz val="28"/>
      <color theme="1"/>
      <name val="宋体"/>
      <charset val="134"/>
    </font>
    <font>
      <sz val="14"/>
      <name val="宋体"/>
      <charset val="134"/>
    </font>
    <font>
      <sz val="14"/>
      <color indexed="8"/>
      <name val="宋体"/>
      <charset val="134"/>
    </font>
    <font>
      <u/>
      <sz val="14"/>
      <color theme="1"/>
      <name val="宋体"/>
      <charset val="134"/>
    </font>
    <font>
      <sz val="14"/>
      <color rgb="FF333333"/>
      <name val="宋体"/>
      <charset val="134"/>
    </font>
    <font>
      <sz val="14"/>
      <color rgb="FF0F1115"/>
      <name val="宋体"/>
      <charset val="134"/>
    </font>
    <font>
      <u/>
      <sz val="14"/>
      <color theme="10"/>
      <name val="宋体"/>
      <charset val="134"/>
    </font>
    <font>
      <sz val="11"/>
      <color theme="1"/>
      <name val="等线"/>
      <charset val="134"/>
      <scheme val="minor"/>
    </font>
    <font>
      <u/>
      <sz val="12"/>
      <color theme="10"/>
      <name val="TimesNewRomanPSMT"/>
      <charset val="134"/>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等线"/>
      <charset val="134"/>
      <scheme val="minor"/>
    </font>
  </fonts>
  <fills count="37">
    <fill>
      <patternFill patternType="none"/>
    </fill>
    <fill>
      <patternFill patternType="gray125"/>
    </fill>
    <fill>
      <patternFill patternType="solid">
        <fgColor theme="3" tint="0.899960325937681"/>
        <bgColor indexed="64"/>
      </patternFill>
    </fill>
    <fill>
      <patternFill patternType="solid">
        <fgColor rgb="FFFFFFFF"/>
        <bgColor indexed="64"/>
      </patternFill>
    </fill>
    <fill>
      <patternFill patternType="solid">
        <fgColor rgb="FF0070C0"/>
        <bgColor indexed="64"/>
      </patternFill>
    </fill>
    <fill>
      <patternFill patternType="solid">
        <fgColor theme="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43">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thin">
        <color rgb="FF000000"/>
      </left>
      <right/>
      <top/>
      <bottom style="thin">
        <color theme="1"/>
      </bottom>
      <diagonal/>
    </border>
    <border>
      <left/>
      <right/>
      <top/>
      <bottom style="thin">
        <color theme="1"/>
      </bottom>
      <diagonal/>
    </border>
    <border>
      <left/>
      <right style="thin">
        <color rgb="FF000000"/>
      </right>
      <top/>
      <bottom style="thin">
        <color theme="1"/>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theme="1"/>
      </left>
      <right style="thin">
        <color theme="1"/>
      </right>
      <top style="thin">
        <color theme="1"/>
      </top>
      <bottom style="thin">
        <color theme="1"/>
      </bottom>
      <diagonal/>
    </border>
    <border>
      <left/>
      <right style="thin">
        <color theme="2" tint="-0.249977111117893"/>
      </right>
      <top/>
      <bottom/>
      <diagonal/>
    </border>
    <border>
      <left style="medium">
        <color auto="1"/>
      </left>
      <right style="medium">
        <color auto="1"/>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medium">
        <color auto="1"/>
      </left>
      <right style="medium">
        <color auto="1"/>
      </right>
      <top style="medium">
        <color auto="1"/>
      </top>
      <bottom/>
      <diagonal/>
    </border>
    <border>
      <left/>
      <right style="thin">
        <color theme="2" tint="-0.249977111117893"/>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style="medium">
        <color auto="1"/>
      </left>
      <right style="medium">
        <color auto="1"/>
      </right>
      <top/>
      <bottom style="thin">
        <color theme="2" tint="-0.249977111117893"/>
      </bottom>
      <diagonal/>
    </border>
    <border>
      <left style="medium">
        <color auto="1"/>
      </left>
      <right style="medium">
        <color auto="1"/>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top style="thin">
        <color theme="2" tint="-0.249977111117893"/>
      </top>
      <bottom/>
      <diagonal/>
    </border>
    <border>
      <left style="medium">
        <color auto="1"/>
      </left>
      <right style="medium">
        <color auto="1"/>
      </right>
      <top style="thin">
        <color theme="2" tint="-0.249977111117893"/>
      </top>
      <bottom/>
      <diagonal/>
    </border>
    <border>
      <left/>
      <right style="thin">
        <color theme="2" tint="-0.249977111117893"/>
      </right>
      <top style="thin">
        <color theme="2" tint="-0.249977111117893"/>
      </top>
      <bottom/>
      <diagonal/>
    </border>
    <border>
      <left/>
      <right style="thin">
        <color auto="1"/>
      </right>
      <top/>
      <bottom style="thin">
        <color auto="1"/>
      </bottom>
      <diagonal/>
    </border>
    <border>
      <left style="thin">
        <color rgb="FF000000"/>
      </left>
      <right/>
      <top/>
      <bottom/>
      <diagonal/>
    </border>
    <border>
      <left style="thin">
        <color auto="1"/>
      </left>
      <right style="thin">
        <color auto="1"/>
      </right>
      <top style="thin">
        <color auto="1"/>
      </top>
      <bottom style="medium">
        <color auto="1"/>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0">
    <xf numFmtId="0" fontId="0" fillId="0" borderId="0">
      <alignment vertical="center"/>
    </xf>
    <xf numFmtId="43" fontId="29" fillId="0" borderId="0" applyFont="0" applyFill="0" applyBorder="0" applyAlignment="0" applyProtection="0">
      <alignment vertical="center"/>
    </xf>
    <xf numFmtId="44" fontId="29" fillId="0" borderId="0" applyFont="0" applyFill="0" applyBorder="0" applyAlignment="0" applyProtection="0">
      <alignment vertical="center"/>
    </xf>
    <xf numFmtId="9" fontId="29" fillId="0" borderId="0" applyFont="0" applyFill="0" applyBorder="0" applyAlignment="0" applyProtection="0">
      <alignment vertical="center"/>
    </xf>
    <xf numFmtId="41" fontId="29" fillId="0" borderId="0" applyFont="0" applyFill="0" applyBorder="0" applyAlignment="0" applyProtection="0">
      <alignment vertical="center"/>
    </xf>
    <xf numFmtId="42" fontId="29"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9" fillId="6" borderId="35"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36" applyNumberFormat="0" applyFill="0" applyAlignment="0" applyProtection="0">
      <alignment vertical="center"/>
    </xf>
    <xf numFmtId="0" fontId="36" fillId="0" borderId="36" applyNumberFormat="0" applyFill="0" applyAlignment="0" applyProtection="0">
      <alignment vertical="center"/>
    </xf>
    <xf numFmtId="0" fontId="37" fillId="0" borderId="37" applyNumberFormat="0" applyFill="0" applyAlignment="0" applyProtection="0">
      <alignment vertical="center"/>
    </xf>
    <xf numFmtId="0" fontId="37" fillId="0" borderId="0" applyNumberFormat="0" applyFill="0" applyBorder="0" applyAlignment="0" applyProtection="0">
      <alignment vertical="center"/>
    </xf>
    <xf numFmtId="0" fontId="38" fillId="7" borderId="38" applyNumberFormat="0" applyAlignment="0" applyProtection="0">
      <alignment vertical="center"/>
    </xf>
    <xf numFmtId="0" fontId="39" fillId="8" borderId="39" applyNumberFormat="0" applyAlignment="0" applyProtection="0">
      <alignment vertical="center"/>
    </xf>
    <xf numFmtId="0" fontId="40" fillId="8" borderId="38" applyNumberFormat="0" applyAlignment="0" applyProtection="0">
      <alignment vertical="center"/>
    </xf>
    <xf numFmtId="0" fontId="41" fillId="9" borderId="40" applyNumberFormat="0" applyAlignment="0" applyProtection="0">
      <alignment vertical="center"/>
    </xf>
    <xf numFmtId="0" fontId="42" fillId="0" borderId="41" applyNumberFormat="0" applyFill="0" applyAlignment="0" applyProtection="0">
      <alignment vertical="center"/>
    </xf>
    <xf numFmtId="0" fontId="43" fillId="0" borderId="42" applyNumberFormat="0" applyFill="0" applyAlignment="0" applyProtection="0">
      <alignment vertical="center"/>
    </xf>
    <xf numFmtId="0" fontId="44" fillId="10" borderId="0" applyNumberFormat="0" applyBorder="0" applyAlignment="0" applyProtection="0">
      <alignment vertical="center"/>
    </xf>
    <xf numFmtId="0" fontId="45" fillId="11" borderId="0" applyNumberFormat="0" applyBorder="0" applyAlignment="0" applyProtection="0">
      <alignment vertical="center"/>
    </xf>
    <xf numFmtId="0" fontId="46" fillId="12" borderId="0" applyNumberFormat="0" applyBorder="0" applyAlignment="0" applyProtection="0">
      <alignment vertical="center"/>
    </xf>
    <xf numFmtId="0" fontId="47" fillId="13" borderId="0" applyNumberFormat="0" applyBorder="0" applyAlignment="0" applyProtection="0">
      <alignment vertical="center"/>
    </xf>
    <xf numFmtId="0" fontId="48" fillId="14" borderId="0" applyNumberFormat="0" applyBorder="0" applyAlignment="0" applyProtection="0">
      <alignment vertical="center"/>
    </xf>
    <xf numFmtId="0" fontId="48" fillId="15" borderId="0" applyNumberFormat="0" applyBorder="0" applyAlignment="0" applyProtection="0">
      <alignment vertical="center"/>
    </xf>
    <xf numFmtId="0" fontId="47" fillId="16" borderId="0" applyNumberFormat="0" applyBorder="0" applyAlignment="0" applyProtection="0">
      <alignment vertical="center"/>
    </xf>
    <xf numFmtId="0" fontId="47" fillId="17" borderId="0" applyNumberFormat="0" applyBorder="0" applyAlignment="0" applyProtection="0">
      <alignment vertical="center"/>
    </xf>
    <xf numFmtId="0" fontId="48" fillId="18" borderId="0" applyNumberFormat="0" applyBorder="0" applyAlignment="0" applyProtection="0">
      <alignment vertical="center"/>
    </xf>
    <xf numFmtId="0" fontId="48" fillId="19" borderId="0" applyNumberFormat="0" applyBorder="0" applyAlignment="0" applyProtection="0">
      <alignment vertical="center"/>
    </xf>
    <xf numFmtId="0" fontId="47" fillId="20" borderId="0" applyNumberFormat="0" applyBorder="0" applyAlignment="0" applyProtection="0">
      <alignment vertical="center"/>
    </xf>
    <xf numFmtId="0" fontId="47" fillId="21" borderId="0" applyNumberFormat="0" applyBorder="0" applyAlignment="0" applyProtection="0">
      <alignment vertical="center"/>
    </xf>
    <xf numFmtId="0" fontId="48" fillId="22" borderId="0" applyNumberFormat="0" applyBorder="0" applyAlignment="0" applyProtection="0">
      <alignment vertical="center"/>
    </xf>
    <xf numFmtId="0" fontId="48" fillId="23" borderId="0" applyNumberFormat="0" applyBorder="0" applyAlignment="0" applyProtection="0">
      <alignment vertical="center"/>
    </xf>
    <xf numFmtId="0" fontId="47" fillId="24" borderId="0" applyNumberFormat="0" applyBorder="0" applyAlignment="0" applyProtection="0">
      <alignment vertical="center"/>
    </xf>
    <xf numFmtId="0" fontId="47" fillId="25" borderId="0" applyNumberFormat="0" applyBorder="0" applyAlignment="0" applyProtection="0">
      <alignment vertical="center"/>
    </xf>
    <xf numFmtId="0" fontId="48" fillId="26" borderId="0" applyNumberFormat="0" applyBorder="0" applyAlignment="0" applyProtection="0">
      <alignment vertical="center"/>
    </xf>
    <xf numFmtId="0" fontId="48" fillId="27" borderId="0" applyNumberFormat="0" applyBorder="0" applyAlignment="0" applyProtection="0">
      <alignment vertical="center"/>
    </xf>
    <xf numFmtId="0" fontId="47" fillId="28" borderId="0" applyNumberFormat="0" applyBorder="0" applyAlignment="0" applyProtection="0">
      <alignment vertical="center"/>
    </xf>
    <xf numFmtId="0" fontId="47" fillId="29" borderId="0" applyNumberFormat="0" applyBorder="0" applyAlignment="0" applyProtection="0">
      <alignment vertical="center"/>
    </xf>
    <xf numFmtId="0" fontId="48" fillId="30" borderId="0" applyNumberFormat="0" applyBorder="0" applyAlignment="0" applyProtection="0">
      <alignment vertical="center"/>
    </xf>
    <xf numFmtId="0" fontId="48" fillId="31" borderId="0" applyNumberFormat="0" applyBorder="0" applyAlignment="0" applyProtection="0">
      <alignment vertical="center"/>
    </xf>
    <xf numFmtId="0" fontId="47" fillId="32" borderId="0" applyNumberFormat="0" applyBorder="0" applyAlignment="0" applyProtection="0">
      <alignment vertical="center"/>
    </xf>
    <xf numFmtId="0" fontId="47" fillId="33" borderId="0" applyNumberFormat="0" applyBorder="0" applyAlignment="0" applyProtection="0">
      <alignment vertical="center"/>
    </xf>
    <xf numFmtId="0" fontId="48" fillId="34" borderId="0" applyNumberFormat="0" applyBorder="0" applyAlignment="0" applyProtection="0">
      <alignment vertical="center"/>
    </xf>
    <xf numFmtId="0" fontId="48" fillId="35" borderId="0" applyNumberFormat="0" applyBorder="0" applyAlignment="0" applyProtection="0">
      <alignment vertical="center"/>
    </xf>
    <xf numFmtId="0" fontId="47" fillId="36" borderId="0" applyNumberFormat="0" applyBorder="0" applyAlignment="0" applyProtection="0">
      <alignment vertical="center"/>
    </xf>
    <xf numFmtId="0" fontId="49" fillId="0" borderId="0">
      <alignment vertical="center"/>
    </xf>
  </cellStyleXfs>
  <cellXfs count="285">
    <xf numFmtId="0" fontId="0" fillId="0" borderId="0" xfId="0">
      <alignment vertical="center"/>
    </xf>
    <xf numFmtId="0" fontId="1" fillId="0" borderId="0" xfId="0" applyFont="1">
      <alignment vertical="center"/>
    </xf>
    <xf numFmtId="0" fontId="0" fillId="0" borderId="0" xfId="0" applyAlignment="1">
      <alignment horizontal="left" vertical="center"/>
    </xf>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3" xfId="0" applyFont="1" applyFill="1" applyBorder="1" applyAlignment="1">
      <alignment horizontal="left" vertical="center"/>
    </xf>
    <xf numFmtId="0" fontId="2" fillId="2" borderId="4" xfId="0" applyFont="1" applyFill="1" applyBorder="1" applyAlignment="1">
      <alignment horizontal="center" vertical="center"/>
    </xf>
    <xf numFmtId="0" fontId="3" fillId="0" borderId="3" xfId="0" applyFont="1" applyBorder="1" applyAlignment="1">
      <alignment horizontal="center" vertical="center"/>
    </xf>
    <xf numFmtId="0" fontId="3" fillId="0" borderId="3" xfId="0" applyFont="1" applyBorder="1" applyAlignment="1">
      <alignment horizontal="left" vertical="center" wrapText="1"/>
    </xf>
    <xf numFmtId="0" fontId="3" fillId="0" borderId="3" xfId="0" applyFont="1" applyBorder="1" applyAlignment="1">
      <alignment horizontal="center" vertical="center" wrapText="1"/>
    </xf>
    <xf numFmtId="31" fontId="3" fillId="0" borderId="3" xfId="0" applyNumberFormat="1" applyFont="1" applyBorder="1" applyAlignment="1">
      <alignment horizontal="center" vertical="center"/>
    </xf>
    <xf numFmtId="0" fontId="3" fillId="0" borderId="1" xfId="0" applyFont="1" applyBorder="1" applyAlignment="1">
      <alignment horizontal="center" vertical="center"/>
    </xf>
    <xf numFmtId="0" fontId="0" fillId="0" borderId="5" xfId="0" applyBorder="1">
      <alignment vertical="center"/>
    </xf>
    <xf numFmtId="0" fontId="3" fillId="0" borderId="3" xfId="0" applyFont="1" applyBorder="1" applyAlignment="1">
      <alignment horizontal="left" vertical="center"/>
    </xf>
    <xf numFmtId="0" fontId="2" fillId="2" borderId="2" xfId="0" applyFont="1" applyFill="1" applyBorder="1" applyAlignment="1">
      <alignment horizontal="left" vertical="center"/>
    </xf>
    <xf numFmtId="0" fontId="4" fillId="2" borderId="3" xfId="0" applyFont="1" applyFill="1" applyBorder="1" applyAlignment="1">
      <alignment horizontal="center" vertical="center"/>
    </xf>
    <xf numFmtId="0" fontId="4" fillId="2" borderId="3" xfId="0" applyFont="1" applyFill="1" applyBorder="1" applyAlignment="1">
      <alignment horizontal="left" vertical="center"/>
    </xf>
    <xf numFmtId="0" fontId="4" fillId="2" borderId="1" xfId="0" applyFont="1" applyFill="1" applyBorder="1" applyAlignment="1">
      <alignment horizontal="left" vertical="center"/>
    </xf>
    <xf numFmtId="0" fontId="4" fillId="2" borderId="6" xfId="0" applyFont="1" applyFill="1" applyBorder="1" applyAlignment="1">
      <alignment horizontal="left" vertical="center"/>
    </xf>
    <xf numFmtId="14" fontId="3" fillId="0" borderId="3" xfId="0" applyNumberFormat="1" applyFont="1" applyBorder="1" applyAlignment="1">
      <alignment horizontal="center" vertical="center"/>
    </xf>
    <xf numFmtId="58" fontId="3" fillId="0" borderId="3" xfId="0" applyNumberFormat="1" applyFont="1" applyBorder="1" applyAlignment="1">
      <alignment horizontal="left" vertical="center" wrapText="1"/>
    </xf>
    <xf numFmtId="0" fontId="0" fillId="2" borderId="0" xfId="0" applyFill="1">
      <alignment vertical="center"/>
    </xf>
    <xf numFmtId="0" fontId="0" fillId="0" borderId="0" xfId="0" applyAlignment="1">
      <alignment horizontal="center" vertical="center"/>
    </xf>
    <xf numFmtId="0" fontId="5" fillId="3" borderId="7" xfId="0" applyFont="1" applyFill="1" applyBorder="1" applyAlignment="1">
      <alignment horizontal="left" vertical="center" wrapText="1"/>
    </xf>
    <xf numFmtId="0" fontId="5" fillId="3" borderId="8" xfId="0" applyFont="1" applyFill="1" applyBorder="1" applyAlignment="1">
      <alignment horizontal="left" vertical="center" wrapText="1"/>
    </xf>
    <xf numFmtId="0" fontId="5" fillId="3" borderId="9" xfId="0" applyFont="1" applyFill="1" applyBorder="1" applyAlignment="1">
      <alignment horizontal="left" vertical="center" wrapText="1"/>
    </xf>
    <xf numFmtId="0" fontId="2" fillId="2" borderId="10" xfId="0" applyFont="1" applyFill="1" applyBorder="1" applyAlignment="1">
      <alignment horizontal="center" vertical="center" wrapText="1"/>
    </xf>
    <xf numFmtId="0" fontId="2" fillId="2" borderId="10" xfId="0" applyFont="1" applyFill="1" applyBorder="1" applyAlignment="1">
      <alignment horizontal="left" vertical="center" wrapText="1"/>
    </xf>
    <xf numFmtId="0" fontId="2" fillId="2" borderId="11" xfId="0" applyFont="1" applyFill="1" applyBorder="1" applyAlignment="1">
      <alignment horizontal="center" vertical="center" wrapText="1"/>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6" fillId="3" borderId="3" xfId="0" applyFont="1" applyFill="1" applyBorder="1" applyAlignment="1">
      <alignment horizontal="left" vertical="center" wrapText="1"/>
    </xf>
    <xf numFmtId="49" fontId="6" fillId="3" borderId="3" xfId="0" applyNumberFormat="1" applyFont="1" applyFill="1" applyBorder="1" applyAlignment="1">
      <alignment horizontal="center" vertical="center" wrapText="1"/>
    </xf>
    <xf numFmtId="0" fontId="6" fillId="3" borderId="10" xfId="0" applyFont="1" applyFill="1" applyBorder="1" applyAlignment="1">
      <alignment horizontal="left" vertical="center" wrapText="1"/>
    </xf>
    <xf numFmtId="0" fontId="6" fillId="3" borderId="4" xfId="0" applyFont="1" applyFill="1" applyBorder="1" applyAlignment="1">
      <alignment horizontal="left" vertical="center" wrapText="1"/>
    </xf>
    <xf numFmtId="0" fontId="6" fillId="3" borderId="4" xfId="0" applyFont="1" applyFill="1" applyBorder="1" applyAlignment="1">
      <alignment horizontal="center" vertical="center" wrapText="1"/>
    </xf>
    <xf numFmtId="49" fontId="6" fillId="3" borderId="4" xfId="0" applyNumberFormat="1" applyFont="1" applyFill="1" applyBorder="1" applyAlignment="1">
      <alignment horizontal="center" vertical="center" wrapText="1"/>
    </xf>
    <xf numFmtId="0" fontId="7" fillId="3" borderId="3" xfId="0" applyFont="1" applyFill="1" applyBorder="1" applyAlignment="1">
      <alignment horizontal="left" vertical="center" wrapText="1"/>
    </xf>
    <xf numFmtId="0" fontId="7" fillId="3" borderId="3" xfId="0" applyFont="1" applyFill="1" applyBorder="1" applyAlignment="1">
      <alignment horizontal="center" vertical="center" wrapText="1"/>
    </xf>
    <xf numFmtId="0" fontId="8" fillId="0" borderId="0" xfId="0" applyFont="1">
      <alignment vertical="center"/>
    </xf>
    <xf numFmtId="0" fontId="8" fillId="0" borderId="0" xfId="0" applyFont="1" applyAlignment="1">
      <alignment horizontal="center" vertical="center"/>
    </xf>
    <xf numFmtId="0" fontId="2" fillId="2" borderId="0" xfId="0" applyFont="1" applyFill="1" applyAlignment="1">
      <alignment horizontal="center" vertical="center"/>
    </xf>
    <xf numFmtId="0" fontId="9" fillId="2" borderId="0" xfId="0" applyFont="1" applyFill="1" applyAlignment="1">
      <alignment horizontal="center" vertical="center"/>
    </xf>
    <xf numFmtId="0" fontId="9" fillId="2" borderId="14" xfId="0" applyFont="1" applyFill="1" applyBorder="1" applyAlignment="1">
      <alignment horizontal="center" vertical="center"/>
    </xf>
    <xf numFmtId="0" fontId="8" fillId="2" borderId="13" xfId="0" applyFont="1" applyFill="1" applyBorder="1" applyAlignment="1">
      <alignment horizontal="center" vertical="center"/>
    </xf>
    <xf numFmtId="0" fontId="8" fillId="2" borderId="13" xfId="0" applyFont="1" applyFill="1" applyBorder="1" applyAlignment="1">
      <alignment horizontal="left" vertical="center"/>
    </xf>
    <xf numFmtId="0" fontId="8" fillId="0" borderId="13" xfId="0" applyFont="1" applyBorder="1" applyAlignment="1">
      <alignment horizontal="center" vertical="center"/>
    </xf>
    <xf numFmtId="0" fontId="3" fillId="0" borderId="13" xfId="0" applyFont="1" applyBorder="1" applyAlignment="1">
      <alignment horizontal="left" vertical="center" wrapText="1"/>
    </xf>
    <xf numFmtId="0" fontId="3" fillId="0" borderId="13" xfId="0" applyFont="1" applyBorder="1" applyAlignment="1">
      <alignment horizontal="center" vertical="center" wrapText="1"/>
    </xf>
    <xf numFmtId="0" fontId="3" fillId="0" borderId="13" xfId="0" applyFont="1" applyBorder="1" applyAlignment="1">
      <alignment horizontal="left" vertical="center"/>
    </xf>
    <xf numFmtId="0" fontId="0" fillId="0" borderId="13" xfId="0" applyBorder="1" applyAlignment="1">
      <alignment horizontal="center" vertical="center"/>
    </xf>
    <xf numFmtId="0" fontId="4" fillId="2" borderId="13" xfId="0" applyFont="1" applyFill="1" applyBorder="1" applyAlignment="1">
      <alignment horizontal="left" vertical="center" wrapText="1"/>
    </xf>
    <xf numFmtId="0" fontId="0" fillId="2" borderId="13" xfId="0" applyFill="1" applyBorder="1" applyAlignment="1">
      <alignment horizontal="center" vertical="center"/>
    </xf>
    <xf numFmtId="0" fontId="0" fillId="0" borderId="13" xfId="0" applyBorder="1" applyAlignment="1">
      <alignment horizontal="left" vertical="center"/>
    </xf>
    <xf numFmtId="0" fontId="10" fillId="0" borderId="13" xfId="0" applyFont="1" applyBorder="1" applyAlignment="1">
      <alignment horizontal="left" vertical="center"/>
    </xf>
    <xf numFmtId="0" fontId="11" fillId="0" borderId="13" xfId="0" applyFont="1" applyBorder="1" applyAlignment="1">
      <alignment horizontal="left" vertical="center" wrapText="1"/>
    </xf>
    <xf numFmtId="0" fontId="12" fillId="0" borderId="13" xfId="0" applyFont="1" applyBorder="1" applyAlignment="1">
      <alignment horizontal="left" vertical="center" wrapText="1"/>
    </xf>
    <xf numFmtId="0" fontId="3" fillId="0" borderId="0" xfId="0" applyFont="1">
      <alignment vertical="center"/>
    </xf>
    <xf numFmtId="0" fontId="13" fillId="0" borderId="0" xfId="0" applyFont="1">
      <alignment vertical="center"/>
    </xf>
    <xf numFmtId="0" fontId="3" fillId="0" borderId="0" xfId="0" applyFont="1" applyAlignment="1">
      <alignment horizontal="left" vertical="center"/>
    </xf>
    <xf numFmtId="0" fontId="3" fillId="0" borderId="0" xfId="0" applyFont="1" applyAlignment="1">
      <alignment horizontal="left" vertical="center" wrapText="1"/>
    </xf>
    <xf numFmtId="0" fontId="14" fillId="0" borderId="0" xfId="0" applyFont="1">
      <alignment vertical="center"/>
    </xf>
    <xf numFmtId="0" fontId="15" fillId="0" borderId="0" xfId="0" applyFont="1">
      <alignment vertical="center"/>
    </xf>
    <xf numFmtId="0" fontId="16" fillId="0" borderId="0" xfId="0" applyFont="1">
      <alignment vertical="center"/>
    </xf>
    <xf numFmtId="0" fontId="17" fillId="0" borderId="0" xfId="0" applyFont="1">
      <alignment vertical="center"/>
    </xf>
    <xf numFmtId="0" fontId="18" fillId="0" borderId="0" xfId="0" applyFont="1" applyAlignment="1">
      <alignment horizontal="center" vertical="center"/>
    </xf>
    <xf numFmtId="0" fontId="18" fillId="0" borderId="0" xfId="0" applyFont="1">
      <alignment vertical="center"/>
    </xf>
    <xf numFmtId="0" fontId="18" fillId="0" borderId="0" xfId="0" applyFont="1" applyAlignment="1">
      <alignment horizontal="left" vertical="center"/>
    </xf>
    <xf numFmtId="0" fontId="18" fillId="0" borderId="15" xfId="0" applyFont="1" applyBorder="1" applyAlignment="1">
      <alignment horizontal="left" vertical="center"/>
    </xf>
    <xf numFmtId="0" fontId="18" fillId="2" borderId="0" xfId="0" applyFont="1" applyFill="1">
      <alignment vertical="center"/>
    </xf>
    <xf numFmtId="0" fontId="18" fillId="2" borderId="0" xfId="0" applyFont="1" applyFill="1" applyAlignment="1">
      <alignment horizontal="center" vertical="center"/>
    </xf>
    <xf numFmtId="0" fontId="19" fillId="4" borderId="16" xfId="0" applyFont="1" applyFill="1" applyBorder="1" applyAlignment="1" applyProtection="1">
      <alignment horizontal="center" vertical="center" wrapText="1"/>
      <protection locked="0"/>
    </xf>
    <xf numFmtId="0" fontId="14" fillId="0" borderId="16" xfId="0" applyFont="1" applyBorder="1" applyAlignment="1">
      <alignment horizontal="center" vertical="center"/>
    </xf>
    <xf numFmtId="176" fontId="19" fillId="4" borderId="16" xfId="0" applyNumberFormat="1" applyFont="1" applyFill="1" applyBorder="1" applyAlignment="1" applyProtection="1">
      <alignment horizontal="center" vertical="center" wrapText="1"/>
      <protection locked="0"/>
    </xf>
    <xf numFmtId="0" fontId="19" fillId="4" borderId="17" xfId="0" applyFont="1" applyFill="1" applyBorder="1" applyAlignment="1" applyProtection="1">
      <alignment horizontal="center" vertical="center" wrapText="1"/>
      <protection locked="0"/>
    </xf>
    <xf numFmtId="0" fontId="19" fillId="4" borderId="18" xfId="0" applyFont="1" applyFill="1" applyBorder="1" applyAlignment="1" applyProtection="1">
      <alignment horizontal="center" vertical="center" wrapText="1"/>
      <protection locked="0"/>
    </xf>
    <xf numFmtId="0" fontId="19" fillId="4" borderId="19" xfId="0" applyFont="1" applyFill="1" applyBorder="1" applyAlignment="1" applyProtection="1">
      <alignment horizontal="center" vertical="center" wrapText="1"/>
      <protection locked="0"/>
    </xf>
    <xf numFmtId="0" fontId="14" fillId="2" borderId="16" xfId="0" applyFont="1" applyFill="1" applyBorder="1" applyAlignment="1">
      <alignment horizontal="center" vertical="center"/>
    </xf>
    <xf numFmtId="0" fontId="14" fillId="0" borderId="17" xfId="0" applyFont="1" applyBorder="1" applyAlignment="1">
      <alignment horizontal="center" vertical="center"/>
    </xf>
    <xf numFmtId="0" fontId="14" fillId="0" borderId="20" xfId="0" applyFont="1" applyBorder="1" applyAlignment="1">
      <alignment horizontal="center" vertical="center"/>
    </xf>
    <xf numFmtId="0" fontId="14" fillId="0" borderId="19" xfId="0" applyFont="1" applyBorder="1" applyAlignment="1">
      <alignment horizontal="center" vertical="center"/>
    </xf>
    <xf numFmtId="0" fontId="14" fillId="2" borderId="17" xfId="0" applyFont="1" applyFill="1" applyBorder="1" applyAlignment="1">
      <alignment horizontal="center" vertical="center"/>
    </xf>
    <xf numFmtId="0" fontId="14" fillId="2" borderId="20" xfId="0" applyFont="1" applyFill="1" applyBorder="1" applyAlignment="1">
      <alignment horizontal="center" vertical="center"/>
    </xf>
    <xf numFmtId="0" fontId="14" fillId="2" borderId="19" xfId="0" applyFont="1" applyFill="1" applyBorder="1" applyAlignment="1">
      <alignment horizontal="center" vertical="center"/>
    </xf>
    <xf numFmtId="177" fontId="14" fillId="0" borderId="17" xfId="0" applyNumberFormat="1" applyFont="1" applyBorder="1" applyAlignment="1">
      <alignment horizontal="center" vertical="center"/>
    </xf>
    <xf numFmtId="177" fontId="14" fillId="0" borderId="20" xfId="0" applyNumberFormat="1" applyFont="1" applyBorder="1" applyAlignment="1">
      <alignment horizontal="center" vertical="center"/>
    </xf>
    <xf numFmtId="0" fontId="19" fillId="4" borderId="21" xfId="0" applyFont="1" applyFill="1" applyBorder="1" applyAlignment="1" applyProtection="1">
      <alignment horizontal="center" vertical="center" wrapText="1"/>
      <protection locked="0"/>
    </xf>
    <xf numFmtId="0" fontId="15" fillId="2" borderId="16" xfId="0" applyFont="1" applyFill="1" applyBorder="1" applyAlignment="1">
      <alignment horizontal="center" vertical="center"/>
    </xf>
    <xf numFmtId="0" fontId="15" fillId="0" borderId="16" xfId="0" applyFont="1" applyBorder="1" applyAlignment="1">
      <alignment horizontal="center" vertical="center"/>
    </xf>
    <xf numFmtId="0" fontId="15" fillId="0" borderId="19" xfId="0" applyFont="1" applyBorder="1" applyAlignment="1">
      <alignment horizontal="center" vertical="center"/>
    </xf>
    <xf numFmtId="0" fontId="20" fillId="0" borderId="16" xfId="0" applyFont="1" applyBorder="1" applyAlignment="1">
      <alignment horizontal="center" vertical="center" wrapText="1"/>
    </xf>
    <xf numFmtId="0" fontId="16" fillId="0" borderId="16" xfId="0" applyFont="1" applyBorder="1">
      <alignment vertical="center"/>
    </xf>
    <xf numFmtId="0" fontId="21" fillId="0" borderId="16" xfId="0" applyFont="1" applyBorder="1" applyAlignment="1">
      <alignment horizontal="center" vertical="center"/>
    </xf>
    <xf numFmtId="0" fontId="20" fillId="0" borderId="17" xfId="0" applyFont="1" applyBorder="1" applyAlignment="1">
      <alignment horizontal="left" vertical="center" wrapText="1"/>
    </xf>
    <xf numFmtId="0" fontId="20" fillId="0" borderId="22" xfId="0" applyFont="1" applyBorder="1" applyAlignment="1">
      <alignment horizontal="left" vertical="center" wrapText="1"/>
    </xf>
    <xf numFmtId="0" fontId="20" fillId="0" borderId="19" xfId="0" applyFont="1" applyBorder="1" applyAlignment="1">
      <alignment vertical="center" wrapText="1"/>
    </xf>
    <xf numFmtId="0" fontId="20" fillId="2" borderId="16" xfId="0" applyFont="1" applyFill="1" applyBorder="1" applyAlignment="1">
      <alignment horizontal="center" vertical="center" wrapText="1"/>
    </xf>
    <xf numFmtId="0" fontId="20" fillId="2" borderId="16" xfId="0" applyFont="1" applyFill="1" applyBorder="1" applyAlignment="1">
      <alignment vertical="center" wrapText="1"/>
    </xf>
    <xf numFmtId="0" fontId="16" fillId="2" borderId="16" xfId="0" applyFont="1" applyFill="1" applyBorder="1">
      <alignment vertical="center"/>
    </xf>
    <xf numFmtId="58" fontId="20" fillId="0" borderId="16" xfId="0" applyNumberFormat="1" applyFont="1" applyBorder="1" applyAlignment="1">
      <alignment horizontal="center" vertical="center" wrapText="1"/>
    </xf>
    <xf numFmtId="0" fontId="20" fillId="0" borderId="16" xfId="0" applyFont="1" applyBorder="1" applyAlignment="1">
      <alignment vertical="center" wrapText="1"/>
    </xf>
    <xf numFmtId="0" fontId="16" fillId="0" borderId="16" xfId="0" applyFont="1" applyBorder="1" applyAlignment="1">
      <alignment horizontal="center" vertical="center"/>
    </xf>
    <xf numFmtId="0" fontId="16" fillId="2" borderId="16" xfId="0" applyFont="1" applyFill="1" applyBorder="1" applyAlignment="1">
      <alignment horizontal="center" vertical="center"/>
    </xf>
    <xf numFmtId="58" fontId="16" fillId="2" borderId="16" xfId="0" applyNumberFormat="1" applyFont="1" applyFill="1" applyBorder="1">
      <alignment vertical="center"/>
    </xf>
    <xf numFmtId="0" fontId="20" fillId="0" borderId="16" xfId="0" applyFont="1" applyBorder="1" applyAlignment="1">
      <alignment horizontal="center" vertical="center"/>
    </xf>
    <xf numFmtId="0" fontId="20" fillId="0" borderId="17" xfId="0" applyFont="1" applyBorder="1" applyAlignment="1">
      <alignment horizontal="left" vertical="center"/>
    </xf>
    <xf numFmtId="0" fontId="20" fillId="0" borderId="22" xfId="0" applyFont="1" applyBorder="1" applyAlignment="1">
      <alignment horizontal="left" vertical="center"/>
    </xf>
    <xf numFmtId="58" fontId="20" fillId="2" borderId="16" xfId="0" applyNumberFormat="1" applyFont="1" applyFill="1" applyBorder="1" applyAlignment="1">
      <alignment horizontal="center" vertical="center" wrapText="1"/>
    </xf>
    <xf numFmtId="58" fontId="20" fillId="2" borderId="16" xfId="0" applyNumberFormat="1" applyFont="1" applyFill="1" applyBorder="1" applyAlignment="1">
      <alignment horizontal="center" vertical="center"/>
    </xf>
    <xf numFmtId="58" fontId="20" fillId="0" borderId="16" xfId="0" applyNumberFormat="1" applyFont="1" applyBorder="1" applyAlignment="1">
      <alignment horizontal="center" vertical="center"/>
    </xf>
    <xf numFmtId="58" fontId="16" fillId="2" borderId="16" xfId="0" applyNumberFormat="1" applyFont="1" applyFill="1" applyBorder="1" applyAlignment="1">
      <alignment horizontal="center" vertical="center"/>
    </xf>
    <xf numFmtId="58" fontId="16" fillId="0" borderId="16" xfId="0" applyNumberFormat="1" applyFont="1" applyBorder="1">
      <alignment vertical="center"/>
    </xf>
    <xf numFmtId="0" fontId="20" fillId="2" borderId="16" xfId="0" applyFont="1" applyFill="1" applyBorder="1" applyAlignment="1">
      <alignment horizontal="center" vertical="center"/>
    </xf>
    <xf numFmtId="0" fontId="20" fillId="2" borderId="16" xfId="0" applyFont="1" applyFill="1" applyBorder="1">
      <alignment vertical="center"/>
    </xf>
    <xf numFmtId="0" fontId="20" fillId="0" borderId="19" xfId="0" applyFont="1" applyBorder="1">
      <alignment vertical="center"/>
    </xf>
    <xf numFmtId="0" fontId="20" fillId="0" borderId="16" xfId="0" applyFont="1" applyBorder="1">
      <alignment vertical="center"/>
    </xf>
    <xf numFmtId="58" fontId="20" fillId="2" borderId="16" xfId="0" applyNumberFormat="1" applyFont="1" applyFill="1" applyBorder="1">
      <alignment vertical="center"/>
    </xf>
    <xf numFmtId="0" fontId="20" fillId="0" borderId="19" xfId="0" applyFont="1" applyBorder="1" applyAlignment="1">
      <alignment horizontal="left" vertical="center" wrapText="1"/>
    </xf>
    <xf numFmtId="0" fontId="20" fillId="0" borderId="16" xfId="0" applyFont="1" applyBorder="1" applyAlignment="1">
      <alignment horizontal="left" vertical="center" wrapText="1"/>
    </xf>
    <xf numFmtId="0" fontId="20" fillId="0" borderId="16" xfId="0" applyFont="1" applyBorder="1" applyAlignment="1">
      <alignment horizontal="left" vertical="center"/>
    </xf>
    <xf numFmtId="0" fontId="20" fillId="2" borderId="16" xfId="0" applyFont="1" applyFill="1" applyBorder="1" applyAlignment="1">
      <alignment horizontal="left" vertical="center"/>
    </xf>
    <xf numFmtId="0" fontId="20" fillId="2" borderId="16" xfId="0" applyFont="1" applyFill="1" applyBorder="1" applyAlignment="1">
      <alignment horizontal="left" vertical="center" wrapText="1"/>
    </xf>
    <xf numFmtId="58" fontId="20" fillId="2" borderId="16" xfId="0" applyNumberFormat="1" applyFont="1" applyFill="1" applyBorder="1" applyAlignment="1">
      <alignment horizontal="left" vertical="center"/>
    </xf>
    <xf numFmtId="0" fontId="20" fillId="0" borderId="23" xfId="0" applyFont="1" applyBorder="1" applyAlignment="1">
      <alignment horizontal="center" vertical="center"/>
    </xf>
    <xf numFmtId="0" fontId="20" fillId="0" borderId="24" xfId="0" applyFont="1" applyBorder="1" applyAlignment="1">
      <alignment horizontal="center" vertical="center"/>
    </xf>
    <xf numFmtId="58" fontId="20" fillId="0" borderId="16" xfId="0" applyNumberFormat="1" applyFont="1" applyBorder="1" applyAlignment="1">
      <alignment horizontal="left" vertical="center"/>
    </xf>
    <xf numFmtId="0" fontId="20" fillId="0" borderId="23" xfId="0" applyFont="1" applyBorder="1" applyAlignment="1">
      <alignment horizontal="center" vertical="center" wrapText="1"/>
    </xf>
    <xf numFmtId="0" fontId="16" fillId="0" borderId="23" xfId="0" applyFont="1" applyBorder="1">
      <alignment vertical="center"/>
    </xf>
    <xf numFmtId="0" fontId="20" fillId="0" borderId="25" xfId="0" applyFont="1" applyBorder="1" applyAlignment="1">
      <alignment horizontal="left" vertical="center"/>
    </xf>
    <xf numFmtId="0" fontId="20" fillId="0" borderId="26" xfId="0" applyFont="1" applyBorder="1" applyAlignment="1">
      <alignment horizontal="left" vertical="center"/>
    </xf>
    <xf numFmtId="0" fontId="20" fillId="0" borderId="27" xfId="0" applyFont="1" applyBorder="1" applyAlignment="1">
      <alignment horizontal="left" vertical="center"/>
    </xf>
    <xf numFmtId="0" fontId="16" fillId="2" borderId="23" xfId="0" applyFont="1" applyFill="1" applyBorder="1">
      <alignment vertical="center"/>
    </xf>
    <xf numFmtId="0" fontId="16" fillId="0" borderId="23" xfId="0" applyFont="1" applyBorder="1" applyAlignment="1">
      <alignment horizontal="center" vertical="center"/>
    </xf>
    <xf numFmtId="0" fontId="16" fillId="2" borderId="23" xfId="0" applyFont="1" applyFill="1" applyBorder="1" applyAlignment="1">
      <alignment horizontal="center" vertical="center"/>
    </xf>
    <xf numFmtId="58" fontId="20" fillId="0" borderId="23" xfId="0" applyNumberFormat="1" applyFont="1" applyBorder="1" applyAlignment="1">
      <alignment horizontal="center" vertical="center"/>
    </xf>
    <xf numFmtId="0" fontId="20" fillId="0" borderId="23" xfId="0" applyFont="1" applyBorder="1" applyAlignment="1">
      <alignment horizontal="left" vertical="center" wrapText="1"/>
    </xf>
    <xf numFmtId="0" fontId="20" fillId="2" borderId="23" xfId="0" applyFont="1" applyFill="1" applyBorder="1">
      <alignment vertical="center"/>
    </xf>
    <xf numFmtId="0" fontId="17" fillId="0" borderId="3" xfId="0" applyFont="1" applyBorder="1" applyAlignment="1">
      <alignment horizontal="center" vertical="center"/>
    </xf>
    <xf numFmtId="0" fontId="6" fillId="0" borderId="3" xfId="0" applyFont="1" applyBorder="1" applyAlignment="1">
      <alignment horizontal="center" vertical="center"/>
    </xf>
    <xf numFmtId="0" fontId="20" fillId="0" borderId="3" xfId="0" applyFont="1" applyBorder="1" applyAlignment="1">
      <alignment horizontal="center" vertical="center"/>
    </xf>
    <xf numFmtId="0" fontId="20" fillId="0" borderId="3" xfId="0" applyFont="1" applyBorder="1" applyAlignment="1">
      <alignment horizontal="left" vertical="center"/>
    </xf>
    <xf numFmtId="0" fontId="17" fillId="2" borderId="3" xfId="0" applyFont="1" applyFill="1" applyBorder="1">
      <alignment vertical="center"/>
    </xf>
    <xf numFmtId="0" fontId="17" fillId="0" borderId="3" xfId="0" applyFont="1" applyBorder="1">
      <alignment vertical="center"/>
    </xf>
    <xf numFmtId="0" fontId="17" fillId="2" borderId="3" xfId="0" applyFont="1" applyFill="1" applyBorder="1" applyAlignment="1">
      <alignment horizontal="center" vertical="center"/>
    </xf>
    <xf numFmtId="0" fontId="17" fillId="2" borderId="0" xfId="0" applyFont="1" applyFill="1">
      <alignment vertical="center"/>
    </xf>
    <xf numFmtId="0" fontId="6" fillId="0" borderId="3" xfId="0" applyFont="1" applyBorder="1" applyAlignment="1">
      <alignment horizontal="center" vertical="center" wrapText="1"/>
    </xf>
    <xf numFmtId="0" fontId="17" fillId="0" borderId="3" xfId="0" applyFont="1" applyBorder="1" applyAlignment="1">
      <alignment horizontal="left" vertical="center" wrapText="1"/>
    </xf>
    <xf numFmtId="0" fontId="17" fillId="0" borderId="3" xfId="0" applyFont="1" applyBorder="1" applyAlignment="1">
      <alignment horizontal="left" vertical="center"/>
    </xf>
    <xf numFmtId="0" fontId="6" fillId="0" borderId="3" xfId="0" applyFont="1" applyBorder="1" applyAlignment="1">
      <alignment vertical="center" wrapText="1"/>
    </xf>
    <xf numFmtId="0" fontId="6" fillId="2" borderId="3" xfId="0" applyFont="1" applyFill="1" applyBorder="1">
      <alignment vertical="center"/>
    </xf>
    <xf numFmtId="0" fontId="6" fillId="2" borderId="3" xfId="0" applyFont="1" applyFill="1" applyBorder="1" applyAlignment="1">
      <alignment vertical="center" wrapText="1"/>
    </xf>
    <xf numFmtId="0" fontId="6" fillId="0" borderId="3" xfId="0" applyFont="1" applyBorder="1" applyAlignment="1">
      <alignment horizontal="left" vertical="center"/>
    </xf>
    <xf numFmtId="0" fontId="6" fillId="0" borderId="3" xfId="0" applyFont="1" applyBorder="1">
      <alignment vertical="center"/>
    </xf>
    <xf numFmtId="0" fontId="6" fillId="0" borderId="28" xfId="0" applyFont="1" applyBorder="1" applyAlignment="1">
      <alignment horizontal="center" vertical="center"/>
    </xf>
    <xf numFmtId="0" fontId="6" fillId="0" borderId="28" xfId="0" applyFont="1" applyBorder="1" applyAlignment="1">
      <alignment horizontal="left" vertical="center"/>
    </xf>
    <xf numFmtId="58" fontId="17" fillId="0" borderId="3" xfId="0" applyNumberFormat="1" applyFont="1" applyBorder="1">
      <alignment vertical="center"/>
    </xf>
    <xf numFmtId="58" fontId="17" fillId="2" borderId="3" xfId="0" applyNumberFormat="1" applyFont="1" applyFill="1" applyBorder="1">
      <alignment vertical="center"/>
    </xf>
    <xf numFmtId="0" fontId="17" fillId="0" borderId="0" xfId="0" applyFont="1" applyAlignment="1">
      <alignment horizontal="center" vertical="center"/>
    </xf>
    <xf numFmtId="0" fontId="17" fillId="0" borderId="0" xfId="0" applyFont="1" applyAlignment="1">
      <alignment horizontal="left" vertical="center"/>
    </xf>
    <xf numFmtId="0" fontId="17" fillId="0" borderId="15" xfId="0" applyFont="1" applyBorder="1" applyAlignment="1">
      <alignment horizontal="left" vertical="center"/>
    </xf>
    <xf numFmtId="0" fontId="17" fillId="2" borderId="0" xfId="0" applyFont="1" applyFill="1" applyAlignment="1">
      <alignment horizontal="center" vertical="center"/>
    </xf>
    <xf numFmtId="0" fontId="19" fillId="4" borderId="29" xfId="0" applyFont="1" applyFill="1" applyBorder="1" applyAlignment="1">
      <alignment horizontal="center" vertical="center"/>
    </xf>
    <xf numFmtId="0" fontId="19" fillId="4" borderId="0" xfId="0" applyFont="1" applyFill="1" applyAlignment="1">
      <alignment horizontal="center" vertical="center"/>
    </xf>
    <xf numFmtId="0" fontId="2" fillId="2" borderId="5" xfId="0" applyFont="1" applyFill="1" applyBorder="1" applyAlignment="1">
      <alignment horizontal="center" vertical="center"/>
    </xf>
    <xf numFmtId="0" fontId="2" fillId="0" borderId="5" xfId="0" applyFont="1" applyBorder="1" applyAlignment="1">
      <alignment horizontal="center" vertical="center"/>
    </xf>
    <xf numFmtId="0" fontId="2" fillId="0" borderId="5" xfId="0" applyFont="1" applyBorder="1" applyAlignment="1">
      <alignment horizontal="center" vertical="center" wrapText="1"/>
    </xf>
    <xf numFmtId="0" fontId="3" fillId="2" borderId="5" xfId="0" applyFont="1" applyFill="1" applyBorder="1" applyAlignment="1">
      <alignment horizontal="center" vertical="center"/>
    </xf>
    <xf numFmtId="0" fontId="3" fillId="0" borderId="5" xfId="0" applyFont="1" applyBorder="1" applyAlignment="1">
      <alignment horizontal="center" vertical="center"/>
    </xf>
    <xf numFmtId="31" fontId="18" fillId="0" borderId="5" xfId="0" applyNumberFormat="1" applyFont="1" applyBorder="1" applyAlignment="1">
      <alignment horizontal="center" vertical="center"/>
    </xf>
    <xf numFmtId="0" fontId="18" fillId="0" borderId="5" xfId="0" applyFont="1" applyBorder="1">
      <alignment vertical="center"/>
    </xf>
    <xf numFmtId="0" fontId="18" fillId="0" borderId="5" xfId="0" applyFont="1" applyBorder="1" applyAlignment="1">
      <alignment horizontal="center" vertical="center"/>
    </xf>
    <xf numFmtId="0" fontId="3" fillId="2" borderId="30" xfId="0" applyFont="1" applyFill="1" applyBorder="1" applyAlignment="1">
      <alignment horizontal="center" vertical="center"/>
    </xf>
    <xf numFmtId="0" fontId="18" fillId="0" borderId="30" xfId="0" applyFont="1" applyBorder="1" applyAlignment="1">
      <alignment horizontal="center" vertical="center"/>
    </xf>
    <xf numFmtId="0" fontId="3" fillId="0" borderId="30" xfId="0" applyFont="1" applyBorder="1" applyAlignment="1">
      <alignment horizontal="center" vertical="center"/>
    </xf>
    <xf numFmtId="0" fontId="4" fillId="2" borderId="31" xfId="0" applyFont="1" applyFill="1" applyBorder="1" applyAlignment="1">
      <alignment horizontal="center" vertical="center"/>
    </xf>
    <xf numFmtId="0" fontId="4" fillId="0" borderId="32" xfId="0" applyFont="1" applyBorder="1" applyAlignment="1">
      <alignment horizontal="center" vertical="center"/>
    </xf>
    <xf numFmtId="0" fontId="4" fillId="0" borderId="33" xfId="0" applyFont="1" applyBorder="1" applyAlignment="1">
      <alignment horizontal="center" vertical="center"/>
    </xf>
    <xf numFmtId="0" fontId="4" fillId="0" borderId="34" xfId="0" applyFont="1" applyBorder="1" applyAlignment="1">
      <alignment horizontal="center" vertical="center"/>
    </xf>
    <xf numFmtId="0" fontId="22" fillId="0" borderId="0" xfId="0" applyFont="1" applyAlignment="1">
      <alignment horizontal="left" vertical="center" wrapText="1"/>
    </xf>
    <xf numFmtId="0" fontId="18" fillId="0" borderId="0" xfId="0" applyFont="1" applyAlignment="1">
      <alignment horizontal="left" vertical="center" wrapText="1"/>
    </xf>
    <xf numFmtId="49" fontId="17" fillId="0" borderId="0" xfId="0" applyNumberFormat="1" applyFont="1" applyAlignment="1">
      <alignment horizontal="left" vertical="center"/>
    </xf>
    <xf numFmtId="0" fontId="23" fillId="0" borderId="0" xfId="0" applyFont="1" applyAlignment="1">
      <alignment horizontal="left" vertical="center" wrapText="1"/>
    </xf>
    <xf numFmtId="0" fontId="24" fillId="0" borderId="0" xfId="0" applyFont="1" applyAlignment="1">
      <alignment horizontal="left" vertical="center" wrapText="1"/>
    </xf>
    <xf numFmtId="0" fontId="17" fillId="0" borderId="0" xfId="0" applyFont="1" applyAlignment="1">
      <alignment horizontal="center" vertical="center" wrapText="1"/>
    </xf>
    <xf numFmtId="0" fontId="17" fillId="0" borderId="0" xfId="0" applyFont="1" applyAlignment="1">
      <alignment horizontal="left" vertical="center" wrapText="1"/>
    </xf>
    <xf numFmtId="49" fontId="17" fillId="0" borderId="0" xfId="0" applyNumberFormat="1" applyFont="1" applyAlignment="1">
      <alignment horizontal="left" vertical="center" wrapText="1"/>
    </xf>
    <xf numFmtId="0" fontId="17" fillId="0" borderId="5" xfId="0" applyFont="1" applyBorder="1" applyAlignment="1">
      <alignment horizontal="center" vertical="center" wrapText="1"/>
    </xf>
    <xf numFmtId="0" fontId="22" fillId="2" borderId="5" xfId="0" applyFont="1" applyFill="1" applyBorder="1" applyAlignment="1">
      <alignment vertical="center" wrapText="1"/>
    </xf>
    <xf numFmtId="49" fontId="22" fillId="2" borderId="5" xfId="0" applyNumberFormat="1" applyFont="1" applyFill="1" applyBorder="1" applyAlignment="1">
      <alignment vertical="center" wrapText="1"/>
    </xf>
    <xf numFmtId="0" fontId="22" fillId="5" borderId="5" xfId="0" applyFont="1" applyFill="1" applyBorder="1" applyAlignment="1">
      <alignment horizontal="center" vertical="center" wrapText="1"/>
    </xf>
    <xf numFmtId="0" fontId="22" fillId="5" borderId="5" xfId="0" applyFont="1" applyFill="1" applyBorder="1" applyAlignment="1">
      <alignment horizontal="left" vertical="center" wrapText="1"/>
    </xf>
    <xf numFmtId="0" fontId="22" fillId="2" borderId="5" xfId="0" applyFont="1" applyFill="1" applyBorder="1" applyAlignment="1">
      <alignment horizontal="center" vertical="center" wrapText="1"/>
    </xf>
    <xf numFmtId="49" fontId="22" fillId="5" borderId="5" xfId="0" applyNumberFormat="1" applyFont="1" applyFill="1" applyBorder="1" applyAlignment="1">
      <alignment horizontal="center" vertical="center" wrapText="1"/>
    </xf>
    <xf numFmtId="0" fontId="22" fillId="0" borderId="5" xfId="0" applyFont="1" applyBorder="1" applyAlignment="1">
      <alignment horizontal="left" vertical="center" wrapText="1"/>
    </xf>
    <xf numFmtId="0" fontId="17" fillId="2" borderId="5" xfId="0" applyFont="1" applyFill="1" applyBorder="1" applyAlignment="1">
      <alignment horizontal="left" vertical="center" wrapText="1"/>
    </xf>
    <xf numFmtId="49" fontId="17" fillId="2" borderId="5" xfId="0" applyNumberFormat="1" applyFont="1" applyFill="1" applyBorder="1" applyAlignment="1">
      <alignment horizontal="left" vertical="center" wrapText="1"/>
    </xf>
    <xf numFmtId="0" fontId="17" fillId="2" borderId="5" xfId="0" applyFont="1" applyFill="1" applyBorder="1" applyAlignment="1">
      <alignment horizontal="center" vertical="center" wrapText="1"/>
    </xf>
    <xf numFmtId="0" fontId="17" fillId="5" borderId="5" xfId="0" applyFont="1" applyFill="1" applyBorder="1" applyAlignment="1">
      <alignment horizontal="left" vertical="center" wrapText="1"/>
    </xf>
    <xf numFmtId="49" fontId="17" fillId="5" borderId="5" xfId="0" applyNumberFormat="1" applyFont="1" applyFill="1" applyBorder="1" applyAlignment="1">
      <alignment horizontal="left" vertical="center" wrapText="1"/>
    </xf>
    <xf numFmtId="0" fontId="17" fillId="2" borderId="5" xfId="49" applyFont="1" applyFill="1" applyBorder="1" applyAlignment="1">
      <alignment horizontal="left" vertical="center" wrapText="1"/>
    </xf>
    <xf numFmtId="0" fontId="17" fillId="5" borderId="5" xfId="49" applyFont="1" applyFill="1" applyBorder="1" applyAlignment="1">
      <alignment horizontal="left" vertical="center" wrapText="1"/>
    </xf>
    <xf numFmtId="0" fontId="17" fillId="0" borderId="10" xfId="0" applyFont="1" applyBorder="1" applyAlignment="1">
      <alignment horizontal="center" vertical="center" wrapText="1"/>
    </xf>
    <xf numFmtId="0" fontId="17" fillId="0" borderId="10" xfId="0" applyFont="1" applyBorder="1" applyAlignment="1">
      <alignment horizontal="left" vertical="center" wrapText="1"/>
    </xf>
    <xf numFmtId="49" fontId="6" fillId="0" borderId="10" xfId="0" applyNumberFormat="1" applyFont="1" applyBorder="1" applyAlignment="1">
      <alignment horizontal="left" vertical="center" wrapText="1"/>
    </xf>
    <xf numFmtId="0" fontId="17" fillId="0" borderId="5" xfId="0" applyFont="1" applyBorder="1" applyAlignment="1">
      <alignment horizontal="left" vertical="center" wrapText="1"/>
    </xf>
    <xf numFmtId="0" fontId="17" fillId="0" borderId="3" xfId="0" applyFont="1" applyBorder="1" applyAlignment="1">
      <alignment horizontal="center" vertical="center" wrapText="1"/>
    </xf>
    <xf numFmtId="49" fontId="17" fillId="0" borderId="5" xfId="0" applyNumberFormat="1" applyFont="1" applyBorder="1" applyAlignment="1">
      <alignment horizontal="left" vertical="center" wrapText="1"/>
    </xf>
    <xf numFmtId="49" fontId="17" fillId="0" borderId="10" xfId="0" applyNumberFormat="1" applyFont="1" applyBorder="1" applyAlignment="1">
      <alignment horizontal="left" vertical="center" wrapText="1"/>
    </xf>
    <xf numFmtId="9" fontId="17" fillId="0" borderId="5" xfId="0" applyNumberFormat="1" applyFont="1" applyBorder="1" applyAlignment="1">
      <alignment horizontal="left" vertical="center" wrapText="1"/>
    </xf>
    <xf numFmtId="49" fontId="17" fillId="0" borderId="3" xfId="0" applyNumberFormat="1" applyFont="1" applyBorder="1" applyAlignment="1">
      <alignment horizontal="left" vertical="center" wrapText="1"/>
    </xf>
    <xf numFmtId="178" fontId="17" fillId="3" borderId="3" xfId="0" applyNumberFormat="1" applyFont="1" applyFill="1" applyBorder="1" applyAlignment="1" applyProtection="1">
      <alignment horizontal="left" vertical="center" wrapText="1"/>
      <protection locked="0"/>
    </xf>
    <xf numFmtId="0" fontId="17" fillId="3" borderId="3" xfId="0" applyFont="1" applyFill="1" applyBorder="1" applyAlignment="1" applyProtection="1">
      <alignment horizontal="left" vertical="center" wrapText="1"/>
      <protection locked="0"/>
    </xf>
    <xf numFmtId="176" fontId="17" fillId="3" borderId="3" xfId="0" applyNumberFormat="1" applyFont="1" applyFill="1" applyBorder="1" applyAlignment="1" applyProtection="1">
      <alignment horizontal="left" vertical="center" wrapText="1"/>
      <protection locked="0"/>
    </xf>
    <xf numFmtId="0" fontId="17" fillId="3" borderId="5" xfId="0" applyFont="1" applyFill="1" applyBorder="1" applyAlignment="1">
      <alignment horizontal="left" vertical="center" wrapText="1"/>
    </xf>
    <xf numFmtId="49" fontId="17" fillId="3" borderId="5" xfId="0" applyNumberFormat="1" applyFont="1" applyFill="1" applyBorder="1" applyAlignment="1">
      <alignment horizontal="left" vertical="center" wrapText="1"/>
    </xf>
    <xf numFmtId="0" fontId="17" fillId="3" borderId="5" xfId="0" applyFont="1" applyFill="1" applyBorder="1" applyAlignment="1">
      <alignment horizontal="center" vertical="center" wrapText="1"/>
    </xf>
    <xf numFmtId="9" fontId="17" fillId="3" borderId="5" xfId="0" applyNumberFormat="1" applyFont="1" applyFill="1" applyBorder="1" applyAlignment="1">
      <alignment horizontal="left" vertical="center" wrapText="1"/>
    </xf>
    <xf numFmtId="58" fontId="17" fillId="3" borderId="5" xfId="0" applyNumberFormat="1" applyFont="1" applyFill="1" applyBorder="1" applyAlignment="1">
      <alignment horizontal="left" vertical="center" wrapText="1"/>
    </xf>
    <xf numFmtId="58" fontId="17" fillId="0" borderId="5" xfId="0" applyNumberFormat="1" applyFont="1" applyBorder="1" applyAlignment="1">
      <alignment horizontal="left" vertical="center" wrapText="1"/>
    </xf>
    <xf numFmtId="58" fontId="17" fillId="0" borderId="10" xfId="0" applyNumberFormat="1" applyFont="1" applyBorder="1" applyAlignment="1">
      <alignment horizontal="left" vertical="center" wrapText="1"/>
    </xf>
    <xf numFmtId="58" fontId="17" fillId="0" borderId="3" xfId="0" applyNumberFormat="1" applyFont="1" applyBorder="1" applyAlignment="1">
      <alignment horizontal="left" vertical="center" wrapText="1"/>
    </xf>
    <xf numFmtId="0" fontId="25" fillId="0" borderId="5" xfId="6" applyFont="1" applyBorder="1" applyAlignment="1">
      <alignment horizontal="left" vertical="center" wrapText="1"/>
    </xf>
    <xf numFmtId="0" fontId="17" fillId="0" borderId="5" xfId="0" applyFont="1" applyBorder="1" applyAlignment="1">
      <alignment horizontal="left" vertical="center"/>
    </xf>
    <xf numFmtId="178" fontId="17" fillId="0" borderId="5" xfId="0" applyNumberFormat="1" applyFont="1" applyBorder="1" applyAlignment="1">
      <alignment horizontal="left" vertical="center" wrapText="1"/>
    </xf>
    <xf numFmtId="10" fontId="17" fillId="0" borderId="5" xfId="0" applyNumberFormat="1" applyFont="1" applyBorder="1" applyAlignment="1">
      <alignment horizontal="left" vertical="center" wrapText="1"/>
    </xf>
    <xf numFmtId="9" fontId="17" fillId="0" borderId="10" xfId="0" applyNumberFormat="1" applyFont="1" applyBorder="1" applyAlignment="1">
      <alignment horizontal="left" vertical="center" wrapText="1"/>
    </xf>
    <xf numFmtId="178" fontId="17" fillId="0" borderId="10" xfId="0" applyNumberFormat="1" applyFont="1" applyBorder="1" applyAlignment="1">
      <alignment horizontal="left" vertical="center" wrapText="1"/>
    </xf>
    <xf numFmtId="10" fontId="17" fillId="0" borderId="10" xfId="0" applyNumberFormat="1" applyFont="1" applyBorder="1" applyAlignment="1">
      <alignment horizontal="left" vertical="center" wrapText="1"/>
    </xf>
    <xf numFmtId="20" fontId="17" fillId="0" borderId="5" xfId="0" applyNumberFormat="1" applyFont="1" applyBorder="1" applyAlignment="1">
      <alignment horizontal="left" vertical="center" wrapText="1"/>
    </xf>
    <xf numFmtId="179" fontId="17" fillId="0" borderId="5" xfId="0" applyNumberFormat="1" applyFont="1" applyBorder="1" applyAlignment="1">
      <alignment horizontal="left" vertical="center" wrapText="1"/>
    </xf>
    <xf numFmtId="11" fontId="17" fillId="0" borderId="5" xfId="0" applyNumberFormat="1" applyFont="1" applyBorder="1" applyAlignment="1">
      <alignment horizontal="left" vertical="center" wrapText="1"/>
    </xf>
    <xf numFmtId="179" fontId="17" fillId="0" borderId="10" xfId="0" applyNumberFormat="1" applyFont="1" applyBorder="1" applyAlignment="1">
      <alignment horizontal="left" vertical="center" wrapText="1"/>
    </xf>
    <xf numFmtId="178" fontId="17" fillId="0" borderId="3" xfId="0" applyNumberFormat="1" applyFont="1" applyBorder="1" applyAlignment="1">
      <alignment horizontal="left" vertical="center" wrapText="1"/>
    </xf>
    <xf numFmtId="179" fontId="17" fillId="0" borderId="3" xfId="0" applyNumberFormat="1" applyFont="1" applyBorder="1" applyAlignment="1">
      <alignment horizontal="left" vertical="center" wrapText="1"/>
    </xf>
    <xf numFmtId="10" fontId="17" fillId="0" borderId="3" xfId="0" applyNumberFormat="1" applyFont="1" applyBorder="1" applyAlignment="1">
      <alignment horizontal="left" vertical="center" wrapText="1"/>
    </xf>
    <xf numFmtId="0" fontId="25" fillId="0" borderId="3" xfId="6" applyFont="1" applyBorder="1" applyAlignment="1">
      <alignment horizontal="left" vertical="center" wrapText="1"/>
    </xf>
    <xf numFmtId="0" fontId="17" fillId="0" borderId="5" xfId="0" applyFont="1" applyBorder="1" applyAlignment="1">
      <alignment horizontal="left" wrapText="1"/>
    </xf>
    <xf numFmtId="0" fontId="6" fillId="0" borderId="5" xfId="0" applyFont="1" applyBorder="1" applyAlignment="1">
      <alignment horizontal="left" vertical="center" wrapText="1"/>
    </xf>
    <xf numFmtId="49" fontId="25" fillId="0" borderId="5" xfId="6" applyNumberFormat="1" applyFont="1" applyBorder="1" applyAlignment="1">
      <alignment horizontal="left" vertical="center" wrapText="1"/>
    </xf>
    <xf numFmtId="49" fontId="17" fillId="0" borderId="5" xfId="0" applyNumberFormat="1" applyFont="1" applyBorder="1" applyAlignment="1">
      <alignment horizontal="center" vertical="center" wrapText="1"/>
    </xf>
    <xf numFmtId="49" fontId="17" fillId="3" borderId="10" xfId="0" applyNumberFormat="1" applyFont="1" applyFill="1" applyBorder="1" applyAlignment="1" applyProtection="1">
      <alignment horizontal="left" vertical="center" wrapText="1"/>
      <protection locked="0"/>
    </xf>
    <xf numFmtId="49" fontId="17" fillId="3" borderId="3" xfId="0" applyNumberFormat="1" applyFont="1" applyFill="1" applyBorder="1" applyAlignment="1" applyProtection="1">
      <alignment horizontal="left" vertical="center" wrapText="1"/>
      <protection locked="0"/>
    </xf>
    <xf numFmtId="49" fontId="17" fillId="0" borderId="3" xfId="0" applyNumberFormat="1" applyFont="1" applyBorder="1" applyAlignment="1">
      <alignment horizontal="center" vertical="center" wrapText="1"/>
    </xf>
    <xf numFmtId="178" fontId="17" fillId="3" borderId="10" xfId="0" applyNumberFormat="1" applyFont="1" applyFill="1" applyBorder="1" applyAlignment="1" applyProtection="1">
      <alignment horizontal="left" vertical="center" wrapText="1"/>
      <protection locked="0"/>
    </xf>
    <xf numFmtId="49" fontId="17" fillId="0" borderId="3" xfId="49" applyNumberFormat="1" applyFont="1" applyBorder="1" applyAlignment="1">
      <alignment horizontal="left" vertical="center" wrapText="1"/>
    </xf>
    <xf numFmtId="49" fontId="17" fillId="0" borderId="5" xfId="49" applyNumberFormat="1" applyFont="1" applyBorder="1" applyAlignment="1">
      <alignment horizontal="left" vertical="center" wrapText="1"/>
    </xf>
    <xf numFmtId="49" fontId="17" fillId="0" borderId="5" xfId="0" applyNumberFormat="1" applyFont="1" applyBorder="1" applyAlignment="1">
      <alignment horizontal="left" vertical="center"/>
    </xf>
    <xf numFmtId="49" fontId="17" fillId="0" borderId="10" xfId="49" applyNumberFormat="1" applyFont="1" applyBorder="1" applyAlignment="1">
      <alignment horizontal="left" vertical="center" wrapText="1"/>
    </xf>
    <xf numFmtId="49" fontId="17" fillId="0" borderId="3" xfId="0" applyNumberFormat="1" applyFont="1" applyBorder="1" applyAlignment="1">
      <alignment horizontal="left" vertical="center"/>
    </xf>
    <xf numFmtId="0" fontId="24" fillId="0" borderId="3" xfId="0" applyFont="1" applyBorder="1" applyAlignment="1">
      <alignment horizontal="left" vertical="center" wrapText="1"/>
    </xf>
    <xf numFmtId="49" fontId="24" fillId="0" borderId="3" xfId="0" applyNumberFormat="1" applyFont="1" applyBorder="1" applyAlignment="1">
      <alignment horizontal="left" vertical="center" wrapText="1"/>
    </xf>
    <xf numFmtId="0" fontId="24" fillId="0" borderId="3" xfId="0" applyFont="1" applyBorder="1" applyAlignment="1">
      <alignment horizontal="center" vertical="center" wrapText="1"/>
    </xf>
    <xf numFmtId="0" fontId="24" fillId="0" borderId="3" xfId="0" applyFont="1" applyBorder="1" applyAlignment="1">
      <alignment horizontal="left" vertical="center"/>
    </xf>
    <xf numFmtId="0" fontId="24" fillId="0" borderId="5" xfId="0" applyFont="1" applyBorder="1" applyAlignment="1">
      <alignment horizontal="left" vertical="center" wrapText="1"/>
    </xf>
    <xf numFmtId="49" fontId="24" fillId="0" borderId="5" xfId="0" applyNumberFormat="1" applyFont="1" applyBorder="1" applyAlignment="1">
      <alignment horizontal="left" vertical="center" wrapText="1"/>
    </xf>
    <xf numFmtId="0" fontId="24" fillId="0" borderId="10" xfId="0" applyFont="1" applyBorder="1" applyAlignment="1">
      <alignment horizontal="left" vertical="center" wrapText="1"/>
    </xf>
    <xf numFmtId="49" fontId="24" fillId="0" borderId="10" xfId="0" applyNumberFormat="1" applyFont="1" applyBorder="1" applyAlignment="1">
      <alignment horizontal="left" vertical="center" wrapText="1"/>
    </xf>
    <xf numFmtId="0" fontId="24" fillId="0" borderId="10" xfId="0" applyFont="1" applyBorder="1" applyAlignment="1">
      <alignment horizontal="center" vertical="center" wrapText="1"/>
    </xf>
    <xf numFmtId="0" fontId="24" fillId="0" borderId="10" xfId="0" applyFont="1" applyBorder="1" applyAlignment="1">
      <alignment horizontal="left" vertical="center"/>
    </xf>
    <xf numFmtId="0" fontId="24" fillId="0" borderId="5" xfId="0" applyFont="1" applyBorder="1" applyAlignment="1">
      <alignment horizontal="center" vertical="center" wrapText="1"/>
    </xf>
    <xf numFmtId="0" fontId="24" fillId="0" borderId="5" xfId="0" applyFont="1" applyBorder="1" applyAlignment="1">
      <alignment horizontal="left" vertical="center"/>
    </xf>
    <xf numFmtId="49" fontId="6" fillId="0" borderId="5" xfId="0" applyNumberFormat="1" applyFont="1" applyBorder="1" applyAlignment="1">
      <alignment horizontal="left" vertical="center" wrapText="1"/>
    </xf>
    <xf numFmtId="0" fontId="6" fillId="0" borderId="28" xfId="0" applyFont="1" applyBorder="1" applyAlignment="1">
      <alignment vertical="center" wrapText="1"/>
    </xf>
    <xf numFmtId="0" fontId="6" fillId="0" borderId="28" xfId="0" applyFont="1" applyBorder="1">
      <alignment vertical="center"/>
    </xf>
    <xf numFmtId="49" fontId="6" fillId="0" borderId="28" xfId="0" applyNumberFormat="1" applyFont="1" applyBorder="1" applyAlignment="1">
      <alignment horizontal="left" vertical="center" wrapText="1"/>
    </xf>
    <xf numFmtId="0" fontId="6" fillId="0" borderId="28" xfId="0" applyFont="1" applyBorder="1" applyAlignment="1">
      <alignment horizontal="left" vertical="center" wrapText="1"/>
    </xf>
    <xf numFmtId="0" fontId="26" fillId="0" borderId="28" xfId="0" applyFont="1" applyBorder="1">
      <alignment vertical="center"/>
    </xf>
    <xf numFmtId="0" fontId="26" fillId="0" borderId="28" xfId="0" applyFont="1" applyBorder="1" applyAlignment="1">
      <alignment horizontal="center" vertical="center"/>
    </xf>
    <xf numFmtId="0" fontId="27" fillId="0" borderId="28" xfId="0" applyFont="1" applyBorder="1">
      <alignment vertical="center"/>
    </xf>
    <xf numFmtId="0" fontId="6" fillId="0" borderId="10" xfId="0" applyFont="1" applyBorder="1" applyAlignment="1">
      <alignment horizontal="left" vertical="center" wrapText="1"/>
    </xf>
    <xf numFmtId="0" fontId="6" fillId="0" borderId="28" xfId="0" applyFont="1" applyBorder="1" applyAlignment="1">
      <alignment horizontal="center" vertical="center" wrapText="1"/>
    </xf>
    <xf numFmtId="0" fontId="6" fillId="0" borderId="3" xfId="0" applyFont="1" applyBorder="1" applyAlignment="1">
      <alignment horizontal="left" vertical="center" wrapText="1"/>
    </xf>
    <xf numFmtId="0" fontId="26" fillId="0" borderId="28" xfId="0" applyFont="1" applyBorder="1" applyAlignment="1">
      <alignment vertical="center" wrapText="1"/>
    </xf>
    <xf numFmtId="0" fontId="6" fillId="0" borderId="5" xfId="0" applyFont="1" applyBorder="1" applyAlignment="1">
      <alignment vertical="center" wrapText="1"/>
    </xf>
    <xf numFmtId="0" fontId="6" fillId="0" borderId="5" xfId="0" applyFont="1" applyBorder="1" applyAlignment="1">
      <alignment horizontal="left" vertical="center"/>
    </xf>
    <xf numFmtId="0" fontId="6" fillId="0" borderId="5" xfId="0" applyFont="1" applyBorder="1" applyAlignment="1">
      <alignment horizontal="center" vertical="center" wrapText="1"/>
    </xf>
    <xf numFmtId="49" fontId="6" fillId="0" borderId="5" xfId="0" applyNumberFormat="1" applyFont="1" applyBorder="1" applyAlignment="1">
      <alignment vertical="center" wrapText="1"/>
    </xf>
    <xf numFmtId="9" fontId="6" fillId="0" borderId="5" xfId="0" applyNumberFormat="1" applyFont="1" applyBorder="1" applyAlignment="1">
      <alignment vertical="center" wrapText="1"/>
    </xf>
    <xf numFmtId="58" fontId="6" fillId="0" borderId="5" xfId="0" applyNumberFormat="1" applyFont="1" applyBorder="1" applyAlignment="1">
      <alignment vertical="center" wrapText="1"/>
    </xf>
    <xf numFmtId="0" fontId="28" fillId="0" borderId="3" xfId="6" applyFont="1" applyBorder="1" applyAlignment="1">
      <alignment horizontal="left" vertical="center" wrapText="1"/>
    </xf>
    <xf numFmtId="0" fontId="26" fillId="0" borderId="0" xfId="0" applyFont="1">
      <alignment vertical="center"/>
    </xf>
    <xf numFmtId="0" fontId="6" fillId="0" borderId="0" xfId="0" applyFont="1" applyAlignment="1">
      <alignment horizontal="left" vertical="center" wrapText="1"/>
    </xf>
    <xf numFmtId="0" fontId="17" fillId="0" borderId="10" xfId="0" applyFont="1" applyBorder="1" applyAlignment="1" quotePrefix="1">
      <alignment horizontal="left" vertical="center" wrapText="1"/>
    </xf>
    <xf numFmtId="0" fontId="17" fillId="0" borderId="5" xfId="0" applyFont="1" applyBorder="1" applyAlignment="1" quotePrefix="1">
      <alignment horizontal="left" vertical="center" wrapText="1"/>
    </xf>
    <xf numFmtId="0" fontId="17" fillId="3" borderId="5" xfId="0" applyFont="1" applyFill="1" applyBorder="1" applyAlignment="1" quotePrefix="1">
      <alignment horizontal="left" vertical="center" wrapText="1"/>
    </xf>
    <xf numFmtId="49" fontId="17" fillId="0" borderId="5" xfId="0" applyNumberFormat="1" applyFont="1" applyBorder="1" applyAlignment="1" quotePrefix="1">
      <alignment horizontal="left" vertical="center" wrapText="1"/>
    </xf>
    <xf numFmtId="49" fontId="17" fillId="0" borderId="3" xfId="0" applyNumberFormat="1" applyFont="1" applyBorder="1" applyAlignment="1" quotePrefix="1">
      <alignment horizontal="left" vertical="center" wrapText="1"/>
    </xf>
    <xf numFmtId="0" fontId="6" fillId="0" borderId="5" xfId="0" applyFont="1" applyBorder="1" applyAlignment="1" quotePrefix="1">
      <alignment horizontal="left" vertical="center" wrapText="1"/>
    </xf>
    <xf numFmtId="0" fontId="6" fillId="0" borderId="5" xfId="0" applyFont="1" applyBorder="1" applyAlignment="1" quotePrefix="1">
      <alignment vertical="center" wrapText="1"/>
    </xf>
  </cellXfs>
  <cellStyles count="50">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2" xfId="49"/>
  </cellStyles>
  <dxfs count="2">
    <dxf>
      <font>
        <color rgb="FF006100"/>
      </font>
      <fill>
        <patternFill patternType="solid">
          <bgColor rgb="FFC6EFCE"/>
        </patternFill>
      </fill>
    </dxf>
    <dxf>
      <font>
        <color rgb="FF9C0006"/>
      </font>
      <fill>
        <patternFill patternType="solid">
          <bgColor rgb="FFFFC7CE"/>
        </patternFill>
      </fill>
    </dxf>
  </dxfs>
  <tableStyles count="0" defaultTableStyle="TableStyleMedium2" defaultPivotStyle="PivotStyleLight16"/>
  <colors>
    <mruColors>
      <color rgb="00CFF8F8"/>
      <color rgb="00EAF5F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customXml" Target="../customXml/item2.xml"/><Relationship Id="rId8" Type="http://schemas.openxmlformats.org/officeDocument/2006/relationships/customXml" Target="../customXml/item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microsoft.com/office/2006/relationships/vbaProject" Target="vbaProject.bin"/><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9" Type="http://schemas.openxmlformats.org/officeDocument/2006/relationships/hyperlink" Target="http://www.caibo-indivino.com/" TargetMode="External"/><Relationship Id="rId8" Type="http://schemas.openxmlformats.org/officeDocument/2006/relationships/hyperlink" Target="http://www.chinajichun.com/cn/" TargetMode="External"/><Relationship Id="rId7" Type="http://schemas.openxmlformats.org/officeDocument/2006/relationships/hyperlink" Target="https://www.cancan.com/" TargetMode="External"/><Relationship Id="rId6" Type="http://schemas.openxmlformats.org/officeDocument/2006/relationships/hyperlink" Target="https://www.jinlongmed.com/" TargetMode="External"/><Relationship Id="rId5" Type="http://schemas.openxmlformats.org/officeDocument/2006/relationships/hyperlink" Target="http://www.jf-syringe.com/" TargetMode="External"/><Relationship Id="rId4" Type="http://schemas.openxmlformats.org/officeDocument/2006/relationships/hyperlink" Target="http://www.jinliyuanmedical.com/" TargetMode="External"/><Relationship Id="rId3" Type="http://schemas.openxmlformats.org/officeDocument/2006/relationships/hyperlink" Target="http://www.huichun.cn/" TargetMode="External"/><Relationship Id="rId22" Type="http://schemas.openxmlformats.org/officeDocument/2006/relationships/hyperlink" Target="https://www.jsmyqingfeng.cn/" TargetMode="External"/><Relationship Id="rId21" Type="http://schemas.openxmlformats.org/officeDocument/2006/relationships/hyperlink" Target="https://www.poputar.com/" TargetMode="External"/><Relationship Id="rId20" Type="http://schemas.openxmlformats.org/officeDocument/2006/relationships/hyperlink" Target="https://www.cn-sch.com/" TargetMode="External"/><Relationship Id="rId2" Type="http://schemas.openxmlformats.org/officeDocument/2006/relationships/hyperlink" Target="http://www.piaomazn.com/case/" TargetMode="External"/><Relationship Id="rId19" Type="http://schemas.openxmlformats.org/officeDocument/2006/relationships/hyperlink" Target="https://www.betterial.cn/" TargetMode="External"/><Relationship Id="rId18" Type="http://schemas.openxmlformats.org/officeDocument/2006/relationships/hyperlink" Target="http://www.lookmed.cn/" TargetMode="External"/><Relationship Id="rId17" Type="http://schemas.openxmlformats.org/officeDocument/2006/relationships/hyperlink" Target="http://www.aullen.com/" TargetMode="External"/><Relationship Id="rId16" Type="http://schemas.openxmlformats.org/officeDocument/2006/relationships/hyperlink" Target="http://www.hiearns.com/" TargetMode="External"/><Relationship Id="rId15" Type="http://schemas.openxmlformats.org/officeDocument/2006/relationships/hyperlink" Target="http://www.shinco.net/" TargetMode="External"/><Relationship Id="rId14" Type="http://schemas.openxmlformats.org/officeDocument/2006/relationships/hyperlink" Target="https://www.dmsl666.com/factory/" TargetMode="External"/><Relationship Id="rId13" Type="http://schemas.openxmlformats.org/officeDocument/2006/relationships/hyperlink" Target="http://www.jsrwang.cn/" TargetMode="External"/><Relationship Id="rId12" Type="http://schemas.openxmlformats.org/officeDocument/2006/relationships/hyperlink" Target="http://www.zengcaitextile.com/" TargetMode="External"/><Relationship Id="rId11" Type="http://schemas.openxmlformats.org/officeDocument/2006/relationships/hyperlink" Target="https://www.czcareu.cn/" TargetMode="External"/><Relationship Id="rId10" Type="http://schemas.openxmlformats.org/officeDocument/2006/relationships/hyperlink" Target="http://www.ablejeans.com/" TargetMode="External"/><Relationship Id="rId1" Type="http://schemas.openxmlformats.org/officeDocument/2006/relationships/hyperlink" Target="https://aiqicha.baidu.com/detail/compinfo?pid=xlTM-TogKuTwRZ9h6ZZ6R7hd4zCb1FsJlwmd&amp;pd=aen&amp;from=ps&amp;query=%E5%B8%B8%E5%B7%9E%E6%8A%80%E5%A4%A9%E7%94%B5%E5%AD%90%E6%9C%89%E9%99%90%E5%85%AC%E5%8F%B8"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aiqicha.baidu.com/company_detail_26898093068179"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BR970"/>
  <sheetViews>
    <sheetView tabSelected="1" zoomScale="85" zoomScaleNormal="85" topLeftCell="BM1" workbookViewId="0">
      <selection activeCell="BS9" sqref="BS9"/>
    </sheetView>
  </sheetViews>
  <sheetFormatPr defaultColWidth="10.8307692307692" defaultRowHeight="17.5"/>
  <cols>
    <col min="1" max="1" width="7" style="186" customWidth="1"/>
    <col min="2" max="2" width="92" style="187" customWidth="1"/>
    <col min="3" max="3" width="16" style="187" customWidth="1"/>
    <col min="4" max="4" width="74.1615384615385" style="187" customWidth="1"/>
    <col min="5" max="5" width="18.6615384615385" style="188" customWidth="1"/>
    <col min="6" max="6" width="61" style="187" customWidth="1"/>
    <col min="7" max="7" width="17.5" style="187" customWidth="1"/>
    <col min="8" max="8" width="12.3307692307692" style="186" customWidth="1"/>
    <col min="9" max="9" width="21.3307692307692" style="187" customWidth="1"/>
    <col min="10" max="10" width="17.5" style="187" customWidth="1"/>
    <col min="11" max="11" width="27.1615384615385" style="187" customWidth="1"/>
    <col min="12" max="12" width="20" style="187" customWidth="1"/>
    <col min="13" max="13" width="43" style="187" customWidth="1"/>
    <col min="14" max="14" width="46.8307692307692" style="187" customWidth="1"/>
    <col min="15" max="15" width="17.5" style="187" customWidth="1"/>
    <col min="16" max="16" width="15" style="187" customWidth="1"/>
    <col min="17" max="18" width="34.3307692307692" style="187" customWidth="1"/>
    <col min="19" max="19" width="31.6615384615385" style="187" customWidth="1"/>
    <col min="20" max="20" width="18" style="187" customWidth="1"/>
    <col min="21" max="21" width="16.6615384615385" style="187" customWidth="1"/>
    <col min="22" max="22" width="12.3307692307692" style="187" customWidth="1"/>
    <col min="23" max="23" width="22.5" style="187" customWidth="1"/>
    <col min="24" max="24" width="15.1615384615385" style="187" customWidth="1"/>
    <col min="25" max="25" width="17" style="188" customWidth="1"/>
    <col min="26" max="29" width="17" style="187" customWidth="1"/>
    <col min="30" max="30" width="17" style="188" customWidth="1"/>
    <col min="31" max="36" width="17" style="187" customWidth="1"/>
    <col min="37" max="39" width="44" style="187" customWidth="1"/>
    <col min="40" max="40" width="22.3307692307692" style="187" customWidth="1"/>
    <col min="41" max="41" width="24.6615384615385" style="187" customWidth="1"/>
    <col min="42" max="42" width="19.8307692307692" style="187" customWidth="1"/>
    <col min="44" max="55" width="18.5" style="187" customWidth="1"/>
    <col min="56" max="62" width="17" style="187" customWidth="1"/>
    <col min="63" max="67" width="15.5" style="187" customWidth="1"/>
    <col min="68" max="68" width="60.6615384615385" style="187" customWidth="1"/>
    <col min="69" max="69" width="10" style="187" customWidth="1"/>
    <col min="70" max="70" width="19.8307692307692" style="187" customWidth="1"/>
    <col min="71" max="16384" width="10.8307692307692" style="161"/>
  </cols>
  <sheetData>
    <row r="1" s="181" customFormat="1" ht="76" customHeight="1" spans="1:70">
      <c r="A1" s="189" t="s">
        <v>0</v>
      </c>
      <c r="B1" s="190" t="s">
        <v>1</v>
      </c>
      <c r="C1" s="190"/>
      <c r="D1" s="190"/>
      <c r="E1" s="191"/>
      <c r="F1" s="190"/>
      <c r="G1" s="190"/>
      <c r="H1" s="190"/>
      <c r="I1" s="190"/>
      <c r="J1" s="190"/>
      <c r="K1" s="190"/>
      <c r="L1" s="190"/>
      <c r="M1" s="192" t="s">
        <v>2</v>
      </c>
      <c r="N1" s="192"/>
      <c r="O1" s="192"/>
      <c r="P1" s="192"/>
      <c r="Q1" s="192"/>
      <c r="R1" s="192"/>
      <c r="S1" s="193"/>
      <c r="T1" s="194" t="s">
        <v>3</v>
      </c>
      <c r="U1" s="194"/>
      <c r="V1" s="194"/>
      <c r="W1" s="194"/>
      <c r="X1" s="194"/>
      <c r="Y1" s="195" t="s">
        <v>4</v>
      </c>
      <c r="Z1" s="192"/>
      <c r="AA1" s="192"/>
      <c r="AB1" s="192"/>
      <c r="AC1" s="192"/>
      <c r="AD1" s="195"/>
      <c r="AE1" s="192"/>
      <c r="AF1" s="192"/>
      <c r="AG1" s="192"/>
      <c r="AH1" s="192"/>
      <c r="AI1" s="192"/>
      <c r="AJ1" s="192"/>
      <c r="AK1" s="194" t="s">
        <v>5</v>
      </c>
      <c r="AL1" s="194"/>
      <c r="AM1" s="194"/>
      <c r="AN1" s="192" t="s">
        <v>6</v>
      </c>
      <c r="AO1" s="192"/>
      <c r="AP1" s="192"/>
      <c r="AR1" s="194" t="s">
        <v>7</v>
      </c>
      <c r="AS1" s="194"/>
      <c r="AT1" s="194"/>
      <c r="AU1" s="194"/>
      <c r="AV1" s="194"/>
      <c r="AW1" s="194"/>
      <c r="AX1" s="194"/>
      <c r="AY1" s="194"/>
      <c r="AZ1" s="194"/>
      <c r="BA1" s="194"/>
      <c r="BB1" s="194"/>
      <c r="BC1" s="194"/>
      <c r="BD1" s="192" t="s">
        <v>8</v>
      </c>
      <c r="BE1" s="192"/>
      <c r="BF1" s="192"/>
      <c r="BG1" s="192"/>
      <c r="BH1" s="192"/>
      <c r="BI1" s="192"/>
      <c r="BJ1" s="192"/>
      <c r="BK1" s="194" t="s">
        <v>9</v>
      </c>
      <c r="BL1" s="194"/>
      <c r="BM1" s="194"/>
      <c r="BN1" s="194"/>
      <c r="BO1" s="194"/>
      <c r="BP1" s="194"/>
      <c r="BQ1" s="196"/>
      <c r="BR1" s="192"/>
    </row>
    <row r="2" s="182" customFormat="1" ht="59" customHeight="1" spans="1:70">
      <c r="A2" s="189"/>
      <c r="B2" s="197" t="s">
        <v>10</v>
      </c>
      <c r="C2" s="197" t="s">
        <v>11</v>
      </c>
      <c r="D2" s="197" t="s">
        <v>12</v>
      </c>
      <c r="E2" s="198" t="s">
        <v>13</v>
      </c>
      <c r="F2" s="197" t="s">
        <v>14</v>
      </c>
      <c r="G2" s="197" t="s">
        <v>15</v>
      </c>
      <c r="H2" s="199" t="s">
        <v>16</v>
      </c>
      <c r="I2" s="197" t="s">
        <v>17</v>
      </c>
      <c r="J2" s="197" t="s">
        <v>18</v>
      </c>
      <c r="K2" s="197" t="s">
        <v>19</v>
      </c>
      <c r="L2" s="197" t="s">
        <v>20</v>
      </c>
      <c r="M2" s="200" t="s">
        <v>21</v>
      </c>
      <c r="N2" s="200" t="s">
        <v>22</v>
      </c>
      <c r="O2" s="200" t="s">
        <v>23</v>
      </c>
      <c r="P2" s="200" t="s">
        <v>24</v>
      </c>
      <c r="Q2" s="200" t="s">
        <v>25</v>
      </c>
      <c r="R2" s="200" t="s">
        <v>26</v>
      </c>
      <c r="S2" s="200" t="s">
        <v>27</v>
      </c>
      <c r="T2" s="197" t="s">
        <v>28</v>
      </c>
      <c r="U2" s="197" t="s">
        <v>29</v>
      </c>
      <c r="V2" s="197" t="s">
        <v>30</v>
      </c>
      <c r="W2" s="197" t="s">
        <v>31</v>
      </c>
      <c r="X2" s="197" t="s">
        <v>32</v>
      </c>
      <c r="Y2" s="201" t="s">
        <v>33</v>
      </c>
      <c r="Z2" s="200" t="s">
        <v>34</v>
      </c>
      <c r="AA2" s="200" t="s">
        <v>35</v>
      </c>
      <c r="AB2" s="200" t="s">
        <v>36</v>
      </c>
      <c r="AC2" s="200" t="s">
        <v>37</v>
      </c>
      <c r="AD2" s="201" t="s">
        <v>38</v>
      </c>
      <c r="AE2" s="200" t="s">
        <v>39</v>
      </c>
      <c r="AF2" s="200" t="s">
        <v>40</v>
      </c>
      <c r="AG2" s="200" t="s">
        <v>41</v>
      </c>
      <c r="AH2" s="200" t="s">
        <v>42</v>
      </c>
      <c r="AI2" s="200" t="s">
        <v>43</v>
      </c>
      <c r="AJ2" s="200" t="s">
        <v>44</v>
      </c>
      <c r="AK2" s="197" t="s">
        <v>45</v>
      </c>
      <c r="AL2" s="197" t="s">
        <v>46</v>
      </c>
      <c r="AM2" s="197" t="s">
        <v>47</v>
      </c>
      <c r="AN2" s="200" t="s">
        <v>48</v>
      </c>
      <c r="AO2" s="200" t="s">
        <v>49</v>
      </c>
      <c r="AP2" s="200" t="s">
        <v>50</v>
      </c>
      <c r="AR2" s="202" t="s">
        <v>51</v>
      </c>
      <c r="AS2" s="197" t="s">
        <v>52</v>
      </c>
      <c r="AT2" s="197" t="s">
        <v>53</v>
      </c>
      <c r="AU2" s="197" t="s">
        <v>54</v>
      </c>
      <c r="AV2" s="197" t="s">
        <v>55</v>
      </c>
      <c r="AW2" s="197" t="s">
        <v>56</v>
      </c>
      <c r="AX2" s="197" t="s">
        <v>57</v>
      </c>
      <c r="AY2" s="202" t="s">
        <v>58</v>
      </c>
      <c r="AZ2" s="202" t="s">
        <v>59</v>
      </c>
      <c r="BA2" s="202" t="s">
        <v>60</v>
      </c>
      <c r="BB2" s="202" t="s">
        <v>61</v>
      </c>
      <c r="BC2" s="202" t="s">
        <v>62</v>
      </c>
      <c r="BD2" s="203" t="s">
        <v>63</v>
      </c>
      <c r="BE2" s="203" t="s">
        <v>64</v>
      </c>
      <c r="BF2" s="203" t="s">
        <v>65</v>
      </c>
      <c r="BG2" s="203" t="s">
        <v>66</v>
      </c>
      <c r="BH2" s="203" t="s">
        <v>67</v>
      </c>
      <c r="BI2" s="203" t="s">
        <v>68</v>
      </c>
      <c r="BJ2" s="203" t="s">
        <v>69</v>
      </c>
      <c r="BK2" s="197" t="s">
        <v>70</v>
      </c>
      <c r="BL2" s="197" t="s">
        <v>71</v>
      </c>
      <c r="BM2" s="197" t="s">
        <v>72</v>
      </c>
      <c r="BN2" s="197" t="s">
        <v>73</v>
      </c>
      <c r="BO2" s="197" t="s">
        <v>74</v>
      </c>
      <c r="BP2" s="197" t="s">
        <v>69</v>
      </c>
      <c r="BQ2" s="200" t="s">
        <v>75</v>
      </c>
      <c r="BR2" s="200" t="s">
        <v>76</v>
      </c>
    </row>
    <row r="3" ht="32" customHeight="1" spans="1:70">
      <c r="A3" s="204">
        <v>1</v>
      </c>
      <c r="B3" s="205" t="s">
        <v>77</v>
      </c>
      <c r="C3" s="205" t="s">
        <v>78</v>
      </c>
      <c r="D3" s="205" t="s">
        <v>79</v>
      </c>
      <c r="E3" s="205"/>
      <c r="F3" s="205" t="s">
        <v>80</v>
      </c>
      <c r="G3" s="205" t="s">
        <v>81</v>
      </c>
      <c r="H3" s="205"/>
      <c r="I3" s="205"/>
      <c r="J3" s="205" t="s">
        <v>82</v>
      </c>
      <c r="K3" s="205">
        <v>13775644635</v>
      </c>
      <c r="L3" s="205"/>
      <c r="M3" s="205" t="s">
        <v>83</v>
      </c>
      <c r="N3" s="205"/>
      <c r="O3" s="205"/>
      <c r="P3" s="205"/>
      <c r="Q3" s="205"/>
      <c r="R3" s="205"/>
      <c r="S3" s="205"/>
      <c r="T3" s="205"/>
      <c r="U3" s="205"/>
      <c r="V3" s="205"/>
      <c r="W3" s="205"/>
      <c r="X3" s="205"/>
      <c r="Y3" s="285" t="s">
        <v>84</v>
      </c>
      <c r="Z3" s="206"/>
      <c r="AA3" s="205" t="s">
        <v>85</v>
      </c>
      <c r="AB3" s="205" t="s">
        <v>86</v>
      </c>
      <c r="AC3" s="205"/>
      <c r="AD3" s="205"/>
      <c r="AE3" s="205"/>
      <c r="AF3" s="205" t="s">
        <v>87</v>
      </c>
      <c r="AG3" s="205"/>
      <c r="AH3" s="205"/>
      <c r="AI3" s="205"/>
      <c r="AJ3" s="205"/>
      <c r="AK3" s="205"/>
      <c r="AL3" s="205"/>
      <c r="AM3" s="205"/>
      <c r="AN3" s="205"/>
      <c r="AO3" s="205"/>
      <c r="AP3" s="205"/>
      <c r="AR3" s="205"/>
      <c r="AS3" s="205"/>
      <c r="AT3" s="205"/>
      <c r="AU3" s="205"/>
      <c r="AV3" s="205"/>
      <c r="AW3" s="205" t="s">
        <v>85</v>
      </c>
      <c r="AX3" s="205"/>
      <c r="AY3" s="205"/>
      <c r="AZ3" s="205"/>
      <c r="BA3" s="205"/>
      <c r="BB3" s="205"/>
      <c r="BC3" s="205"/>
      <c r="BD3" s="205"/>
      <c r="BE3" s="205"/>
      <c r="BF3" s="205"/>
      <c r="BG3" s="205"/>
      <c r="BH3" s="205"/>
      <c r="BI3" s="205"/>
      <c r="BJ3" s="205"/>
      <c r="BK3" s="205"/>
      <c r="BL3" s="205" t="s">
        <v>88</v>
      </c>
      <c r="BM3" s="205"/>
      <c r="BN3" s="205"/>
      <c r="BO3" s="205"/>
      <c r="BP3" s="205" t="s">
        <v>89</v>
      </c>
      <c r="BQ3" s="205"/>
      <c r="BR3" s="205"/>
    </row>
    <row r="4" ht="32" customHeight="1" spans="1:70">
      <c r="A4" s="189">
        <v>2</v>
      </c>
      <c r="B4" s="207" t="s">
        <v>90</v>
      </c>
      <c r="C4" s="207" t="s">
        <v>78</v>
      </c>
      <c r="D4" s="207" t="s">
        <v>91</v>
      </c>
      <c r="E4" s="207"/>
      <c r="F4" s="207" t="s">
        <v>80</v>
      </c>
      <c r="G4" s="207" t="s">
        <v>81</v>
      </c>
      <c r="H4" s="207"/>
      <c r="I4" s="207"/>
      <c r="J4" s="207" t="s">
        <v>92</v>
      </c>
      <c r="K4" s="207"/>
      <c r="L4" s="207"/>
      <c r="M4" s="207" t="s">
        <v>93</v>
      </c>
      <c r="N4" s="207"/>
      <c r="O4" s="207"/>
      <c r="P4" s="207" t="s">
        <v>94</v>
      </c>
      <c r="Q4" s="207" t="s">
        <v>95</v>
      </c>
      <c r="R4" s="207"/>
      <c r="S4" s="207"/>
      <c r="T4" s="207"/>
      <c r="U4" s="207"/>
      <c r="V4" s="207"/>
      <c r="W4" s="207"/>
      <c r="X4" s="207"/>
      <c r="Y4" s="207"/>
      <c r="Z4" s="207" t="s">
        <v>85</v>
      </c>
      <c r="AA4" s="207" t="s">
        <v>85</v>
      </c>
      <c r="AB4" s="207" t="s">
        <v>86</v>
      </c>
      <c r="AC4" s="207" t="s">
        <v>96</v>
      </c>
      <c r="AD4" s="207"/>
      <c r="AE4" s="207"/>
      <c r="AF4" s="207">
        <v>1688</v>
      </c>
      <c r="AG4" s="207"/>
      <c r="AH4" s="207"/>
      <c r="AI4" s="207"/>
      <c r="AJ4" s="207"/>
      <c r="AK4" s="207"/>
      <c r="AL4" s="207" t="s">
        <v>97</v>
      </c>
      <c r="AM4" s="207"/>
      <c r="AN4" s="207" t="s">
        <v>98</v>
      </c>
      <c r="AO4" s="207"/>
      <c r="AP4" s="207"/>
      <c r="AR4" s="207" t="s">
        <v>85</v>
      </c>
      <c r="AS4" s="207" t="s">
        <v>85</v>
      </c>
      <c r="AT4" s="207" t="s">
        <v>85</v>
      </c>
      <c r="AU4" s="205" t="s">
        <v>85</v>
      </c>
      <c r="AV4" s="207" t="s">
        <v>85</v>
      </c>
      <c r="AW4" s="205" t="s">
        <v>85</v>
      </c>
      <c r="AX4" s="207" t="s">
        <v>85</v>
      </c>
      <c r="AY4" s="207"/>
      <c r="AZ4" s="207"/>
      <c r="BA4" s="207"/>
      <c r="BB4" s="207"/>
      <c r="BC4" s="207"/>
      <c r="BD4" s="207"/>
      <c r="BE4" s="207"/>
      <c r="BF4" s="207"/>
      <c r="BG4" s="207"/>
      <c r="BH4" s="207"/>
      <c r="BI4" s="207"/>
      <c r="BJ4" s="207"/>
      <c r="BK4" s="207"/>
      <c r="BL4" s="207" t="s">
        <v>88</v>
      </c>
      <c r="BM4" s="207"/>
      <c r="BN4" s="207"/>
      <c r="BO4" s="207"/>
      <c r="BP4" s="207"/>
      <c r="BQ4" s="207" t="s">
        <v>99</v>
      </c>
      <c r="BR4" s="207" t="s">
        <v>100</v>
      </c>
    </row>
    <row r="5" ht="32" customHeight="1" spans="1:70">
      <c r="A5" s="204">
        <v>3</v>
      </c>
      <c r="B5" s="205" t="s">
        <v>101</v>
      </c>
      <c r="C5" s="205" t="s">
        <v>78</v>
      </c>
      <c r="D5" s="205"/>
      <c r="E5" s="205"/>
      <c r="F5" s="205" t="s">
        <v>80</v>
      </c>
      <c r="G5" s="205"/>
      <c r="H5" s="205"/>
      <c r="I5" s="205"/>
      <c r="J5" s="205" t="s">
        <v>102</v>
      </c>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R5" s="205"/>
      <c r="AS5" s="205"/>
      <c r="AT5" s="205"/>
      <c r="AU5" s="205"/>
      <c r="AV5" s="205"/>
      <c r="AW5" s="205"/>
      <c r="AX5" s="205"/>
      <c r="AY5" s="205"/>
      <c r="AZ5" s="205"/>
      <c r="BA5" s="205"/>
      <c r="BB5" s="205"/>
      <c r="BC5" s="205"/>
      <c r="BD5" s="205"/>
      <c r="BE5" s="205"/>
      <c r="BF5" s="205"/>
      <c r="BG5" s="205"/>
      <c r="BH5" s="205"/>
      <c r="BI5" s="205"/>
      <c r="BJ5" s="205"/>
      <c r="BK5" s="205"/>
      <c r="BL5" s="205" t="s">
        <v>88</v>
      </c>
      <c r="BM5" s="205"/>
      <c r="BN5" s="205"/>
      <c r="BO5" s="205"/>
      <c r="BP5" s="205"/>
      <c r="BQ5" s="205"/>
      <c r="BR5" s="205"/>
    </row>
    <row r="6" ht="32" customHeight="1" spans="1:70">
      <c r="A6" s="208">
        <v>4</v>
      </c>
      <c r="B6" s="149" t="s">
        <v>103</v>
      </c>
      <c r="C6" s="149" t="s">
        <v>78</v>
      </c>
      <c r="D6" s="149" t="s">
        <v>104</v>
      </c>
      <c r="E6" s="149"/>
      <c r="F6" s="149" t="s">
        <v>80</v>
      </c>
      <c r="G6" s="149" t="s">
        <v>81</v>
      </c>
      <c r="H6" s="149"/>
      <c r="I6" s="149"/>
      <c r="J6" s="149" t="s">
        <v>105</v>
      </c>
      <c r="K6" s="149"/>
      <c r="L6" s="149"/>
      <c r="M6" s="149"/>
      <c r="N6" s="149"/>
      <c r="O6" s="149"/>
      <c r="P6" s="149"/>
      <c r="Q6" s="149"/>
      <c r="R6" s="149"/>
      <c r="S6" s="149"/>
      <c r="T6" s="149"/>
      <c r="U6" s="149"/>
      <c r="V6" s="149"/>
      <c r="W6" s="149"/>
      <c r="X6" s="149"/>
      <c r="Y6" s="149"/>
      <c r="Z6" s="149"/>
      <c r="AA6" s="149"/>
      <c r="AB6" s="149"/>
      <c r="AC6" s="149"/>
      <c r="AD6" s="149"/>
      <c r="AE6" s="149"/>
      <c r="AF6" s="149"/>
      <c r="AG6" s="149"/>
      <c r="AH6" s="149"/>
      <c r="AI6" s="149"/>
      <c r="AJ6" s="149"/>
      <c r="AK6" s="149"/>
      <c r="AL6" s="149"/>
      <c r="AM6" s="149"/>
      <c r="AN6" s="149"/>
      <c r="AO6" s="149"/>
      <c r="AP6" s="149"/>
      <c r="AR6" s="149"/>
      <c r="AS6" s="149"/>
      <c r="AT6" s="149"/>
      <c r="AU6" s="149"/>
      <c r="AV6" s="149"/>
      <c r="AW6" s="149"/>
      <c r="AX6" s="149"/>
      <c r="AY6" s="149"/>
      <c r="AZ6" s="149"/>
      <c r="BA6" s="149"/>
      <c r="BB6" s="149"/>
      <c r="BC6" s="149"/>
      <c r="BD6" s="149"/>
      <c r="BE6" s="149"/>
      <c r="BF6" s="149"/>
      <c r="BG6" s="149"/>
      <c r="BH6" s="149"/>
      <c r="BI6" s="149"/>
      <c r="BJ6" s="149"/>
      <c r="BK6" s="149"/>
      <c r="BL6" s="149" t="s">
        <v>88</v>
      </c>
      <c r="BM6" s="149"/>
      <c r="BN6" s="149"/>
      <c r="BO6" s="149"/>
      <c r="BP6" s="149"/>
      <c r="BQ6" s="149"/>
      <c r="BR6" s="149"/>
    </row>
    <row r="7" ht="32" customHeight="1" spans="1:70">
      <c r="A7" s="208">
        <v>5</v>
      </c>
      <c r="B7" s="149" t="s">
        <v>106</v>
      </c>
      <c r="C7" s="149" t="s">
        <v>78</v>
      </c>
      <c r="D7" s="149" t="s">
        <v>107</v>
      </c>
      <c r="E7" s="149"/>
      <c r="F7" s="149" t="s">
        <v>80</v>
      </c>
      <c r="G7" s="149" t="s">
        <v>81</v>
      </c>
      <c r="H7" s="149"/>
      <c r="I7" s="149"/>
      <c r="J7" s="149" t="s">
        <v>108</v>
      </c>
      <c r="K7" s="149">
        <v>15006120208</v>
      </c>
      <c r="L7" s="149"/>
      <c r="M7" s="149" t="s">
        <v>109</v>
      </c>
      <c r="N7" s="149"/>
      <c r="O7" s="149"/>
      <c r="P7" s="149"/>
      <c r="Q7" s="149"/>
      <c r="R7" s="149"/>
      <c r="S7" s="149"/>
      <c r="T7" s="149"/>
      <c r="U7" s="149"/>
      <c r="V7" s="149"/>
      <c r="W7" s="149"/>
      <c r="X7" s="149"/>
      <c r="Y7" s="149"/>
      <c r="Z7" s="149"/>
      <c r="AA7" s="149"/>
      <c r="AB7" s="149"/>
      <c r="AC7" s="149"/>
      <c r="AD7" s="149"/>
      <c r="AE7" s="149"/>
      <c r="AF7" s="149"/>
      <c r="AG7" s="149"/>
      <c r="AH7" s="149"/>
      <c r="AI7" s="149"/>
      <c r="AJ7" s="149"/>
      <c r="AK7" s="149"/>
      <c r="AL7" s="149"/>
      <c r="AM7" s="149"/>
      <c r="AN7" s="149"/>
      <c r="AO7" s="149"/>
      <c r="AP7" s="149"/>
      <c r="AR7" s="149"/>
      <c r="AS7" s="149"/>
      <c r="AT7" s="149"/>
      <c r="AU7" s="149"/>
      <c r="AV7" s="149"/>
      <c r="AW7" s="149"/>
      <c r="AX7" s="149"/>
      <c r="AY7" s="149"/>
      <c r="AZ7" s="149"/>
      <c r="BA7" s="149"/>
      <c r="BB7" s="149"/>
      <c r="BC7" s="149"/>
      <c r="BD7" s="149"/>
      <c r="BE7" s="149"/>
      <c r="BF7" s="149"/>
      <c r="BG7" s="149"/>
      <c r="BH7" s="149"/>
      <c r="BI7" s="149"/>
      <c r="BJ7" s="149"/>
      <c r="BK7" s="149"/>
      <c r="BL7" s="149" t="s">
        <v>88</v>
      </c>
      <c r="BM7" s="149"/>
      <c r="BN7" s="149"/>
      <c r="BO7" s="149"/>
      <c r="BP7" s="149"/>
      <c r="BQ7" s="149"/>
      <c r="BR7" s="149"/>
    </row>
    <row r="8" ht="32" customHeight="1" spans="1:70">
      <c r="A8" s="208">
        <v>6</v>
      </c>
      <c r="B8" s="149" t="s">
        <v>110</v>
      </c>
      <c r="C8" s="149" t="s">
        <v>78</v>
      </c>
      <c r="D8" s="149" t="s">
        <v>111</v>
      </c>
      <c r="E8" s="149"/>
      <c r="F8" s="149" t="s">
        <v>80</v>
      </c>
      <c r="G8" s="149" t="s">
        <v>81</v>
      </c>
      <c r="H8" s="149"/>
      <c r="I8" s="149"/>
      <c r="J8" s="149" t="s">
        <v>112</v>
      </c>
      <c r="K8" s="149"/>
      <c r="L8" s="149"/>
      <c r="M8" s="149"/>
      <c r="N8" s="149"/>
      <c r="O8" s="149"/>
      <c r="P8" s="149"/>
      <c r="Q8" s="149"/>
      <c r="R8" s="149"/>
      <c r="S8" s="149"/>
      <c r="T8" s="149"/>
      <c r="U8" s="149"/>
      <c r="V8" s="149"/>
      <c r="W8" s="149"/>
      <c r="X8" s="149"/>
      <c r="Y8" s="149"/>
      <c r="Z8" s="149"/>
      <c r="AA8" s="149"/>
      <c r="AB8" s="149"/>
      <c r="AC8" s="149"/>
      <c r="AD8" s="149"/>
      <c r="AE8" s="149"/>
      <c r="AF8" s="149"/>
      <c r="AG8" s="149"/>
      <c r="AH8" s="149"/>
      <c r="AI8" s="149"/>
      <c r="AJ8" s="149"/>
      <c r="AK8" s="149"/>
      <c r="AL8" s="149"/>
      <c r="AM8" s="149"/>
      <c r="AN8" s="149"/>
      <c r="AO8" s="149"/>
      <c r="AP8" s="149"/>
      <c r="AR8" s="149"/>
      <c r="AS8" s="149"/>
      <c r="AT8" s="149"/>
      <c r="AU8" s="149"/>
      <c r="AV8" s="149"/>
      <c r="AW8" s="149"/>
      <c r="AX8" s="149"/>
      <c r="AY8" s="149"/>
      <c r="AZ8" s="149"/>
      <c r="BA8" s="149"/>
      <c r="BB8" s="149"/>
      <c r="BC8" s="149"/>
      <c r="BD8" s="149"/>
      <c r="BE8" s="149"/>
      <c r="BF8" s="149"/>
      <c r="BG8" s="149"/>
      <c r="BH8" s="149"/>
      <c r="BI8" s="149"/>
      <c r="BJ8" s="149"/>
      <c r="BK8" s="149"/>
      <c r="BL8" s="149" t="s">
        <v>88</v>
      </c>
      <c r="BM8" s="149"/>
      <c r="BN8" s="149"/>
      <c r="BO8" s="149"/>
      <c r="BP8" s="149"/>
      <c r="BQ8" s="149"/>
      <c r="BR8" s="149"/>
    </row>
    <row r="9" ht="32" customHeight="1" spans="1:70">
      <c r="A9" s="208">
        <v>7</v>
      </c>
      <c r="B9" s="149" t="s">
        <v>113</v>
      </c>
      <c r="C9" s="149" t="s">
        <v>78</v>
      </c>
      <c r="D9" s="149" t="s">
        <v>114</v>
      </c>
      <c r="E9" s="149"/>
      <c r="F9" s="149" t="s">
        <v>80</v>
      </c>
      <c r="G9" s="149" t="s">
        <v>81</v>
      </c>
      <c r="H9" s="149"/>
      <c r="I9" s="149"/>
      <c r="J9" s="149" t="s">
        <v>115</v>
      </c>
      <c r="K9" s="149"/>
      <c r="L9" s="149"/>
      <c r="M9" s="149" t="s">
        <v>109</v>
      </c>
      <c r="N9" s="149"/>
      <c r="O9" s="149"/>
      <c r="P9" s="149"/>
      <c r="R9" s="149" t="s">
        <v>116</v>
      </c>
      <c r="S9" s="149"/>
      <c r="T9" s="149"/>
      <c r="U9" s="149"/>
      <c r="V9" s="149"/>
      <c r="W9" s="149"/>
      <c r="X9" s="149"/>
      <c r="Y9" s="149"/>
      <c r="Z9" s="149" t="s">
        <v>85</v>
      </c>
      <c r="AA9" s="149"/>
      <c r="AB9" s="149"/>
      <c r="AC9" s="149"/>
      <c r="AD9" s="149"/>
      <c r="AE9" s="149"/>
      <c r="AF9" s="149"/>
      <c r="AG9" s="149"/>
      <c r="AH9" s="149"/>
      <c r="AI9" s="149"/>
      <c r="AJ9" s="149"/>
      <c r="AK9" s="149"/>
      <c r="AL9" s="149"/>
      <c r="AM9" s="149"/>
      <c r="AN9" s="149"/>
      <c r="AO9" s="149"/>
      <c r="AP9" s="149"/>
      <c r="AR9" s="149"/>
      <c r="AS9" s="149"/>
      <c r="AT9" s="149"/>
      <c r="AU9" s="149"/>
      <c r="AV9" s="149"/>
      <c r="AW9" s="149"/>
      <c r="AX9" s="149"/>
      <c r="AY9" s="149"/>
      <c r="AZ9" s="149"/>
      <c r="BA9" s="149"/>
      <c r="BB9" s="149"/>
      <c r="BC9" s="149"/>
      <c r="BD9" s="149"/>
      <c r="BE9" s="149"/>
      <c r="BF9" s="149"/>
      <c r="BG9" s="149"/>
      <c r="BH9" s="149"/>
      <c r="BI9" s="149"/>
      <c r="BJ9" s="149"/>
      <c r="BK9" s="149"/>
      <c r="BL9" s="149" t="s">
        <v>88</v>
      </c>
      <c r="BM9" s="149"/>
      <c r="BN9" s="149"/>
      <c r="BO9" s="149"/>
      <c r="BP9" s="149"/>
      <c r="BQ9" s="149"/>
      <c r="BR9" s="149"/>
    </row>
    <row r="10" ht="32" customHeight="1" spans="1:70">
      <c r="A10" s="208">
        <v>8</v>
      </c>
      <c r="B10" s="149" t="s">
        <v>117</v>
      </c>
      <c r="C10" s="149" t="s">
        <v>78</v>
      </c>
      <c r="D10" s="149" t="s">
        <v>118</v>
      </c>
      <c r="E10" s="149"/>
      <c r="F10" s="149" t="s">
        <v>80</v>
      </c>
      <c r="G10" s="149" t="s">
        <v>81</v>
      </c>
      <c r="H10" s="149"/>
      <c r="I10" s="149"/>
      <c r="J10" s="149" t="s">
        <v>119</v>
      </c>
      <c r="K10" s="149"/>
      <c r="L10" s="149"/>
      <c r="M10" s="149" t="s">
        <v>120</v>
      </c>
      <c r="N10" s="149"/>
      <c r="O10" s="149"/>
      <c r="P10" s="149"/>
      <c r="R10" s="149" t="s">
        <v>121</v>
      </c>
      <c r="S10" s="149"/>
      <c r="T10" s="149"/>
      <c r="U10" s="149"/>
      <c r="V10" s="149"/>
      <c r="W10" s="149"/>
      <c r="X10" s="149"/>
      <c r="Y10" s="149"/>
      <c r="Z10" s="149"/>
      <c r="AA10" s="149"/>
      <c r="AB10" s="149"/>
      <c r="AC10" s="149"/>
      <c r="AD10" s="149"/>
      <c r="AE10" s="149"/>
      <c r="AF10" s="149"/>
      <c r="AG10" s="149"/>
      <c r="AH10" s="149"/>
      <c r="AI10" s="149"/>
      <c r="AJ10" s="149"/>
      <c r="AK10" s="149"/>
      <c r="AL10" s="149"/>
      <c r="AM10" s="149"/>
      <c r="AN10" s="149"/>
      <c r="AO10" s="149"/>
      <c r="AP10" s="149"/>
      <c r="AR10" s="149"/>
      <c r="AS10" s="149"/>
      <c r="AT10" s="149"/>
      <c r="AU10" s="149"/>
      <c r="AV10" s="149"/>
      <c r="AW10" s="149"/>
      <c r="AX10" s="149"/>
      <c r="AY10" s="149"/>
      <c r="AZ10" s="149"/>
      <c r="BA10" s="149"/>
      <c r="BB10" s="149"/>
      <c r="BC10" s="149"/>
      <c r="BD10" s="149"/>
      <c r="BE10" s="149"/>
      <c r="BF10" s="149"/>
      <c r="BG10" s="149"/>
      <c r="BH10" s="149"/>
      <c r="BI10" s="149"/>
      <c r="BJ10" s="149"/>
      <c r="BK10" s="149"/>
      <c r="BL10" s="149" t="s">
        <v>88</v>
      </c>
      <c r="BM10" s="149"/>
      <c r="BN10" s="149"/>
      <c r="BO10" s="149"/>
      <c r="BP10" s="149"/>
      <c r="BQ10" s="149"/>
      <c r="BR10" s="149"/>
    </row>
    <row r="11" ht="32" customHeight="1" spans="1:70">
      <c r="A11" s="189">
        <v>9</v>
      </c>
      <c r="B11" s="207" t="s">
        <v>122</v>
      </c>
      <c r="C11" s="207" t="s">
        <v>78</v>
      </c>
      <c r="D11" s="207" t="s">
        <v>123</v>
      </c>
      <c r="E11" s="209">
        <v>2023</v>
      </c>
      <c r="F11" s="207" t="s">
        <v>124</v>
      </c>
      <c r="G11" s="207" t="s">
        <v>81</v>
      </c>
      <c r="H11" s="207"/>
      <c r="I11" s="207">
        <v>1000</v>
      </c>
      <c r="J11" s="207" t="s">
        <v>125</v>
      </c>
      <c r="K11" s="207"/>
      <c r="L11" s="207"/>
      <c r="M11" s="207" t="s">
        <v>126</v>
      </c>
      <c r="N11" s="207"/>
      <c r="O11" s="207"/>
      <c r="P11" s="207"/>
      <c r="Q11" s="207" t="s">
        <v>127</v>
      </c>
      <c r="R11" s="207"/>
      <c r="S11" s="207"/>
      <c r="T11" s="207"/>
      <c r="U11" s="207"/>
      <c r="V11" s="207"/>
      <c r="W11" s="207"/>
      <c r="X11" s="207"/>
      <c r="Y11" s="286" t="s">
        <v>84</v>
      </c>
      <c r="Z11" s="207"/>
      <c r="AA11" s="207" t="s">
        <v>85</v>
      </c>
      <c r="AB11" s="207" t="s">
        <v>128</v>
      </c>
      <c r="AC11" s="207"/>
      <c r="AD11" s="207"/>
      <c r="AE11" s="207"/>
      <c r="AF11" s="207"/>
      <c r="AG11" s="207"/>
      <c r="AH11" s="207"/>
      <c r="AI11" s="207"/>
      <c r="AJ11" s="207"/>
      <c r="AK11" s="207"/>
      <c r="AL11" s="207"/>
      <c r="AM11" s="207"/>
      <c r="AN11" s="207"/>
      <c r="AO11" s="207"/>
      <c r="AP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t="s">
        <v>88</v>
      </c>
      <c r="BM11" s="207"/>
      <c r="BN11" s="207"/>
      <c r="BO11" s="207"/>
      <c r="BP11" s="207"/>
      <c r="BQ11" s="207"/>
      <c r="BR11" s="207"/>
    </row>
    <row r="12" ht="32" customHeight="1" spans="1:70">
      <c r="A12" s="204">
        <v>10</v>
      </c>
      <c r="B12" s="205" t="s">
        <v>129</v>
      </c>
      <c r="C12" s="205" t="s">
        <v>78</v>
      </c>
      <c r="D12" s="205" t="s">
        <v>130</v>
      </c>
      <c r="E12" s="210">
        <v>2023</v>
      </c>
      <c r="F12" s="205"/>
      <c r="G12" s="205"/>
      <c r="H12" s="205"/>
      <c r="I12" s="205"/>
      <c r="J12" s="205" t="s">
        <v>131</v>
      </c>
      <c r="K12" s="205">
        <v>18915056340</v>
      </c>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R12" s="205"/>
      <c r="AS12" s="205"/>
      <c r="AT12" s="205"/>
      <c r="AU12" s="205"/>
      <c r="AV12" s="205"/>
      <c r="AW12" s="205"/>
      <c r="AX12" s="205"/>
      <c r="AY12" s="205"/>
      <c r="AZ12" s="205"/>
      <c r="BA12" s="205"/>
      <c r="BB12" s="205"/>
      <c r="BC12" s="205"/>
      <c r="BD12" s="205"/>
      <c r="BE12" s="205"/>
      <c r="BF12" s="205"/>
      <c r="BG12" s="205"/>
      <c r="BH12" s="205"/>
      <c r="BI12" s="205"/>
      <c r="BJ12" s="205"/>
      <c r="BK12" s="205"/>
      <c r="BL12" s="205" t="s">
        <v>132</v>
      </c>
      <c r="BM12" s="205"/>
      <c r="BN12" s="205"/>
      <c r="BO12" s="205"/>
      <c r="BP12" s="205"/>
      <c r="BQ12" s="205"/>
      <c r="BR12" s="205"/>
    </row>
    <row r="13" ht="32" customHeight="1" spans="1:70">
      <c r="A13" s="208">
        <v>11</v>
      </c>
      <c r="B13" s="149" t="s">
        <v>133</v>
      </c>
      <c r="C13" s="149" t="s">
        <v>78</v>
      </c>
      <c r="D13" s="149" t="s">
        <v>134</v>
      </c>
      <c r="E13" s="149"/>
      <c r="F13" s="149" t="s">
        <v>80</v>
      </c>
      <c r="G13" s="149" t="s">
        <v>81</v>
      </c>
      <c r="H13" s="149"/>
      <c r="I13" s="149"/>
      <c r="J13" s="149" t="s">
        <v>135</v>
      </c>
      <c r="K13" s="149"/>
      <c r="L13" s="149"/>
      <c r="M13" s="149"/>
      <c r="N13" s="149"/>
      <c r="O13" s="149"/>
      <c r="P13" s="149"/>
      <c r="Q13" s="149"/>
      <c r="R13" s="149"/>
      <c r="S13" s="149"/>
      <c r="T13" s="149"/>
      <c r="U13" s="149"/>
      <c r="V13" s="149"/>
      <c r="W13" s="149"/>
      <c r="X13" s="149"/>
      <c r="Y13" s="149"/>
      <c r="Z13" s="149"/>
      <c r="AA13" s="149"/>
      <c r="AB13" s="149"/>
      <c r="AC13" s="149"/>
      <c r="AD13" s="149"/>
      <c r="AE13" s="149"/>
      <c r="AF13" s="149"/>
      <c r="AG13" s="149"/>
      <c r="AH13" s="149"/>
      <c r="AI13" s="149"/>
      <c r="AJ13" s="149"/>
      <c r="AK13" s="149"/>
      <c r="AL13" s="149"/>
      <c r="AM13" s="149"/>
      <c r="AN13" s="149"/>
      <c r="AO13" s="149"/>
      <c r="AP13" s="149"/>
      <c r="AR13" s="149"/>
      <c r="AS13" s="149"/>
      <c r="AT13" s="149"/>
      <c r="AU13" s="149"/>
      <c r="AV13" s="149"/>
      <c r="AW13" s="149"/>
      <c r="AX13" s="149"/>
      <c r="AY13" s="149"/>
      <c r="AZ13" s="149"/>
      <c r="BA13" s="149"/>
      <c r="BB13" s="149"/>
      <c r="BC13" s="149"/>
      <c r="BD13" s="149"/>
      <c r="BE13" s="149"/>
      <c r="BF13" s="149"/>
      <c r="BG13" s="149"/>
      <c r="BH13" s="149"/>
      <c r="BI13" s="149"/>
      <c r="BJ13" s="149"/>
      <c r="BK13" s="149"/>
      <c r="BL13" s="149" t="s">
        <v>88</v>
      </c>
      <c r="BM13" s="149"/>
      <c r="BN13" s="149"/>
      <c r="BO13" s="149"/>
      <c r="BP13" s="149"/>
      <c r="BQ13" s="149"/>
      <c r="BR13" s="149"/>
    </row>
    <row r="14" ht="32" customHeight="1" spans="1:70">
      <c r="A14" s="189">
        <v>12</v>
      </c>
      <c r="B14" s="207" t="s">
        <v>136</v>
      </c>
      <c r="C14" s="207" t="s">
        <v>78</v>
      </c>
      <c r="D14" s="207" t="s">
        <v>137</v>
      </c>
      <c r="E14" s="207"/>
      <c r="F14" s="207" t="s">
        <v>80</v>
      </c>
      <c r="G14" s="207" t="s">
        <v>81</v>
      </c>
      <c r="H14" s="207"/>
      <c r="I14" s="207"/>
      <c r="J14" s="207" t="s">
        <v>138</v>
      </c>
      <c r="K14" s="207"/>
      <c r="L14" s="207"/>
      <c r="M14" s="207" t="s">
        <v>139</v>
      </c>
      <c r="N14" s="207"/>
      <c r="O14" s="207"/>
      <c r="P14" s="207"/>
      <c r="Q14" s="207" t="s">
        <v>140</v>
      </c>
      <c r="R14" s="207"/>
      <c r="S14" s="207"/>
      <c r="T14" s="207"/>
      <c r="U14" s="207"/>
      <c r="V14" s="207"/>
      <c r="W14" s="207"/>
      <c r="X14" s="207"/>
      <c r="Y14" s="207"/>
      <c r="Z14" s="207"/>
      <c r="AA14" s="207"/>
      <c r="AB14" s="207"/>
      <c r="AC14" s="207"/>
      <c r="AD14" s="207"/>
      <c r="AE14" s="207"/>
      <c r="AF14" s="207"/>
      <c r="AG14" s="207"/>
      <c r="AH14" s="207"/>
      <c r="AI14" s="207"/>
      <c r="AJ14" s="207"/>
      <c r="AK14" s="207"/>
      <c r="AL14" s="207"/>
      <c r="AM14" s="207"/>
      <c r="AN14" s="207"/>
      <c r="AO14" s="207"/>
      <c r="AP14" s="207"/>
      <c r="AR14" s="207"/>
      <c r="AS14" s="207"/>
      <c r="AT14" s="207"/>
      <c r="AU14" s="207"/>
      <c r="AV14" s="207"/>
      <c r="AW14" s="207"/>
      <c r="AX14" s="207"/>
      <c r="AY14" s="207"/>
      <c r="AZ14" s="207"/>
      <c r="BA14" s="207"/>
      <c r="BB14" s="207"/>
      <c r="BC14" s="207"/>
      <c r="BD14" s="207"/>
      <c r="BE14" s="207"/>
      <c r="BF14" s="207"/>
      <c r="BG14" s="207"/>
      <c r="BH14" s="207"/>
      <c r="BI14" s="207"/>
      <c r="BJ14" s="207"/>
      <c r="BK14" s="207"/>
      <c r="BL14" s="207" t="s">
        <v>88</v>
      </c>
      <c r="BM14" s="207"/>
      <c r="BN14" s="207"/>
      <c r="BO14" s="207"/>
      <c r="BP14" s="207"/>
      <c r="BQ14" s="207"/>
      <c r="BR14" s="207"/>
    </row>
    <row r="15" ht="32" customHeight="1" spans="1:70">
      <c r="A15" s="189">
        <v>13</v>
      </c>
      <c r="B15" s="207" t="s">
        <v>141</v>
      </c>
      <c r="C15" s="207" t="s">
        <v>78</v>
      </c>
      <c r="D15" s="207" t="s">
        <v>142</v>
      </c>
      <c r="E15" s="207"/>
      <c r="F15" s="207" t="s">
        <v>80</v>
      </c>
      <c r="G15" s="207" t="s">
        <v>81</v>
      </c>
      <c r="H15" s="207"/>
      <c r="I15" s="207" t="s">
        <v>143</v>
      </c>
      <c r="J15" s="207" t="s">
        <v>144</v>
      </c>
      <c r="K15" s="207">
        <v>18930875591</v>
      </c>
      <c r="L15" s="207"/>
      <c r="M15" s="207" t="s">
        <v>145</v>
      </c>
      <c r="N15" s="207"/>
      <c r="O15" s="207"/>
      <c r="P15" s="207"/>
      <c r="Q15" s="207" t="s">
        <v>127</v>
      </c>
      <c r="R15" s="207" t="s">
        <v>146</v>
      </c>
      <c r="S15" s="207"/>
      <c r="T15" s="207"/>
      <c r="U15" s="207"/>
      <c r="V15" s="207"/>
      <c r="W15" s="207"/>
      <c r="X15" s="207"/>
      <c r="Y15" s="286" t="s">
        <v>84</v>
      </c>
      <c r="Z15" s="207" t="s">
        <v>85</v>
      </c>
      <c r="AA15" s="207"/>
      <c r="AB15" s="207" t="s">
        <v>128</v>
      </c>
      <c r="AC15" s="207" t="s">
        <v>96</v>
      </c>
      <c r="AD15" s="209">
        <v>1000</v>
      </c>
      <c r="AE15" s="207" t="s">
        <v>85</v>
      </c>
      <c r="AF15" s="207" t="s">
        <v>147</v>
      </c>
      <c r="AG15" s="211">
        <v>0.5</v>
      </c>
      <c r="AH15" s="207"/>
      <c r="AI15" s="207"/>
      <c r="AJ15" s="211"/>
      <c r="AK15" s="207"/>
      <c r="AL15" s="207"/>
      <c r="AM15" s="207"/>
      <c r="AN15" s="207"/>
      <c r="AO15" s="207"/>
      <c r="AP15" s="207"/>
      <c r="AR15" s="207"/>
      <c r="AS15" s="207"/>
      <c r="AT15" s="207"/>
      <c r="AU15" s="207"/>
      <c r="AV15" s="207"/>
      <c r="AW15" s="207"/>
      <c r="AX15" s="207"/>
      <c r="AY15" s="207"/>
      <c r="AZ15" s="207"/>
      <c r="BA15" s="207"/>
      <c r="BB15" s="207"/>
      <c r="BC15" s="207"/>
      <c r="BD15" s="207"/>
      <c r="BE15" s="207"/>
      <c r="BF15" s="207"/>
      <c r="BG15" s="207"/>
      <c r="BH15" s="207"/>
      <c r="BI15" s="207"/>
      <c r="BJ15" s="207"/>
      <c r="BK15" s="207"/>
      <c r="BL15" s="207" t="s">
        <v>88</v>
      </c>
      <c r="BM15" s="207"/>
      <c r="BN15" s="207"/>
      <c r="BO15" s="207"/>
      <c r="BP15" s="207"/>
      <c r="BQ15" s="207"/>
      <c r="BR15" s="207"/>
    </row>
    <row r="16" ht="32" customHeight="1" spans="1:70">
      <c r="A16" s="204">
        <v>14</v>
      </c>
      <c r="B16" s="205" t="s">
        <v>148</v>
      </c>
      <c r="C16" s="205" t="s">
        <v>78</v>
      </c>
      <c r="D16" s="205" t="s">
        <v>149</v>
      </c>
      <c r="E16" s="205"/>
      <c r="F16" s="205" t="s">
        <v>80</v>
      </c>
      <c r="G16" s="205" t="s">
        <v>150</v>
      </c>
      <c r="H16" s="205"/>
      <c r="I16" s="205" t="s">
        <v>143</v>
      </c>
      <c r="J16" s="205" t="s">
        <v>151</v>
      </c>
      <c r="K16" s="205"/>
      <c r="L16" s="205"/>
      <c r="M16" s="205" t="s">
        <v>152</v>
      </c>
      <c r="N16" s="205"/>
      <c r="O16" s="205"/>
      <c r="P16" s="205"/>
      <c r="Q16" s="205"/>
      <c r="R16" s="205" t="s">
        <v>116</v>
      </c>
      <c r="S16" s="205"/>
      <c r="T16" s="205"/>
      <c r="U16" s="205"/>
      <c r="V16" s="205"/>
      <c r="W16" s="205"/>
      <c r="X16" s="205"/>
      <c r="Y16" s="205"/>
      <c r="Z16" s="205"/>
      <c r="AA16" s="205"/>
      <c r="AB16" s="205"/>
      <c r="AC16" s="205"/>
      <c r="AD16" s="205"/>
      <c r="AE16" s="205"/>
      <c r="AF16" s="205"/>
      <c r="AG16" s="205"/>
      <c r="AH16" s="205"/>
      <c r="AI16" s="205"/>
      <c r="AJ16" s="205"/>
      <c r="AK16" s="205"/>
      <c r="AL16" s="205"/>
      <c r="AM16" s="205"/>
      <c r="AN16" s="205"/>
      <c r="AO16" s="205"/>
      <c r="AP16" s="205"/>
      <c r="AR16" s="205"/>
      <c r="AS16" s="205"/>
      <c r="AT16" s="205"/>
      <c r="AU16" s="205"/>
      <c r="AV16" s="205"/>
      <c r="AW16" s="205"/>
      <c r="AX16" s="205"/>
      <c r="AY16" s="205"/>
      <c r="AZ16" s="205"/>
      <c r="BA16" s="205"/>
      <c r="BB16" s="205"/>
      <c r="BC16" s="205"/>
      <c r="BD16" s="205"/>
      <c r="BE16" s="205"/>
      <c r="BF16" s="205"/>
      <c r="BG16" s="205"/>
      <c r="BH16" s="205"/>
      <c r="BI16" s="205"/>
      <c r="BJ16" s="205"/>
      <c r="BK16" s="205"/>
      <c r="BL16" s="205" t="s">
        <v>88</v>
      </c>
      <c r="BM16" s="205"/>
      <c r="BN16" s="205"/>
      <c r="BO16" s="205"/>
      <c r="BP16" s="205" t="s">
        <v>153</v>
      </c>
      <c r="BQ16" s="205"/>
      <c r="BR16" s="205"/>
    </row>
    <row r="17" ht="32" customHeight="1" spans="1:70">
      <c r="A17" s="208">
        <v>15</v>
      </c>
      <c r="B17" s="149" t="s">
        <v>154</v>
      </c>
      <c r="C17" s="149" t="s">
        <v>78</v>
      </c>
      <c r="D17" s="149" t="s">
        <v>155</v>
      </c>
      <c r="E17" s="149"/>
      <c r="F17" s="149" t="s">
        <v>156</v>
      </c>
      <c r="G17" s="149" t="s">
        <v>81</v>
      </c>
      <c r="H17" s="149"/>
      <c r="I17" s="149"/>
      <c r="J17" s="149" t="s">
        <v>157</v>
      </c>
      <c r="K17" s="149"/>
      <c r="L17" s="149"/>
      <c r="M17" s="149"/>
      <c r="N17" s="149"/>
      <c r="O17" s="149"/>
      <c r="P17" s="149"/>
      <c r="Q17" s="149"/>
      <c r="R17" s="149"/>
      <c r="S17" s="149"/>
      <c r="T17" s="149"/>
      <c r="U17" s="149"/>
      <c r="V17" s="149"/>
      <c r="W17" s="149"/>
      <c r="X17" s="149"/>
      <c r="Y17" s="149"/>
      <c r="Z17" s="149"/>
      <c r="AA17" s="149"/>
      <c r="AB17" s="149"/>
      <c r="AC17" s="149"/>
      <c r="AD17" s="149"/>
      <c r="AE17" s="149"/>
      <c r="AF17" s="149"/>
      <c r="AG17" s="149"/>
      <c r="AH17" s="149"/>
      <c r="AI17" s="149"/>
      <c r="AJ17" s="149"/>
      <c r="AK17" s="149"/>
      <c r="AL17" s="149"/>
      <c r="AM17" s="149"/>
      <c r="AN17" s="149"/>
      <c r="AO17" s="149"/>
      <c r="AP17" s="149"/>
      <c r="AR17" s="149"/>
      <c r="AS17" s="149"/>
      <c r="AT17" s="149"/>
      <c r="AU17" s="149"/>
      <c r="AV17" s="149"/>
      <c r="AW17" s="149"/>
      <c r="AX17" s="149"/>
      <c r="AY17" s="149"/>
      <c r="AZ17" s="149"/>
      <c r="BA17" s="149"/>
      <c r="BB17" s="149"/>
      <c r="BC17" s="149"/>
      <c r="BD17" s="149"/>
      <c r="BE17" s="149"/>
      <c r="BF17" s="149"/>
      <c r="BG17" s="149"/>
      <c r="BH17" s="149"/>
      <c r="BI17" s="149"/>
      <c r="BJ17" s="149"/>
      <c r="BK17" s="149"/>
      <c r="BL17" s="149" t="s">
        <v>88</v>
      </c>
      <c r="BM17" s="149"/>
      <c r="BN17" s="149"/>
      <c r="BO17" s="149"/>
      <c r="BP17" s="149"/>
      <c r="BQ17" s="149"/>
      <c r="BR17" s="149"/>
    </row>
    <row r="18" ht="32" customHeight="1" spans="1:70">
      <c r="A18" s="208">
        <v>16</v>
      </c>
      <c r="B18" s="149" t="s">
        <v>158</v>
      </c>
      <c r="C18" s="149" t="s">
        <v>78</v>
      </c>
      <c r="D18" s="149" t="s">
        <v>159</v>
      </c>
      <c r="E18" s="149"/>
      <c r="F18" s="149" t="s">
        <v>124</v>
      </c>
      <c r="G18" s="149"/>
      <c r="H18" s="149"/>
      <c r="I18" s="149"/>
      <c r="J18" s="149" t="s">
        <v>160</v>
      </c>
      <c r="K18" s="149"/>
      <c r="L18" s="149"/>
      <c r="M18" s="149"/>
      <c r="N18" s="149"/>
      <c r="O18" s="149"/>
      <c r="P18" s="149"/>
      <c r="Q18" s="149"/>
      <c r="R18" s="149"/>
      <c r="S18" s="149"/>
      <c r="T18" s="149"/>
      <c r="U18" s="149"/>
      <c r="V18" s="149"/>
      <c r="W18" s="149"/>
      <c r="X18" s="149"/>
      <c r="Y18" s="149"/>
      <c r="Z18" s="149"/>
      <c r="AA18" s="149"/>
      <c r="AB18" s="149"/>
      <c r="AC18" s="149"/>
      <c r="AD18" s="149"/>
      <c r="AE18" s="149"/>
      <c r="AF18" s="149"/>
      <c r="AG18" s="149"/>
      <c r="AH18" s="149"/>
      <c r="AI18" s="149"/>
      <c r="AJ18" s="149"/>
      <c r="AK18" s="149"/>
      <c r="AL18" s="149"/>
      <c r="AM18" s="149"/>
      <c r="AN18" s="149"/>
      <c r="AO18" s="149"/>
      <c r="AP18" s="149"/>
      <c r="AR18" s="149"/>
      <c r="AS18" s="149"/>
      <c r="AT18" s="149"/>
      <c r="AU18" s="149"/>
      <c r="AV18" s="149"/>
      <c r="AW18" s="149"/>
      <c r="AX18" s="149"/>
      <c r="AY18" s="149"/>
      <c r="AZ18" s="149"/>
      <c r="BA18" s="149"/>
      <c r="BB18" s="149"/>
      <c r="BC18" s="149"/>
      <c r="BD18" s="149"/>
      <c r="BE18" s="149"/>
      <c r="BF18" s="149"/>
      <c r="BG18" s="149"/>
      <c r="BH18" s="149"/>
      <c r="BI18" s="149"/>
      <c r="BJ18" s="149"/>
      <c r="BK18" s="149"/>
      <c r="BL18" s="149" t="s">
        <v>88</v>
      </c>
      <c r="BM18" s="149"/>
      <c r="BN18" s="149"/>
      <c r="BO18" s="149"/>
      <c r="BP18" s="149"/>
      <c r="BQ18" s="149"/>
      <c r="BR18" s="149"/>
    </row>
    <row r="19" ht="32" customHeight="1" spans="1:70">
      <c r="A19" s="208">
        <v>17</v>
      </c>
      <c r="B19" s="149" t="s">
        <v>161</v>
      </c>
      <c r="C19" s="149" t="s">
        <v>78</v>
      </c>
      <c r="D19" s="149" t="s">
        <v>162</v>
      </c>
      <c r="E19" s="149"/>
      <c r="F19" s="149" t="s">
        <v>124</v>
      </c>
      <c r="G19" s="149" t="s">
        <v>81</v>
      </c>
      <c r="H19" s="149"/>
      <c r="I19" s="149"/>
      <c r="J19" s="149" t="s">
        <v>163</v>
      </c>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ht="32" customHeight="1" spans="1:70">
      <c r="A20" s="208">
        <v>18</v>
      </c>
      <c r="B20" s="149" t="s">
        <v>164</v>
      </c>
      <c r="C20" s="149" t="s">
        <v>78</v>
      </c>
      <c r="D20" s="149" t="s">
        <v>165</v>
      </c>
      <c r="E20" s="149"/>
      <c r="F20" s="149" t="s">
        <v>124</v>
      </c>
      <c r="G20" s="149" t="s">
        <v>81</v>
      </c>
      <c r="H20" s="149"/>
      <c r="I20" s="149"/>
      <c r="J20" s="149" t="s">
        <v>166</v>
      </c>
      <c r="K20" s="149"/>
      <c r="L20" s="149"/>
      <c r="M20" s="149"/>
      <c r="N20" s="149"/>
      <c r="O20" s="149"/>
      <c r="P20" s="149"/>
      <c r="Q20" s="149"/>
      <c r="R20" s="149"/>
      <c r="S20" s="149"/>
      <c r="T20" s="149"/>
      <c r="U20" s="149"/>
      <c r="V20" s="149"/>
      <c r="W20" s="149"/>
      <c r="X20" s="149"/>
      <c r="Y20" s="149"/>
      <c r="Z20" s="149"/>
      <c r="AA20" s="149"/>
      <c r="AB20" s="149"/>
      <c r="AC20" s="149"/>
      <c r="AD20" s="149"/>
      <c r="AE20" s="149"/>
      <c r="AF20" s="149"/>
      <c r="AG20" s="149"/>
      <c r="AH20" s="149"/>
      <c r="AI20" s="149"/>
      <c r="AJ20" s="149"/>
      <c r="AK20" s="149"/>
      <c r="AL20" s="149"/>
      <c r="AM20" s="149"/>
      <c r="AN20" s="149"/>
      <c r="AO20" s="149"/>
      <c r="AP20" s="149"/>
      <c r="AR20" s="149"/>
      <c r="AS20" s="149"/>
      <c r="AT20" s="149"/>
      <c r="AU20" s="149"/>
      <c r="AV20" s="149"/>
      <c r="AW20" s="149"/>
      <c r="AX20" s="149"/>
      <c r="AY20" s="149"/>
      <c r="AZ20" s="149"/>
      <c r="BA20" s="149"/>
      <c r="BB20" s="149"/>
      <c r="BC20" s="149"/>
      <c r="BD20" s="149"/>
      <c r="BE20" s="149"/>
      <c r="BF20" s="149"/>
      <c r="BG20" s="149"/>
      <c r="BH20" s="149"/>
      <c r="BI20" s="149"/>
      <c r="BJ20" s="149"/>
      <c r="BK20" s="149"/>
      <c r="BL20" s="149"/>
      <c r="BM20" s="149"/>
      <c r="BN20" s="149"/>
      <c r="BO20" s="149"/>
      <c r="BP20" s="149"/>
      <c r="BQ20" s="149"/>
      <c r="BR20" s="149"/>
    </row>
    <row r="21" ht="32" customHeight="1" spans="1:70">
      <c r="A21" s="208">
        <v>19</v>
      </c>
      <c r="B21" s="149" t="s">
        <v>167</v>
      </c>
      <c r="C21" s="149" t="s">
        <v>78</v>
      </c>
      <c r="D21" s="149" t="s">
        <v>168</v>
      </c>
      <c r="E21" s="149"/>
      <c r="F21" s="149" t="s">
        <v>124</v>
      </c>
      <c r="G21" s="149" t="s">
        <v>81</v>
      </c>
      <c r="H21" s="149"/>
      <c r="I21" s="149"/>
      <c r="J21" s="149" t="s">
        <v>169</v>
      </c>
      <c r="K21" s="149"/>
      <c r="L21" s="149"/>
      <c r="M21" s="149"/>
      <c r="N21" s="149"/>
      <c r="O21" s="149"/>
      <c r="P21" s="149"/>
      <c r="Q21" s="149"/>
      <c r="R21" s="149"/>
      <c r="S21" s="149"/>
      <c r="T21" s="149"/>
      <c r="U21" s="149"/>
      <c r="V21" s="149"/>
      <c r="W21" s="149"/>
      <c r="X21" s="149"/>
      <c r="Y21" s="149"/>
      <c r="Z21" s="149"/>
      <c r="AA21" s="149"/>
      <c r="AB21" s="149"/>
      <c r="AC21" s="149"/>
      <c r="AD21" s="149"/>
      <c r="AE21" s="149"/>
      <c r="AF21" s="149"/>
      <c r="AG21" s="149"/>
      <c r="AH21" s="149"/>
      <c r="AI21" s="149"/>
      <c r="AJ21" s="149"/>
      <c r="AK21" s="149"/>
      <c r="AL21" s="149"/>
      <c r="AM21" s="149"/>
      <c r="AN21" s="149"/>
      <c r="AO21" s="149"/>
      <c r="AP21" s="149"/>
      <c r="AR21" s="149"/>
      <c r="AS21" s="149"/>
      <c r="AT21" s="149"/>
      <c r="AU21" s="149"/>
      <c r="AV21" s="149"/>
      <c r="AW21" s="149"/>
      <c r="AX21" s="149"/>
      <c r="AY21" s="149"/>
      <c r="AZ21" s="149"/>
      <c r="BA21" s="149"/>
      <c r="BB21" s="149"/>
      <c r="BC21" s="149"/>
      <c r="BD21" s="149"/>
      <c r="BE21" s="149"/>
      <c r="BF21" s="149"/>
      <c r="BG21" s="149"/>
      <c r="BH21" s="149"/>
      <c r="BI21" s="149"/>
      <c r="BJ21" s="149"/>
      <c r="BK21" s="149"/>
      <c r="BL21" s="149"/>
      <c r="BM21" s="149"/>
      <c r="BN21" s="149"/>
      <c r="BO21" s="149"/>
      <c r="BP21" s="149"/>
      <c r="BQ21" s="149"/>
      <c r="BR21" s="149"/>
    </row>
    <row r="22" ht="32" customHeight="1" spans="1:70">
      <c r="A22" s="208">
        <v>20</v>
      </c>
      <c r="B22" s="149" t="s">
        <v>170</v>
      </c>
      <c r="C22" s="149" t="s">
        <v>78</v>
      </c>
      <c r="D22" s="149" t="s">
        <v>171</v>
      </c>
      <c r="E22" s="149"/>
      <c r="F22" s="149"/>
      <c r="G22" s="149"/>
      <c r="H22" s="149"/>
      <c r="I22" s="149"/>
      <c r="J22" s="149"/>
      <c r="K22" s="149"/>
      <c r="L22" s="149"/>
      <c r="M22" s="149"/>
      <c r="N22" s="149"/>
      <c r="O22" s="149"/>
      <c r="P22" s="149"/>
      <c r="Q22" s="149"/>
      <c r="R22" s="149"/>
      <c r="S22" s="149" t="s">
        <v>172</v>
      </c>
      <c r="T22" s="149"/>
      <c r="U22" s="149"/>
      <c r="V22" s="149"/>
      <c r="W22" s="149"/>
      <c r="X22" s="149"/>
      <c r="Y22" s="149"/>
      <c r="Z22" s="149"/>
      <c r="AA22" s="149"/>
      <c r="AB22" s="149"/>
      <c r="AC22" s="149"/>
      <c r="AD22" s="149"/>
      <c r="AE22" s="149"/>
      <c r="AF22" s="149"/>
      <c r="AG22" s="149"/>
      <c r="AH22" s="149"/>
      <c r="AI22" s="149"/>
      <c r="AJ22" s="149"/>
      <c r="AK22" s="149"/>
      <c r="AL22" s="149"/>
      <c r="AM22" s="149"/>
      <c r="AN22" s="149"/>
      <c r="AO22" s="149"/>
      <c r="AP22" s="149"/>
      <c r="AR22" s="149"/>
      <c r="AS22" s="149"/>
      <c r="AT22" s="149"/>
      <c r="AU22" s="149"/>
      <c r="AV22" s="149"/>
      <c r="AW22" s="149"/>
      <c r="AX22" s="149"/>
      <c r="AY22" s="149"/>
      <c r="AZ22" s="149"/>
      <c r="BA22" s="149"/>
      <c r="BB22" s="149"/>
      <c r="BC22" s="149"/>
      <c r="BD22" s="149"/>
      <c r="BE22" s="149"/>
      <c r="BF22" s="149"/>
      <c r="BG22" s="149"/>
      <c r="BH22" s="149"/>
      <c r="BI22" s="149"/>
      <c r="BJ22" s="149"/>
      <c r="BK22" s="149"/>
      <c r="BL22" s="149"/>
      <c r="BM22" s="149"/>
      <c r="BN22" s="149"/>
      <c r="BO22" s="149"/>
      <c r="BP22" s="149"/>
      <c r="BQ22" s="149"/>
      <c r="BR22" s="149"/>
    </row>
    <row r="23" ht="32" customHeight="1" spans="1:70">
      <c r="A23" s="208">
        <v>21</v>
      </c>
      <c r="B23" s="149" t="s">
        <v>173</v>
      </c>
      <c r="C23" s="149" t="s">
        <v>78</v>
      </c>
      <c r="D23" s="149" t="s">
        <v>174</v>
      </c>
      <c r="E23" s="212" t="s">
        <v>175</v>
      </c>
      <c r="F23" s="149" t="s">
        <v>80</v>
      </c>
      <c r="G23" s="149" t="s">
        <v>81</v>
      </c>
      <c r="H23" s="149"/>
      <c r="I23" s="149">
        <v>18000</v>
      </c>
      <c r="J23" s="149"/>
      <c r="K23" s="149"/>
      <c r="L23" s="149"/>
      <c r="M23" s="149"/>
      <c r="N23" s="149"/>
      <c r="O23" s="149"/>
      <c r="P23" s="149"/>
      <c r="R23" s="149" t="s">
        <v>146</v>
      </c>
      <c r="S23" s="149" t="s">
        <v>176</v>
      </c>
      <c r="T23" s="149"/>
      <c r="U23" s="149"/>
      <c r="V23" s="149"/>
      <c r="W23" s="149"/>
      <c r="X23" s="149"/>
      <c r="Y23" s="149"/>
      <c r="Z23" s="149"/>
      <c r="AA23" s="149"/>
      <c r="AB23" s="149"/>
      <c r="AC23" s="149"/>
      <c r="AD23" s="149"/>
      <c r="AE23" s="149"/>
      <c r="AF23" s="149"/>
      <c r="AG23" s="149"/>
      <c r="AH23" s="149"/>
      <c r="AI23" s="149"/>
      <c r="AJ23" s="149"/>
      <c r="AK23" s="149"/>
      <c r="AL23" s="149"/>
      <c r="AM23" s="149"/>
      <c r="AN23" s="149"/>
      <c r="AO23" s="149"/>
      <c r="AP23" s="149"/>
      <c r="AR23" s="149"/>
      <c r="AS23" s="149"/>
      <c r="AT23" s="149"/>
      <c r="AU23" s="149"/>
      <c r="AV23" s="149"/>
      <c r="AW23" s="149"/>
      <c r="AX23" s="149"/>
      <c r="AY23" s="149"/>
      <c r="AZ23" s="149"/>
      <c r="BA23" s="149"/>
      <c r="BB23" s="149"/>
      <c r="BC23" s="149"/>
      <c r="BD23" s="149"/>
      <c r="BE23" s="149"/>
      <c r="BF23" s="149"/>
      <c r="BG23" s="149"/>
      <c r="BH23" s="149"/>
      <c r="BI23" s="149"/>
      <c r="BJ23" s="149"/>
      <c r="BK23" s="149"/>
      <c r="BL23" s="149"/>
      <c r="BM23" s="149"/>
      <c r="BN23" s="149"/>
      <c r="BO23" s="149"/>
      <c r="BP23" s="149"/>
      <c r="BQ23" s="149"/>
      <c r="BR23" s="149"/>
    </row>
    <row r="24" ht="32" customHeight="1" spans="1:70">
      <c r="A24" s="189">
        <v>22</v>
      </c>
      <c r="B24" s="207" t="s">
        <v>177</v>
      </c>
      <c r="C24" s="207" t="s">
        <v>78</v>
      </c>
      <c r="D24" s="207" t="s">
        <v>178</v>
      </c>
      <c r="E24" s="209" t="s">
        <v>179</v>
      </c>
      <c r="F24" s="207" t="s">
        <v>80</v>
      </c>
      <c r="G24" s="207" t="s">
        <v>81</v>
      </c>
      <c r="H24" s="207"/>
      <c r="I24" s="207">
        <v>4000</v>
      </c>
      <c r="J24" s="207"/>
      <c r="K24" s="207"/>
      <c r="L24" s="207"/>
      <c r="M24" s="207"/>
      <c r="N24" s="207"/>
      <c r="O24" s="207"/>
      <c r="P24" s="207"/>
      <c r="Q24" s="207" t="s">
        <v>180</v>
      </c>
      <c r="R24" s="207" t="s">
        <v>146</v>
      </c>
      <c r="S24" s="207" t="s">
        <v>181</v>
      </c>
      <c r="T24" s="207"/>
      <c r="U24" s="207"/>
      <c r="V24" s="207"/>
      <c r="W24" s="207"/>
      <c r="X24" s="207"/>
      <c r="Y24" s="207"/>
      <c r="Z24" s="207"/>
      <c r="AA24" s="207"/>
      <c r="AB24" s="207"/>
      <c r="AC24" s="207"/>
      <c r="AD24" s="207"/>
      <c r="AE24" s="207"/>
      <c r="AF24" s="207"/>
      <c r="AG24" s="207"/>
      <c r="AH24" s="207"/>
      <c r="AI24" s="207"/>
      <c r="AJ24" s="207"/>
      <c r="AK24" s="207"/>
      <c r="AL24" s="207"/>
      <c r="AM24" s="207"/>
      <c r="AN24" s="207"/>
      <c r="AO24" s="207"/>
      <c r="AP24" s="207"/>
      <c r="AR24" s="207"/>
      <c r="AS24" s="207"/>
      <c r="AT24" s="207"/>
      <c r="AU24" s="207"/>
      <c r="AV24" s="207"/>
      <c r="AW24" s="207"/>
      <c r="AX24" s="207"/>
      <c r="AY24" s="207"/>
      <c r="AZ24" s="207"/>
      <c r="BA24" s="207"/>
      <c r="BB24" s="207"/>
      <c r="BC24" s="207"/>
      <c r="BD24" s="207"/>
      <c r="BE24" s="207"/>
      <c r="BF24" s="207"/>
      <c r="BG24" s="207"/>
      <c r="BH24" s="207"/>
      <c r="BI24" s="207"/>
      <c r="BJ24" s="207"/>
      <c r="BK24" s="207"/>
      <c r="BL24" s="207"/>
      <c r="BM24" s="207"/>
      <c r="BN24" s="207"/>
      <c r="BO24" s="207"/>
      <c r="BP24" s="207"/>
      <c r="BQ24" s="207"/>
      <c r="BR24" s="207"/>
    </row>
    <row r="25" ht="32" customHeight="1" spans="1:70">
      <c r="A25" s="189">
        <v>23</v>
      </c>
      <c r="B25" s="207" t="s">
        <v>182</v>
      </c>
      <c r="C25" s="207" t="s">
        <v>78</v>
      </c>
      <c r="D25" s="207" t="s">
        <v>183</v>
      </c>
      <c r="E25" s="209" t="s">
        <v>184</v>
      </c>
      <c r="F25" s="207" t="s">
        <v>80</v>
      </c>
      <c r="G25" s="207" t="s">
        <v>81</v>
      </c>
      <c r="H25" s="207"/>
      <c r="I25" s="207">
        <v>200</v>
      </c>
      <c r="J25" s="207"/>
      <c r="K25" s="207"/>
      <c r="L25" s="207"/>
      <c r="M25" s="207"/>
      <c r="N25" s="207"/>
      <c r="O25" s="207"/>
      <c r="P25" s="207"/>
      <c r="Q25" s="207" t="s">
        <v>185</v>
      </c>
      <c r="R25" s="207"/>
      <c r="S25" s="207" t="s">
        <v>181</v>
      </c>
      <c r="T25" s="207"/>
      <c r="U25" s="207"/>
      <c r="V25" s="207"/>
      <c r="W25" s="207"/>
      <c r="X25" s="207"/>
      <c r="Y25" s="207"/>
      <c r="Z25" s="207"/>
      <c r="AA25" s="207"/>
      <c r="AB25" s="207"/>
      <c r="AC25" s="207"/>
      <c r="AD25" s="207"/>
      <c r="AE25" s="207"/>
      <c r="AF25" s="207"/>
      <c r="AG25" s="207"/>
      <c r="AH25" s="207"/>
      <c r="AI25" s="207"/>
      <c r="AJ25" s="207"/>
      <c r="AK25" s="207"/>
      <c r="AL25" s="207"/>
      <c r="AM25" s="207"/>
      <c r="AN25" s="207"/>
      <c r="AO25" s="207"/>
      <c r="AP25" s="207"/>
      <c r="AR25" s="207"/>
      <c r="AS25" s="207"/>
      <c r="AT25" s="207"/>
      <c r="AU25" s="207"/>
      <c r="AV25" s="207"/>
      <c r="AW25" s="207"/>
      <c r="AX25" s="207"/>
      <c r="AY25" s="207"/>
      <c r="AZ25" s="207"/>
      <c r="BA25" s="207"/>
      <c r="BB25" s="207"/>
      <c r="BC25" s="207"/>
      <c r="BD25" s="207"/>
      <c r="BE25" s="207"/>
      <c r="BF25" s="207"/>
      <c r="BG25" s="207"/>
      <c r="BH25" s="207"/>
      <c r="BI25" s="207"/>
      <c r="BJ25" s="207"/>
      <c r="BK25" s="207"/>
      <c r="BL25" s="207"/>
      <c r="BM25" s="207"/>
      <c r="BN25" s="207"/>
      <c r="BO25" s="207"/>
      <c r="BP25" s="207"/>
      <c r="BQ25" s="207"/>
      <c r="BR25" s="207"/>
    </row>
    <row r="26" ht="32" customHeight="1" spans="1:70">
      <c r="A26" s="189">
        <v>24</v>
      </c>
      <c r="B26" s="207" t="s">
        <v>186</v>
      </c>
      <c r="C26" s="207" t="s">
        <v>78</v>
      </c>
      <c r="D26" s="207" t="s">
        <v>187</v>
      </c>
      <c r="E26" s="209" t="s">
        <v>175</v>
      </c>
      <c r="F26" s="207" t="s">
        <v>80</v>
      </c>
      <c r="G26" s="207" t="s">
        <v>81</v>
      </c>
      <c r="H26" s="207"/>
      <c r="I26" s="207">
        <v>1000</v>
      </c>
      <c r="J26" s="207"/>
      <c r="K26" s="207"/>
      <c r="L26" s="207"/>
      <c r="M26" s="207"/>
      <c r="N26" s="207"/>
      <c r="O26" s="207"/>
      <c r="P26" s="207"/>
      <c r="Q26" s="207" t="s">
        <v>95</v>
      </c>
      <c r="R26" s="207" t="s">
        <v>188</v>
      </c>
      <c r="S26" s="207" t="s">
        <v>189</v>
      </c>
      <c r="T26" s="207"/>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R26" s="207"/>
      <c r="AS26" s="207"/>
      <c r="AT26" s="207"/>
      <c r="AU26" s="207"/>
      <c r="AV26" s="207"/>
      <c r="AW26" s="207"/>
      <c r="AX26" s="207"/>
      <c r="AY26" s="207"/>
      <c r="AZ26" s="207"/>
      <c r="BA26" s="207"/>
      <c r="BB26" s="207"/>
      <c r="BC26" s="207"/>
      <c r="BD26" s="207"/>
      <c r="BE26" s="207"/>
      <c r="BF26" s="207"/>
      <c r="BG26" s="207"/>
      <c r="BH26" s="207"/>
      <c r="BI26" s="207"/>
      <c r="BJ26" s="207"/>
      <c r="BK26" s="207"/>
      <c r="BL26" s="207"/>
      <c r="BM26" s="207"/>
      <c r="BN26" s="207"/>
      <c r="BO26" s="207"/>
      <c r="BP26" s="207"/>
      <c r="BQ26" s="207"/>
      <c r="BR26" s="207"/>
    </row>
    <row r="27" ht="32" customHeight="1" spans="1:70">
      <c r="A27" s="189">
        <v>25</v>
      </c>
      <c r="B27" s="207" t="s">
        <v>190</v>
      </c>
      <c r="C27" s="207" t="s">
        <v>78</v>
      </c>
      <c r="D27" s="207" t="s">
        <v>191</v>
      </c>
      <c r="E27" s="209" t="s">
        <v>192</v>
      </c>
      <c r="F27" s="207" t="s">
        <v>80</v>
      </c>
      <c r="G27" s="207" t="s">
        <v>81</v>
      </c>
      <c r="H27" s="207"/>
      <c r="I27" s="207">
        <v>300</v>
      </c>
      <c r="J27" s="207"/>
      <c r="K27" s="207"/>
      <c r="L27" s="207"/>
      <c r="M27" s="207"/>
      <c r="N27" s="207"/>
      <c r="O27" s="207"/>
      <c r="P27" s="207"/>
      <c r="Q27" s="207" t="s">
        <v>193</v>
      </c>
      <c r="R27" s="207" t="s">
        <v>194</v>
      </c>
      <c r="S27" s="207" t="s">
        <v>195</v>
      </c>
      <c r="T27" s="207"/>
      <c r="U27" s="207"/>
      <c r="V27" s="207"/>
      <c r="W27" s="207"/>
      <c r="X27" s="207"/>
      <c r="Y27" s="207"/>
      <c r="Z27" s="207"/>
      <c r="AA27" s="207"/>
      <c r="AB27" s="207"/>
      <c r="AC27" s="207"/>
      <c r="AD27" s="207"/>
      <c r="AE27" s="207"/>
      <c r="AF27" s="207"/>
      <c r="AG27" s="207"/>
      <c r="AH27" s="207"/>
      <c r="AI27" s="207"/>
      <c r="AJ27" s="207"/>
      <c r="AK27" s="207"/>
      <c r="AL27" s="207"/>
      <c r="AM27" s="207"/>
      <c r="AN27" s="207"/>
      <c r="AO27" s="207"/>
      <c r="AP27" s="207"/>
      <c r="AR27" s="207"/>
      <c r="AS27" s="207"/>
      <c r="AT27" s="207"/>
      <c r="AU27" s="207"/>
      <c r="AV27" s="207"/>
      <c r="AW27" s="207"/>
      <c r="AX27" s="207"/>
      <c r="AY27" s="207"/>
      <c r="AZ27" s="207"/>
      <c r="BA27" s="207"/>
      <c r="BB27" s="207"/>
      <c r="BC27" s="207"/>
      <c r="BD27" s="207"/>
      <c r="BE27" s="207"/>
      <c r="BF27" s="207"/>
      <c r="BG27" s="207"/>
      <c r="BH27" s="207"/>
      <c r="BI27" s="207"/>
      <c r="BJ27" s="207"/>
      <c r="BK27" s="207"/>
      <c r="BL27" s="207"/>
      <c r="BM27" s="207"/>
      <c r="BN27" s="207"/>
      <c r="BO27" s="207"/>
      <c r="BP27" s="207"/>
      <c r="BQ27" s="207"/>
      <c r="BR27" s="207"/>
    </row>
    <row r="28" ht="32" customHeight="1" spans="1:70">
      <c r="A28" s="204">
        <v>26</v>
      </c>
      <c r="B28" s="205" t="s">
        <v>196</v>
      </c>
      <c r="C28" s="205" t="s">
        <v>78</v>
      </c>
      <c r="D28" s="205" t="s">
        <v>197</v>
      </c>
      <c r="E28" s="210" t="s">
        <v>198</v>
      </c>
      <c r="F28" s="205" t="s">
        <v>80</v>
      </c>
      <c r="G28" s="205" t="s">
        <v>81</v>
      </c>
      <c r="H28" s="205"/>
      <c r="I28" s="205">
        <v>200</v>
      </c>
      <c r="J28" s="205"/>
      <c r="K28" s="205"/>
      <c r="L28" s="205"/>
      <c r="M28" s="205"/>
      <c r="N28" s="205"/>
      <c r="O28" s="205"/>
      <c r="P28" s="205"/>
      <c r="Q28" s="205"/>
      <c r="R28" s="205"/>
      <c r="S28" s="205" t="s">
        <v>199</v>
      </c>
      <c r="T28" s="205"/>
      <c r="U28" s="205"/>
      <c r="V28" s="205"/>
      <c r="W28" s="205"/>
      <c r="X28" s="205"/>
      <c r="Y28" s="205"/>
      <c r="Z28" s="205"/>
      <c r="AA28" s="205"/>
      <c r="AB28" s="205"/>
      <c r="AC28" s="205"/>
      <c r="AD28" s="205"/>
      <c r="AE28" s="205"/>
      <c r="AF28" s="205"/>
      <c r="AG28" s="205"/>
      <c r="AH28" s="205"/>
      <c r="AI28" s="205"/>
      <c r="AJ28" s="205"/>
      <c r="AK28" s="205"/>
      <c r="AL28" s="205"/>
      <c r="AM28" s="205"/>
      <c r="AN28" s="205"/>
      <c r="AO28" s="205"/>
      <c r="AP28" s="205"/>
      <c r="AR28" s="205"/>
      <c r="AS28" s="205"/>
      <c r="AT28" s="205"/>
      <c r="AU28" s="205"/>
      <c r="AV28" s="205"/>
      <c r="AW28" s="205"/>
      <c r="AX28" s="205"/>
      <c r="AY28" s="205"/>
      <c r="AZ28" s="205"/>
      <c r="BA28" s="205"/>
      <c r="BB28" s="205"/>
      <c r="BC28" s="205"/>
      <c r="BD28" s="205"/>
      <c r="BE28" s="205"/>
      <c r="BF28" s="205"/>
      <c r="BG28" s="205"/>
      <c r="BH28" s="205"/>
      <c r="BI28" s="205"/>
      <c r="BJ28" s="205"/>
      <c r="BK28" s="205"/>
      <c r="BL28" s="205"/>
      <c r="BM28" s="205"/>
      <c r="BN28" s="205"/>
      <c r="BO28" s="205"/>
      <c r="BP28" s="205"/>
      <c r="BQ28" s="205"/>
      <c r="BR28" s="205"/>
    </row>
    <row r="29" ht="32" customHeight="1" spans="1:70">
      <c r="A29" s="189">
        <v>27</v>
      </c>
      <c r="B29" s="207" t="s">
        <v>103</v>
      </c>
      <c r="C29" s="207" t="s">
        <v>78</v>
      </c>
      <c r="D29" s="207" t="s">
        <v>200</v>
      </c>
      <c r="E29" s="209" t="s">
        <v>198</v>
      </c>
      <c r="F29" s="207" t="s">
        <v>80</v>
      </c>
      <c r="G29" s="207" t="s">
        <v>81</v>
      </c>
      <c r="H29" s="207"/>
      <c r="I29" s="207">
        <v>80</v>
      </c>
      <c r="J29" s="207"/>
      <c r="K29" s="207"/>
      <c r="L29" s="207"/>
      <c r="M29" s="207"/>
      <c r="N29" s="207"/>
      <c r="O29" s="207"/>
      <c r="P29" s="207"/>
      <c r="Q29" s="207" t="s">
        <v>201</v>
      </c>
      <c r="R29" s="207"/>
      <c r="S29" s="207" t="s">
        <v>202</v>
      </c>
      <c r="T29" s="207"/>
      <c r="U29" s="207"/>
      <c r="V29" s="207"/>
      <c r="W29" s="207"/>
      <c r="X29" s="207"/>
      <c r="Y29" s="207"/>
      <c r="Z29" s="207"/>
      <c r="AA29" s="207"/>
      <c r="AB29" s="207"/>
      <c r="AC29" s="207"/>
      <c r="AD29" s="207"/>
      <c r="AE29" s="207"/>
      <c r="AF29" s="207"/>
      <c r="AG29" s="207"/>
      <c r="AH29" s="207"/>
      <c r="AI29" s="207"/>
      <c r="AJ29" s="207"/>
      <c r="AK29" s="207"/>
      <c r="AL29" s="207"/>
      <c r="AM29" s="207"/>
      <c r="AN29" s="207"/>
      <c r="AO29" s="207"/>
      <c r="AP29" s="207"/>
      <c r="AR29" s="207"/>
      <c r="AS29" s="207"/>
      <c r="AT29" s="207"/>
      <c r="AU29" s="207"/>
      <c r="AV29" s="207"/>
      <c r="AW29" s="207"/>
      <c r="AX29" s="207"/>
      <c r="AY29" s="207"/>
      <c r="AZ29" s="207"/>
      <c r="BA29" s="207"/>
      <c r="BB29" s="207"/>
      <c r="BC29" s="207"/>
      <c r="BD29" s="207"/>
      <c r="BE29" s="207"/>
      <c r="BF29" s="207"/>
      <c r="BG29" s="207"/>
      <c r="BH29" s="207"/>
      <c r="BI29" s="207"/>
      <c r="BJ29" s="207"/>
      <c r="BK29" s="207"/>
      <c r="BL29" s="207"/>
      <c r="BM29" s="207"/>
      <c r="BN29" s="207"/>
      <c r="BO29" s="207"/>
      <c r="BP29" s="207"/>
      <c r="BQ29" s="207"/>
      <c r="BR29" s="207"/>
    </row>
    <row r="30" ht="32" customHeight="1" spans="1:70">
      <c r="A30" s="189">
        <v>28</v>
      </c>
      <c r="B30" s="207" t="s">
        <v>203</v>
      </c>
      <c r="C30" s="207" t="s">
        <v>78</v>
      </c>
      <c r="D30" s="207" t="s">
        <v>204</v>
      </c>
      <c r="E30" s="209" t="s">
        <v>205</v>
      </c>
      <c r="F30" s="207" t="s">
        <v>80</v>
      </c>
      <c r="G30" s="207" t="s">
        <v>81</v>
      </c>
      <c r="H30" s="207"/>
      <c r="I30" s="207">
        <v>50</v>
      </c>
      <c r="J30" s="207"/>
      <c r="K30" s="207"/>
      <c r="L30" s="207"/>
      <c r="M30" s="207"/>
      <c r="N30" s="207"/>
      <c r="O30" s="207"/>
      <c r="P30" s="207"/>
      <c r="Q30" s="207" t="s">
        <v>206</v>
      </c>
      <c r="R30" s="207"/>
      <c r="S30" s="207" t="s">
        <v>207</v>
      </c>
      <c r="T30" s="207"/>
      <c r="U30" s="207"/>
      <c r="V30" s="207"/>
      <c r="W30" s="207"/>
      <c r="X30" s="207"/>
      <c r="Y30" s="207"/>
      <c r="Z30" s="207"/>
      <c r="AA30" s="207"/>
      <c r="AB30" s="207"/>
      <c r="AC30" s="207"/>
      <c r="AD30" s="207"/>
      <c r="AE30" s="207"/>
      <c r="AF30" s="207"/>
      <c r="AG30" s="207"/>
      <c r="AH30" s="207"/>
      <c r="AI30" s="207"/>
      <c r="AJ30" s="207"/>
      <c r="AK30" s="207"/>
      <c r="AL30" s="207"/>
      <c r="AM30" s="207"/>
      <c r="AN30" s="207"/>
      <c r="AO30" s="207"/>
      <c r="AP30" s="207"/>
      <c r="AR30" s="207"/>
      <c r="AS30" s="207"/>
      <c r="AT30" s="207"/>
      <c r="AU30" s="207"/>
      <c r="AV30" s="207"/>
      <c r="AW30" s="207"/>
      <c r="AX30" s="207"/>
      <c r="AY30" s="207"/>
      <c r="AZ30" s="207"/>
      <c r="BA30" s="207"/>
      <c r="BB30" s="207"/>
      <c r="BC30" s="207"/>
      <c r="BD30" s="207"/>
      <c r="BE30" s="207"/>
      <c r="BF30" s="207"/>
      <c r="BG30" s="207"/>
      <c r="BH30" s="207"/>
      <c r="BI30" s="207"/>
      <c r="BJ30" s="207"/>
      <c r="BK30" s="207"/>
      <c r="BL30" s="207"/>
      <c r="BM30" s="207"/>
      <c r="BN30" s="207"/>
      <c r="BO30" s="207"/>
      <c r="BP30" s="207"/>
      <c r="BQ30" s="207"/>
      <c r="BR30" s="207"/>
    </row>
    <row r="31" ht="32" customHeight="1" spans="1:70">
      <c r="A31" s="189">
        <v>29</v>
      </c>
      <c r="B31" s="207" t="s">
        <v>208</v>
      </c>
      <c r="C31" s="207" t="s">
        <v>78</v>
      </c>
      <c r="D31" s="207" t="s">
        <v>209</v>
      </c>
      <c r="E31" s="209" t="s">
        <v>210</v>
      </c>
      <c r="F31" s="207" t="s">
        <v>80</v>
      </c>
      <c r="G31" s="207" t="s">
        <v>81</v>
      </c>
      <c r="H31" s="207"/>
      <c r="I31" s="207">
        <v>50</v>
      </c>
      <c r="J31" s="207"/>
      <c r="K31" s="207"/>
      <c r="L31" s="207"/>
      <c r="M31" s="207"/>
      <c r="N31" s="207"/>
      <c r="O31" s="207"/>
      <c r="P31" s="207"/>
      <c r="Q31" s="207" t="s">
        <v>211</v>
      </c>
      <c r="R31" s="207"/>
      <c r="S31" s="207" t="s">
        <v>212</v>
      </c>
      <c r="T31" s="207"/>
      <c r="U31" s="207"/>
      <c r="V31" s="207"/>
      <c r="W31" s="207"/>
      <c r="X31" s="207"/>
      <c r="Y31" s="207"/>
      <c r="Z31" s="207"/>
      <c r="AA31" s="207"/>
      <c r="AB31" s="207"/>
      <c r="AC31" s="207"/>
      <c r="AD31" s="207"/>
      <c r="AE31" s="207"/>
      <c r="AF31" s="207"/>
      <c r="AG31" s="207"/>
      <c r="AH31" s="207"/>
      <c r="AI31" s="207"/>
      <c r="AJ31" s="207"/>
      <c r="AK31" s="207"/>
      <c r="AL31" s="207"/>
      <c r="AM31" s="207"/>
      <c r="AN31" s="207"/>
      <c r="AO31" s="207"/>
      <c r="AP31" s="207"/>
      <c r="AR31" s="207"/>
      <c r="AS31" s="207"/>
      <c r="AT31" s="207"/>
      <c r="AU31" s="207"/>
      <c r="AV31" s="207"/>
      <c r="AW31" s="207"/>
      <c r="AX31" s="207"/>
      <c r="AY31" s="207"/>
      <c r="AZ31" s="207"/>
      <c r="BA31" s="207"/>
      <c r="BB31" s="207"/>
      <c r="BC31" s="207"/>
      <c r="BD31" s="207"/>
      <c r="BE31" s="207"/>
      <c r="BF31" s="207"/>
      <c r="BG31" s="207"/>
      <c r="BH31" s="207"/>
      <c r="BI31" s="207"/>
      <c r="BJ31" s="207"/>
      <c r="BK31" s="207"/>
      <c r="BL31" s="207"/>
      <c r="BM31" s="207"/>
      <c r="BN31" s="207"/>
      <c r="BO31" s="207"/>
      <c r="BP31" s="207"/>
      <c r="BQ31" s="207"/>
      <c r="BR31" s="207"/>
    </row>
    <row r="32" ht="32" customHeight="1" spans="1:70">
      <c r="A32" s="189">
        <v>30</v>
      </c>
      <c r="B32" s="207" t="s">
        <v>141</v>
      </c>
      <c r="C32" s="207" t="s">
        <v>78</v>
      </c>
      <c r="D32" s="207" t="s">
        <v>213</v>
      </c>
      <c r="E32" s="209" t="s">
        <v>179</v>
      </c>
      <c r="F32" s="207" t="s">
        <v>80</v>
      </c>
      <c r="G32" s="207" t="s">
        <v>81</v>
      </c>
      <c r="H32" s="207"/>
      <c r="I32" s="207">
        <v>4</v>
      </c>
      <c r="J32" s="207"/>
      <c r="K32" s="207"/>
      <c r="L32" s="207"/>
      <c r="M32" s="207"/>
      <c r="N32" s="207"/>
      <c r="O32" s="207"/>
      <c r="P32" s="207"/>
      <c r="Q32" s="207" t="s">
        <v>214</v>
      </c>
      <c r="R32" s="207" t="s">
        <v>215</v>
      </c>
      <c r="S32" s="207" t="s">
        <v>216</v>
      </c>
      <c r="T32" s="207"/>
      <c r="U32" s="207"/>
      <c r="V32" s="207"/>
      <c r="W32" s="207"/>
      <c r="X32" s="207"/>
      <c r="Y32" s="207"/>
      <c r="Z32" s="207"/>
      <c r="AA32" s="207"/>
      <c r="AB32" s="207"/>
      <c r="AC32" s="207"/>
      <c r="AD32" s="207"/>
      <c r="AE32" s="207"/>
      <c r="AF32" s="207"/>
      <c r="AG32" s="207"/>
      <c r="AH32" s="207"/>
      <c r="AI32" s="207"/>
      <c r="AJ32" s="207"/>
      <c r="AK32" s="207"/>
      <c r="AL32" s="207"/>
      <c r="AM32" s="207"/>
      <c r="AN32" s="207"/>
      <c r="AO32" s="207"/>
      <c r="AP32" s="207"/>
      <c r="AR32" s="207"/>
      <c r="AS32" s="207"/>
      <c r="AT32" s="207"/>
      <c r="AU32" s="207"/>
      <c r="AV32" s="207"/>
      <c r="AW32" s="207"/>
      <c r="AX32" s="207"/>
      <c r="AY32" s="207"/>
      <c r="AZ32" s="207"/>
      <c r="BA32" s="207"/>
      <c r="BB32" s="207"/>
      <c r="BC32" s="207"/>
      <c r="BD32" s="207"/>
      <c r="BE32" s="207"/>
      <c r="BF32" s="207"/>
      <c r="BG32" s="207"/>
      <c r="BH32" s="207"/>
      <c r="BI32" s="207"/>
      <c r="BJ32" s="207"/>
      <c r="BK32" s="207"/>
      <c r="BL32" s="207"/>
      <c r="BM32" s="207"/>
      <c r="BN32" s="207"/>
      <c r="BO32" s="207"/>
      <c r="BP32" s="207"/>
      <c r="BQ32" s="207"/>
      <c r="BR32" s="207"/>
    </row>
    <row r="33" ht="32" customHeight="1" spans="1:70">
      <c r="A33" s="204">
        <v>31</v>
      </c>
      <c r="B33" s="205" t="s">
        <v>217</v>
      </c>
      <c r="C33" s="205" t="s">
        <v>78</v>
      </c>
      <c r="D33" s="205" t="s">
        <v>218</v>
      </c>
      <c r="E33" s="210" t="s">
        <v>219</v>
      </c>
      <c r="F33" s="205" t="s">
        <v>80</v>
      </c>
      <c r="G33" s="205" t="s">
        <v>81</v>
      </c>
      <c r="H33" s="205"/>
      <c r="I33" s="205">
        <v>100</v>
      </c>
      <c r="J33" s="205"/>
      <c r="K33" s="205"/>
      <c r="L33" s="205"/>
      <c r="M33" s="205"/>
      <c r="N33" s="205"/>
      <c r="O33" s="205"/>
      <c r="P33" s="205"/>
      <c r="Q33" s="205"/>
      <c r="R33" s="205"/>
      <c r="S33" s="205" t="s">
        <v>220</v>
      </c>
      <c r="T33" s="205"/>
      <c r="U33" s="205"/>
      <c r="V33" s="205"/>
      <c r="W33" s="205"/>
      <c r="X33" s="205"/>
      <c r="Y33" s="205"/>
      <c r="Z33" s="205"/>
      <c r="AA33" s="205"/>
      <c r="AB33" s="205"/>
      <c r="AC33" s="205"/>
      <c r="AD33" s="205"/>
      <c r="AE33" s="205"/>
      <c r="AF33" s="205"/>
      <c r="AG33" s="205"/>
      <c r="AH33" s="205"/>
      <c r="AI33" s="205"/>
      <c r="AJ33" s="205"/>
      <c r="AK33" s="205"/>
      <c r="AL33" s="205"/>
      <c r="AM33" s="205"/>
      <c r="AN33" s="205"/>
      <c r="AO33" s="205"/>
      <c r="AP33" s="205"/>
      <c r="AR33" s="205"/>
      <c r="AS33" s="205"/>
      <c r="AT33" s="205"/>
      <c r="AU33" s="205"/>
      <c r="AV33" s="205"/>
      <c r="AW33" s="205"/>
      <c r="AX33" s="205"/>
      <c r="AY33" s="205"/>
      <c r="AZ33" s="205"/>
      <c r="BA33" s="205"/>
      <c r="BB33" s="205"/>
      <c r="BC33" s="205"/>
      <c r="BD33" s="205"/>
      <c r="BE33" s="205"/>
      <c r="BF33" s="205"/>
      <c r="BG33" s="205"/>
      <c r="BH33" s="205"/>
      <c r="BI33" s="205"/>
      <c r="BJ33" s="205"/>
      <c r="BK33" s="205"/>
      <c r="BL33" s="205"/>
      <c r="BM33" s="205"/>
      <c r="BN33" s="205"/>
      <c r="BO33" s="205"/>
      <c r="BP33" s="205"/>
      <c r="BQ33" s="205"/>
      <c r="BR33" s="205"/>
    </row>
    <row r="34" ht="32" customHeight="1" spans="1:70">
      <c r="A34" s="189">
        <v>32</v>
      </c>
      <c r="B34" s="207" t="s">
        <v>221</v>
      </c>
      <c r="C34" s="207" t="s">
        <v>78</v>
      </c>
      <c r="D34" s="207" t="s">
        <v>222</v>
      </c>
      <c r="E34" s="209" t="s">
        <v>223</v>
      </c>
      <c r="F34" s="207" t="s">
        <v>80</v>
      </c>
      <c r="G34" s="207" t="s">
        <v>81</v>
      </c>
      <c r="H34" s="207"/>
      <c r="I34" s="207">
        <v>7000</v>
      </c>
      <c r="J34" s="207"/>
      <c r="K34" s="207"/>
      <c r="L34" s="207"/>
      <c r="M34" s="207"/>
      <c r="N34" s="207"/>
      <c r="O34" s="207"/>
      <c r="P34" s="207"/>
      <c r="Q34" s="207" t="s">
        <v>224</v>
      </c>
      <c r="R34" s="207" t="s">
        <v>146</v>
      </c>
      <c r="S34" s="207" t="s">
        <v>225</v>
      </c>
      <c r="T34" s="207"/>
      <c r="U34" s="207"/>
      <c r="V34" s="207"/>
      <c r="W34" s="207"/>
      <c r="X34" s="207"/>
      <c r="Y34" s="207"/>
      <c r="Z34" s="207"/>
      <c r="AA34" s="207"/>
      <c r="AB34" s="207"/>
      <c r="AC34" s="207"/>
      <c r="AD34" s="207"/>
      <c r="AE34" s="207"/>
      <c r="AF34" s="207"/>
      <c r="AG34" s="207"/>
      <c r="AH34" s="207"/>
      <c r="AI34" s="207"/>
      <c r="AJ34" s="207"/>
      <c r="AK34" s="207"/>
      <c r="AL34" s="207"/>
      <c r="AM34" s="207"/>
      <c r="AN34" s="207"/>
      <c r="AO34" s="207"/>
      <c r="AP34" s="207"/>
      <c r="AR34" s="207"/>
      <c r="AS34" s="207"/>
      <c r="AT34" s="207"/>
      <c r="AU34" s="207"/>
      <c r="AV34" s="207"/>
      <c r="AW34" s="207"/>
      <c r="AX34" s="207"/>
      <c r="AY34" s="207"/>
      <c r="AZ34" s="207"/>
      <c r="BA34" s="207"/>
      <c r="BB34" s="207"/>
      <c r="BC34" s="207"/>
      <c r="BD34" s="207"/>
      <c r="BE34" s="207"/>
      <c r="BF34" s="207"/>
      <c r="BG34" s="207"/>
      <c r="BH34" s="207"/>
      <c r="BI34" s="207"/>
      <c r="BJ34" s="207"/>
      <c r="BK34" s="207"/>
      <c r="BL34" s="207"/>
      <c r="BM34" s="207"/>
      <c r="BN34" s="207"/>
      <c r="BO34" s="207"/>
      <c r="BP34" s="207"/>
      <c r="BQ34" s="207"/>
      <c r="BR34" s="207"/>
    </row>
    <row r="35" ht="32" customHeight="1" spans="1:70">
      <c r="A35" s="189">
        <v>33</v>
      </c>
      <c r="B35" s="207" t="s">
        <v>226</v>
      </c>
      <c r="C35" s="207" t="s">
        <v>78</v>
      </c>
      <c r="D35" s="207" t="s">
        <v>227</v>
      </c>
      <c r="E35" s="209" t="s">
        <v>228</v>
      </c>
      <c r="F35" s="207" t="s">
        <v>80</v>
      </c>
      <c r="G35" s="207" t="s">
        <v>81</v>
      </c>
      <c r="H35" s="207"/>
      <c r="I35" s="207">
        <v>2000</v>
      </c>
      <c r="J35" s="207"/>
      <c r="K35" s="207"/>
      <c r="L35" s="207"/>
      <c r="M35" s="207"/>
      <c r="N35" s="207"/>
      <c r="O35" s="207"/>
      <c r="P35" s="207"/>
      <c r="Q35" s="207" t="s">
        <v>229</v>
      </c>
      <c r="R35" s="207"/>
      <c r="S35" s="207" t="s">
        <v>195</v>
      </c>
      <c r="T35" s="207"/>
      <c r="U35" s="207"/>
      <c r="V35" s="207"/>
      <c r="W35" s="207"/>
      <c r="X35" s="207"/>
      <c r="Y35" s="207"/>
      <c r="Z35" s="207"/>
      <c r="AA35" s="207"/>
      <c r="AB35" s="207"/>
      <c r="AC35" s="207"/>
      <c r="AD35" s="207"/>
      <c r="AE35" s="207"/>
      <c r="AF35" s="207"/>
      <c r="AG35" s="207"/>
      <c r="AH35" s="207"/>
      <c r="AI35" s="207"/>
      <c r="AJ35" s="207"/>
      <c r="AK35" s="207"/>
      <c r="AL35" s="207"/>
      <c r="AM35" s="207"/>
      <c r="AN35" s="207"/>
      <c r="AO35" s="207"/>
      <c r="AP35" s="207"/>
      <c r="AR35" s="207"/>
      <c r="AS35" s="207"/>
      <c r="AT35" s="207"/>
      <c r="AU35" s="207"/>
      <c r="AV35" s="207"/>
      <c r="AW35" s="207"/>
      <c r="AX35" s="207"/>
      <c r="AY35" s="207"/>
      <c r="AZ35" s="207"/>
      <c r="BA35" s="207"/>
      <c r="BB35" s="207"/>
      <c r="BC35" s="207"/>
      <c r="BD35" s="207"/>
      <c r="BE35" s="207"/>
      <c r="BF35" s="207"/>
      <c r="BG35" s="207"/>
      <c r="BH35" s="207"/>
      <c r="BI35" s="207"/>
      <c r="BJ35" s="207"/>
      <c r="BK35" s="207"/>
      <c r="BL35" s="207"/>
      <c r="BM35" s="207"/>
      <c r="BN35" s="207"/>
      <c r="BO35" s="207"/>
      <c r="BP35" s="207"/>
      <c r="BQ35" s="207"/>
      <c r="BR35" s="207"/>
    </row>
    <row r="36" ht="32" customHeight="1" spans="1:70">
      <c r="A36" s="204">
        <v>34</v>
      </c>
      <c r="B36" s="205" t="s">
        <v>230</v>
      </c>
      <c r="C36" s="205" t="s">
        <v>78</v>
      </c>
      <c r="D36" s="205" t="s">
        <v>107</v>
      </c>
      <c r="E36" s="210" t="s">
        <v>198</v>
      </c>
      <c r="F36" s="205" t="s">
        <v>80</v>
      </c>
      <c r="G36" s="205" t="s">
        <v>81</v>
      </c>
      <c r="H36" s="205"/>
      <c r="I36" s="205">
        <v>100</v>
      </c>
      <c r="J36" s="205"/>
      <c r="K36" s="205"/>
      <c r="L36" s="205"/>
      <c r="M36" s="205"/>
      <c r="N36" s="205"/>
      <c r="O36" s="205"/>
      <c r="P36" s="205"/>
      <c r="Q36" s="205"/>
      <c r="R36" s="205"/>
      <c r="S36" s="205" t="s">
        <v>195</v>
      </c>
      <c r="T36" s="205"/>
      <c r="U36" s="205"/>
      <c r="V36" s="205"/>
      <c r="W36" s="205"/>
      <c r="X36" s="205"/>
      <c r="Y36" s="205"/>
      <c r="Z36" s="205"/>
      <c r="AA36" s="205"/>
      <c r="AB36" s="205"/>
      <c r="AC36" s="205"/>
      <c r="AD36" s="205"/>
      <c r="AE36" s="205"/>
      <c r="AF36" s="205"/>
      <c r="AG36" s="205"/>
      <c r="AH36" s="205"/>
      <c r="AI36" s="205"/>
      <c r="AJ36" s="205"/>
      <c r="AK36" s="205"/>
      <c r="AL36" s="205"/>
      <c r="AM36" s="205"/>
      <c r="AN36" s="205"/>
      <c r="AO36" s="205"/>
      <c r="AP36" s="205"/>
      <c r="AR36" s="205"/>
      <c r="AS36" s="205"/>
      <c r="AT36" s="205"/>
      <c r="AU36" s="205"/>
      <c r="AV36" s="205"/>
      <c r="AW36" s="205"/>
      <c r="AX36" s="205"/>
      <c r="AY36" s="205"/>
      <c r="AZ36" s="205"/>
      <c r="BA36" s="205"/>
      <c r="BB36" s="205"/>
      <c r="BC36" s="205"/>
      <c r="BD36" s="205"/>
      <c r="BE36" s="205"/>
      <c r="BF36" s="205"/>
      <c r="BG36" s="205"/>
      <c r="BH36" s="205"/>
      <c r="BI36" s="205"/>
      <c r="BJ36" s="205"/>
      <c r="BK36" s="205"/>
      <c r="BL36" s="205"/>
      <c r="BM36" s="205"/>
      <c r="BN36" s="205"/>
      <c r="BO36" s="205"/>
      <c r="BP36" s="205"/>
      <c r="BQ36" s="205"/>
      <c r="BR36" s="205"/>
    </row>
    <row r="37" ht="32" customHeight="1" spans="1:70">
      <c r="A37" s="208">
        <v>35</v>
      </c>
      <c r="B37" s="149" t="s">
        <v>231</v>
      </c>
      <c r="C37" s="149" t="s">
        <v>78</v>
      </c>
      <c r="D37" s="149" t="s">
        <v>232</v>
      </c>
      <c r="E37" s="212" t="s">
        <v>233</v>
      </c>
      <c r="F37" s="149" t="s">
        <v>80</v>
      </c>
      <c r="G37" s="149" t="s">
        <v>81</v>
      </c>
      <c r="H37" s="149"/>
      <c r="I37" s="149">
        <v>3600</v>
      </c>
      <c r="J37" s="149"/>
      <c r="K37" s="149"/>
      <c r="L37" s="149"/>
      <c r="M37" s="149"/>
      <c r="N37" s="149"/>
      <c r="O37" s="149"/>
      <c r="P37" s="149"/>
      <c r="Q37" s="149"/>
      <c r="R37" s="149"/>
      <c r="S37" s="149" t="s">
        <v>234</v>
      </c>
      <c r="T37" s="149"/>
      <c r="U37" s="149"/>
      <c r="V37" s="149"/>
      <c r="W37" s="149"/>
      <c r="X37" s="149"/>
      <c r="Y37" s="149"/>
      <c r="Z37" s="149"/>
      <c r="AA37" s="149"/>
      <c r="AB37" s="149"/>
      <c r="AC37" s="149"/>
      <c r="AD37" s="149"/>
      <c r="AE37" s="149"/>
      <c r="AF37" s="149"/>
      <c r="AG37" s="149"/>
      <c r="AH37" s="149"/>
      <c r="AI37" s="149"/>
      <c r="AJ37" s="149"/>
      <c r="AK37" s="149"/>
      <c r="AL37" s="149"/>
      <c r="AM37" s="149"/>
      <c r="AN37" s="149"/>
      <c r="AO37" s="149"/>
      <c r="AP37" s="149"/>
      <c r="AR37" s="149"/>
      <c r="AS37" s="149"/>
      <c r="AT37" s="149"/>
      <c r="AU37" s="149"/>
      <c r="AV37" s="149"/>
      <c r="AW37" s="149"/>
      <c r="AX37" s="149"/>
      <c r="AY37" s="149"/>
      <c r="AZ37" s="149"/>
      <c r="BA37" s="149"/>
      <c r="BB37" s="149"/>
      <c r="BC37" s="149"/>
      <c r="BD37" s="149"/>
      <c r="BE37" s="149"/>
      <c r="BF37" s="149"/>
      <c r="BG37" s="149"/>
      <c r="BH37" s="149"/>
      <c r="BI37" s="149"/>
      <c r="BJ37" s="149"/>
      <c r="BK37" s="149"/>
      <c r="BL37" s="149"/>
      <c r="BM37" s="149"/>
      <c r="BN37" s="149"/>
      <c r="BO37" s="149"/>
      <c r="BP37" s="149"/>
      <c r="BQ37" s="149"/>
      <c r="BR37" s="149"/>
    </row>
    <row r="38" ht="32" customHeight="1" spans="1:70">
      <c r="A38" s="208">
        <v>36</v>
      </c>
      <c r="B38" s="149" t="s">
        <v>235</v>
      </c>
      <c r="C38" s="149" t="s">
        <v>78</v>
      </c>
      <c r="D38" s="149" t="s">
        <v>236</v>
      </c>
      <c r="E38" s="212" t="s">
        <v>237</v>
      </c>
      <c r="F38" s="149" t="s">
        <v>80</v>
      </c>
      <c r="G38" s="149" t="s">
        <v>81</v>
      </c>
      <c r="H38" s="149"/>
      <c r="I38" s="149">
        <v>4076</v>
      </c>
      <c r="J38" s="149"/>
      <c r="K38" s="149"/>
      <c r="L38" s="149"/>
      <c r="M38" s="149"/>
      <c r="N38" s="149"/>
      <c r="O38" s="149"/>
      <c r="P38" s="149"/>
      <c r="Q38" s="149"/>
      <c r="R38" s="149"/>
      <c r="S38" s="149" t="s">
        <v>181</v>
      </c>
      <c r="T38" s="149"/>
      <c r="U38" s="149"/>
      <c r="V38" s="149"/>
      <c r="W38" s="149"/>
      <c r="X38" s="149"/>
      <c r="Y38" s="149"/>
      <c r="Z38" s="149"/>
      <c r="AA38" s="149"/>
      <c r="AB38" s="149"/>
      <c r="AC38" s="149"/>
      <c r="AD38" s="149"/>
      <c r="AE38" s="149"/>
      <c r="AF38" s="149"/>
      <c r="AG38" s="149"/>
      <c r="AH38" s="149"/>
      <c r="AI38" s="149"/>
      <c r="AJ38" s="149"/>
      <c r="AK38" s="149"/>
      <c r="AL38" s="149"/>
      <c r="AM38" s="149"/>
      <c r="AN38" s="149"/>
      <c r="AO38" s="149"/>
      <c r="AP38" s="149"/>
      <c r="AR38" s="149"/>
      <c r="AS38" s="149"/>
      <c r="AT38" s="149"/>
      <c r="AU38" s="149"/>
      <c r="AV38" s="149"/>
      <c r="AW38" s="149"/>
      <c r="AX38" s="149"/>
      <c r="AY38" s="149"/>
      <c r="AZ38" s="149"/>
      <c r="BA38" s="149"/>
      <c r="BB38" s="149"/>
      <c r="BC38" s="149"/>
      <c r="BD38" s="149"/>
      <c r="BE38" s="149"/>
      <c r="BF38" s="149"/>
      <c r="BG38" s="149"/>
      <c r="BH38" s="149"/>
      <c r="BI38" s="149"/>
      <c r="BJ38" s="149"/>
      <c r="BK38" s="149"/>
      <c r="BL38" s="149"/>
      <c r="BM38" s="149"/>
      <c r="BN38" s="149"/>
      <c r="BO38" s="149"/>
      <c r="BP38" s="149"/>
      <c r="BQ38" s="149"/>
      <c r="BR38" s="149"/>
    </row>
    <row r="39" ht="32" customHeight="1" spans="1:70">
      <c r="A39" s="189">
        <v>37</v>
      </c>
      <c r="B39" s="207" t="s">
        <v>238</v>
      </c>
      <c r="C39" s="207" t="s">
        <v>78</v>
      </c>
      <c r="D39" s="207" t="s">
        <v>239</v>
      </c>
      <c r="E39" s="209" t="s">
        <v>233</v>
      </c>
      <c r="F39" s="207" t="s">
        <v>80</v>
      </c>
      <c r="G39" s="207" t="s">
        <v>81</v>
      </c>
      <c r="H39" s="207"/>
      <c r="I39" s="207">
        <v>1700</v>
      </c>
      <c r="J39" s="207"/>
      <c r="K39" s="207"/>
      <c r="L39" s="207"/>
      <c r="M39" s="207"/>
      <c r="N39" s="207"/>
      <c r="O39" s="207"/>
      <c r="P39" s="207"/>
      <c r="Q39" s="207" t="s">
        <v>240</v>
      </c>
      <c r="R39" s="207" t="s">
        <v>241</v>
      </c>
      <c r="S39" s="207" t="s">
        <v>242</v>
      </c>
      <c r="T39" s="207"/>
      <c r="U39" s="207"/>
      <c r="V39" s="207"/>
      <c r="W39" s="207"/>
      <c r="X39" s="207"/>
      <c r="Y39" s="207"/>
      <c r="Z39" s="207"/>
      <c r="AA39" s="207"/>
      <c r="AB39" s="207"/>
      <c r="AC39" s="207"/>
      <c r="AD39" s="207"/>
      <c r="AE39" s="207"/>
      <c r="AF39" s="207"/>
      <c r="AG39" s="207"/>
      <c r="AH39" s="207"/>
      <c r="AI39" s="207"/>
      <c r="AJ39" s="207"/>
      <c r="AK39" s="207"/>
      <c r="AL39" s="207"/>
      <c r="AM39" s="207"/>
      <c r="AN39" s="207"/>
      <c r="AO39" s="207"/>
      <c r="AP39" s="207"/>
      <c r="AR39" s="207"/>
      <c r="AS39" s="207"/>
      <c r="AT39" s="207"/>
      <c r="AU39" s="207"/>
      <c r="AV39" s="207"/>
      <c r="AW39" s="207"/>
      <c r="AX39" s="207"/>
      <c r="AY39" s="207"/>
      <c r="AZ39" s="207"/>
      <c r="BA39" s="207"/>
      <c r="BB39" s="207"/>
      <c r="BC39" s="207"/>
      <c r="BD39" s="207"/>
      <c r="BE39" s="207"/>
      <c r="BF39" s="207"/>
      <c r="BG39" s="207"/>
      <c r="BH39" s="207"/>
      <c r="BI39" s="207"/>
      <c r="BJ39" s="207"/>
      <c r="BK39" s="207"/>
      <c r="BL39" s="207"/>
      <c r="BM39" s="207"/>
      <c r="BN39" s="207"/>
      <c r="BO39" s="207"/>
      <c r="BP39" s="207"/>
      <c r="BQ39" s="207"/>
      <c r="BR39" s="207"/>
    </row>
    <row r="40" ht="32" customHeight="1" spans="1:70">
      <c r="A40" s="204">
        <v>38</v>
      </c>
      <c r="B40" s="205" t="s">
        <v>243</v>
      </c>
      <c r="C40" s="205" t="s">
        <v>78</v>
      </c>
      <c r="D40" s="205" t="s">
        <v>244</v>
      </c>
      <c r="E40" s="210" t="s">
        <v>245</v>
      </c>
      <c r="F40" s="205" t="s">
        <v>80</v>
      </c>
      <c r="G40" s="205" t="s">
        <v>81</v>
      </c>
      <c r="H40" s="205"/>
      <c r="I40" s="205">
        <v>1000</v>
      </c>
      <c r="J40" s="205"/>
      <c r="K40" s="205"/>
      <c r="L40" s="205"/>
      <c r="M40" s="205"/>
      <c r="N40" s="205"/>
      <c r="O40" s="205"/>
      <c r="P40" s="205"/>
      <c r="Q40" s="205"/>
      <c r="R40" s="205" t="s">
        <v>246</v>
      </c>
      <c r="S40" s="205" t="s">
        <v>212</v>
      </c>
      <c r="T40" s="205"/>
      <c r="U40" s="205"/>
      <c r="V40" s="205"/>
      <c r="W40" s="205"/>
      <c r="X40" s="205"/>
      <c r="Y40" s="205"/>
      <c r="Z40" s="205"/>
      <c r="AA40" s="205"/>
      <c r="AB40" s="205"/>
      <c r="AC40" s="205"/>
      <c r="AD40" s="205"/>
      <c r="AE40" s="205"/>
      <c r="AF40" s="205"/>
      <c r="AG40" s="205"/>
      <c r="AH40" s="205"/>
      <c r="AI40" s="205"/>
      <c r="AJ40" s="205"/>
      <c r="AK40" s="205"/>
      <c r="AL40" s="205"/>
      <c r="AM40" s="205"/>
      <c r="AN40" s="205"/>
      <c r="AO40" s="205"/>
      <c r="AP40" s="205"/>
      <c r="AR40" s="205"/>
      <c r="AS40" s="205"/>
      <c r="AT40" s="205"/>
      <c r="AU40" s="205"/>
      <c r="AV40" s="205"/>
      <c r="AW40" s="205"/>
      <c r="AX40" s="205"/>
      <c r="AY40" s="205"/>
      <c r="AZ40" s="205"/>
      <c r="BA40" s="205"/>
      <c r="BB40" s="205"/>
      <c r="BC40" s="205"/>
      <c r="BD40" s="205"/>
      <c r="BE40" s="205"/>
      <c r="BF40" s="205"/>
      <c r="BG40" s="205"/>
      <c r="BH40" s="205"/>
      <c r="BI40" s="205"/>
      <c r="BJ40" s="205"/>
      <c r="BK40" s="205"/>
      <c r="BL40" s="205"/>
      <c r="BM40" s="205"/>
      <c r="BN40" s="205"/>
      <c r="BO40" s="205"/>
      <c r="BP40" s="205"/>
      <c r="BQ40" s="205"/>
      <c r="BR40" s="205"/>
    </row>
    <row r="41" ht="32" customHeight="1" spans="1:70">
      <c r="A41" s="208">
        <v>39</v>
      </c>
      <c r="B41" s="149" t="s">
        <v>247</v>
      </c>
      <c r="C41" s="149" t="s">
        <v>78</v>
      </c>
      <c r="D41" s="149" t="s">
        <v>248</v>
      </c>
      <c r="E41" s="212" t="s">
        <v>249</v>
      </c>
      <c r="F41" s="149" t="s">
        <v>80</v>
      </c>
      <c r="G41" s="149" t="s">
        <v>81</v>
      </c>
      <c r="H41" s="149"/>
      <c r="I41" s="149"/>
      <c r="J41" s="149"/>
      <c r="K41" s="149"/>
      <c r="L41" s="149"/>
      <c r="M41" s="149"/>
      <c r="N41" s="149"/>
      <c r="O41" s="149"/>
      <c r="P41" s="149"/>
      <c r="Q41" s="149"/>
      <c r="R41" s="149"/>
      <c r="S41" s="149" t="s">
        <v>181</v>
      </c>
      <c r="T41" s="149"/>
      <c r="U41" s="149"/>
      <c r="V41" s="149"/>
      <c r="W41" s="149"/>
      <c r="X41" s="149"/>
      <c r="Y41" s="149"/>
      <c r="Z41" s="149"/>
      <c r="AA41" s="149"/>
      <c r="AB41" s="149"/>
      <c r="AC41" s="149"/>
      <c r="AD41" s="149"/>
      <c r="AE41" s="149"/>
      <c r="AF41" s="149"/>
      <c r="AG41" s="149"/>
      <c r="AH41" s="149"/>
      <c r="AI41" s="149"/>
      <c r="AJ41" s="149"/>
      <c r="AK41" s="149"/>
      <c r="AL41" s="149"/>
      <c r="AM41" s="149"/>
      <c r="AN41" s="149"/>
      <c r="AO41" s="149"/>
      <c r="AP41" s="149"/>
      <c r="AR41" s="149"/>
      <c r="AS41" s="149"/>
      <c r="AT41" s="149"/>
      <c r="AU41" s="149"/>
      <c r="AV41" s="149"/>
      <c r="AW41" s="149"/>
      <c r="AX41" s="149"/>
      <c r="AY41" s="149"/>
      <c r="AZ41" s="149"/>
      <c r="BA41" s="149"/>
      <c r="BB41" s="149"/>
      <c r="BC41" s="149"/>
      <c r="BD41" s="149"/>
      <c r="BE41" s="149"/>
      <c r="BF41" s="149"/>
      <c r="BG41" s="149"/>
      <c r="BH41" s="149"/>
      <c r="BI41" s="149"/>
      <c r="BJ41" s="149"/>
      <c r="BK41" s="149"/>
      <c r="BL41" s="149"/>
      <c r="BM41" s="149"/>
      <c r="BN41" s="149"/>
      <c r="BO41" s="149"/>
      <c r="BP41" s="149"/>
      <c r="BQ41" s="149"/>
      <c r="BR41" s="149"/>
    </row>
    <row r="42" ht="32" customHeight="1" spans="1:70">
      <c r="A42" s="189">
        <v>40</v>
      </c>
      <c r="B42" s="207" t="s">
        <v>113</v>
      </c>
      <c r="C42" s="207" t="s">
        <v>78</v>
      </c>
      <c r="D42" s="207" t="s">
        <v>250</v>
      </c>
      <c r="E42" s="209" t="s">
        <v>192</v>
      </c>
      <c r="F42" s="207" t="s">
        <v>80</v>
      </c>
      <c r="G42" s="207" t="s">
        <v>81</v>
      </c>
      <c r="H42" s="207"/>
      <c r="I42" s="207">
        <v>560</v>
      </c>
      <c r="J42" s="207"/>
      <c r="K42" s="207"/>
      <c r="L42" s="207"/>
      <c r="M42" s="207"/>
      <c r="N42" s="207"/>
      <c r="O42" s="207"/>
      <c r="P42" s="207"/>
      <c r="Q42" s="207" t="s">
        <v>251</v>
      </c>
      <c r="R42" s="207"/>
      <c r="S42" s="207" t="s">
        <v>252</v>
      </c>
      <c r="T42" s="207"/>
      <c r="U42" s="207"/>
      <c r="V42" s="207"/>
      <c r="W42" s="207"/>
      <c r="X42" s="207"/>
      <c r="Y42" s="207"/>
      <c r="Z42" s="207"/>
      <c r="AA42" s="207"/>
      <c r="AB42" s="207"/>
      <c r="AC42" s="207"/>
      <c r="AD42" s="207"/>
      <c r="AE42" s="207"/>
      <c r="AF42" s="207"/>
      <c r="AG42" s="207"/>
      <c r="AH42" s="207"/>
      <c r="AI42" s="207"/>
      <c r="AJ42" s="207"/>
      <c r="AK42" s="207"/>
      <c r="AL42" s="207"/>
      <c r="AM42" s="207"/>
      <c r="AN42" s="207"/>
      <c r="AO42" s="207"/>
      <c r="AP42" s="207"/>
      <c r="AR42" s="207"/>
      <c r="AS42" s="207"/>
      <c r="AT42" s="207"/>
      <c r="AU42" s="207"/>
      <c r="AV42" s="207"/>
      <c r="AW42" s="207"/>
      <c r="AX42" s="207"/>
      <c r="AY42" s="207"/>
      <c r="AZ42" s="207"/>
      <c r="BA42" s="207"/>
      <c r="BB42" s="207"/>
      <c r="BC42" s="207"/>
      <c r="BD42" s="207"/>
      <c r="BE42" s="207"/>
      <c r="BF42" s="207"/>
      <c r="BG42" s="207"/>
      <c r="BH42" s="207"/>
      <c r="BI42" s="207"/>
      <c r="BJ42" s="207"/>
      <c r="BK42" s="207"/>
      <c r="BL42" s="207"/>
      <c r="BM42" s="207"/>
      <c r="BN42" s="207"/>
      <c r="BO42" s="207"/>
      <c r="BP42" s="207"/>
      <c r="BQ42" s="207"/>
      <c r="BR42" s="207"/>
    </row>
    <row r="43" ht="32" customHeight="1" spans="1:70">
      <c r="A43" s="189">
        <v>41</v>
      </c>
      <c r="B43" s="207" t="s">
        <v>253</v>
      </c>
      <c r="C43" s="207" t="s">
        <v>78</v>
      </c>
      <c r="D43" s="207" t="s">
        <v>254</v>
      </c>
      <c r="E43" s="209" t="s">
        <v>255</v>
      </c>
      <c r="F43" s="207" t="s">
        <v>80</v>
      </c>
      <c r="G43" s="207" t="s">
        <v>81</v>
      </c>
      <c r="H43" s="207"/>
      <c r="I43" s="207">
        <v>400</v>
      </c>
      <c r="J43" s="207"/>
      <c r="K43" s="207"/>
      <c r="L43" s="207"/>
      <c r="M43" s="207"/>
      <c r="N43" s="207"/>
      <c r="O43" s="207"/>
      <c r="P43" s="207"/>
      <c r="Q43" s="207" t="s">
        <v>256</v>
      </c>
      <c r="R43" s="207"/>
      <c r="S43" s="207" t="s">
        <v>257</v>
      </c>
      <c r="T43" s="207"/>
      <c r="U43" s="207"/>
      <c r="V43" s="207"/>
      <c r="W43" s="207"/>
      <c r="X43" s="207"/>
      <c r="Y43" s="207"/>
      <c r="Z43" s="207"/>
      <c r="AA43" s="207"/>
      <c r="AB43" s="207"/>
      <c r="AC43" s="207"/>
      <c r="AD43" s="207"/>
      <c r="AE43" s="207"/>
      <c r="AF43" s="207"/>
      <c r="AG43" s="207"/>
      <c r="AH43" s="207"/>
      <c r="AI43" s="207"/>
      <c r="AJ43" s="207"/>
      <c r="AK43" s="207"/>
      <c r="AL43" s="207"/>
      <c r="AM43" s="207"/>
      <c r="AN43" s="207"/>
      <c r="AO43" s="207"/>
      <c r="AP43" s="207"/>
      <c r="AR43" s="207"/>
      <c r="AS43" s="207"/>
      <c r="AT43" s="207"/>
      <c r="AU43" s="207"/>
      <c r="AV43" s="207"/>
      <c r="AW43" s="207"/>
      <c r="AX43" s="207"/>
      <c r="AY43" s="207"/>
      <c r="AZ43" s="207"/>
      <c r="BA43" s="207"/>
      <c r="BB43" s="207"/>
      <c r="BC43" s="207"/>
      <c r="BD43" s="207"/>
      <c r="BE43" s="207"/>
      <c r="BF43" s="207"/>
      <c r="BG43" s="207"/>
      <c r="BH43" s="207"/>
      <c r="BI43" s="207"/>
      <c r="BJ43" s="207"/>
      <c r="BK43" s="207"/>
      <c r="BL43" s="207"/>
      <c r="BM43" s="207"/>
      <c r="BN43" s="207"/>
      <c r="BO43" s="207"/>
      <c r="BP43" s="207"/>
      <c r="BQ43" s="207"/>
      <c r="BR43" s="207"/>
    </row>
    <row r="44" ht="32" customHeight="1" spans="1:70">
      <c r="A44" s="189">
        <v>42</v>
      </c>
      <c r="B44" s="207" t="s">
        <v>258</v>
      </c>
      <c r="C44" s="207" t="s">
        <v>78</v>
      </c>
      <c r="D44" s="207" t="s">
        <v>259</v>
      </c>
      <c r="E44" s="209" t="s">
        <v>260</v>
      </c>
      <c r="F44" s="207" t="s">
        <v>80</v>
      </c>
      <c r="G44" s="207" t="s">
        <v>81</v>
      </c>
      <c r="H44" s="207"/>
      <c r="I44" s="207">
        <v>700</v>
      </c>
      <c r="J44" s="207"/>
      <c r="K44" s="207"/>
      <c r="L44" s="207"/>
      <c r="M44" s="207"/>
      <c r="N44" s="207"/>
      <c r="O44" s="207"/>
      <c r="P44" s="207"/>
      <c r="Q44" s="207" t="s">
        <v>256</v>
      </c>
      <c r="R44" s="207"/>
      <c r="S44" s="207" t="s">
        <v>181</v>
      </c>
      <c r="T44" s="207"/>
      <c r="U44" s="207"/>
      <c r="V44" s="207"/>
      <c r="W44" s="207"/>
      <c r="X44" s="207"/>
      <c r="Y44" s="207"/>
      <c r="Z44" s="207"/>
      <c r="AA44" s="207"/>
      <c r="AB44" s="207"/>
      <c r="AC44" s="207"/>
      <c r="AD44" s="207"/>
      <c r="AE44" s="207"/>
      <c r="AF44" s="207"/>
      <c r="AG44" s="207"/>
      <c r="AH44" s="207"/>
      <c r="AI44" s="207"/>
      <c r="AJ44" s="207"/>
      <c r="AK44" s="207"/>
      <c r="AL44" s="207"/>
      <c r="AM44" s="207"/>
      <c r="AN44" s="207"/>
      <c r="AO44" s="207"/>
      <c r="AP44" s="207"/>
      <c r="AR44" s="207"/>
      <c r="AS44" s="207"/>
      <c r="AT44" s="207"/>
      <c r="AU44" s="207"/>
      <c r="AV44" s="207"/>
      <c r="AW44" s="207"/>
      <c r="AX44" s="207"/>
      <c r="AY44" s="207"/>
      <c r="AZ44" s="207"/>
      <c r="BA44" s="207"/>
      <c r="BB44" s="207"/>
      <c r="BC44" s="207"/>
      <c r="BD44" s="207"/>
      <c r="BE44" s="207"/>
      <c r="BF44" s="207"/>
      <c r="BG44" s="207"/>
      <c r="BH44" s="207"/>
      <c r="BI44" s="207"/>
      <c r="BJ44" s="207"/>
      <c r="BK44" s="207"/>
      <c r="BL44" s="207"/>
      <c r="BM44" s="207"/>
      <c r="BN44" s="207"/>
      <c r="BO44" s="207"/>
      <c r="BP44" s="207"/>
      <c r="BQ44" s="207"/>
      <c r="BR44" s="207"/>
    </row>
    <row r="45" ht="32" customHeight="1" spans="1:70">
      <c r="A45" s="189">
        <v>43</v>
      </c>
      <c r="B45" s="207" t="s">
        <v>261</v>
      </c>
      <c r="C45" s="207" t="s">
        <v>78</v>
      </c>
      <c r="D45" s="207" t="s">
        <v>262</v>
      </c>
      <c r="E45" s="209" t="s">
        <v>219</v>
      </c>
      <c r="F45" s="207" t="s">
        <v>80</v>
      </c>
      <c r="G45" s="207" t="s">
        <v>81</v>
      </c>
      <c r="H45" s="207"/>
      <c r="I45" s="207">
        <v>100</v>
      </c>
      <c r="J45" s="207"/>
      <c r="K45" s="207"/>
      <c r="L45" s="207"/>
      <c r="M45" s="207"/>
      <c r="N45" s="207"/>
      <c r="O45" s="207"/>
      <c r="P45" s="207"/>
      <c r="Q45" s="207" t="s">
        <v>263</v>
      </c>
      <c r="R45" s="207" t="s">
        <v>264</v>
      </c>
      <c r="S45" s="207" t="s">
        <v>181</v>
      </c>
      <c r="T45" s="207"/>
      <c r="U45" s="207"/>
      <c r="V45" s="207"/>
      <c r="W45" s="207"/>
      <c r="X45" s="207"/>
      <c r="Y45" s="207"/>
      <c r="Z45" s="207"/>
      <c r="AA45" s="207"/>
      <c r="AB45" s="207"/>
      <c r="AC45" s="207"/>
      <c r="AD45" s="207"/>
      <c r="AE45" s="207"/>
      <c r="AF45" s="207"/>
      <c r="AG45" s="207"/>
      <c r="AH45" s="207"/>
      <c r="AI45" s="207"/>
      <c r="AJ45" s="207"/>
      <c r="AK45" s="207"/>
      <c r="AL45" s="207"/>
      <c r="AM45" s="207"/>
      <c r="AN45" s="207"/>
      <c r="AO45" s="207"/>
      <c r="AP45" s="207"/>
      <c r="AR45" s="207"/>
      <c r="AS45" s="207"/>
      <c r="AT45" s="207"/>
      <c r="AU45" s="207"/>
      <c r="AV45" s="207"/>
      <c r="AW45" s="207"/>
      <c r="AX45" s="207"/>
      <c r="AY45" s="207"/>
      <c r="AZ45" s="207"/>
      <c r="BA45" s="207"/>
      <c r="BB45" s="207"/>
      <c r="BC45" s="207"/>
      <c r="BD45" s="207"/>
      <c r="BE45" s="207"/>
      <c r="BF45" s="207"/>
      <c r="BG45" s="207"/>
      <c r="BH45" s="207"/>
      <c r="BI45" s="207"/>
      <c r="BJ45" s="207"/>
      <c r="BK45" s="207"/>
      <c r="BL45" s="207"/>
      <c r="BM45" s="207"/>
      <c r="BN45" s="207"/>
      <c r="BO45" s="207"/>
      <c r="BP45" s="207"/>
      <c r="BQ45" s="207"/>
      <c r="BR45" s="207"/>
    </row>
    <row r="46" ht="32" customHeight="1" spans="1:70">
      <c r="A46" s="204">
        <v>44</v>
      </c>
      <c r="B46" s="205" t="s">
        <v>265</v>
      </c>
      <c r="C46" s="205" t="s">
        <v>78</v>
      </c>
      <c r="D46" s="205" t="s">
        <v>266</v>
      </c>
      <c r="E46" s="210" t="s">
        <v>219</v>
      </c>
      <c r="F46" s="205" t="s">
        <v>80</v>
      </c>
      <c r="G46" s="205" t="s">
        <v>81</v>
      </c>
      <c r="H46" s="205"/>
      <c r="I46" s="205">
        <v>3600</v>
      </c>
      <c r="J46" s="205"/>
      <c r="K46" s="205"/>
      <c r="L46" s="205"/>
      <c r="M46" s="205"/>
      <c r="N46" s="205"/>
      <c r="O46" s="205"/>
      <c r="P46" s="205"/>
      <c r="Q46" s="205"/>
      <c r="R46" s="205"/>
      <c r="S46" s="205"/>
      <c r="T46" s="205"/>
      <c r="U46" s="205"/>
      <c r="V46" s="205"/>
      <c r="W46" s="205"/>
      <c r="X46" s="205"/>
      <c r="Y46" s="205"/>
      <c r="Z46" s="205"/>
      <c r="AA46" s="205"/>
      <c r="AB46" s="205"/>
      <c r="AC46" s="205"/>
      <c r="AD46" s="205"/>
      <c r="AE46" s="205"/>
      <c r="AF46" s="205"/>
      <c r="AG46" s="205"/>
      <c r="AH46" s="205"/>
      <c r="AI46" s="205"/>
      <c r="AJ46" s="205"/>
      <c r="AK46" s="205"/>
      <c r="AL46" s="205"/>
      <c r="AM46" s="205"/>
      <c r="AN46" s="205"/>
      <c r="AO46" s="205"/>
      <c r="AP46" s="205"/>
      <c r="AR46" s="205"/>
      <c r="AS46" s="205"/>
      <c r="AT46" s="205"/>
      <c r="AU46" s="205"/>
      <c r="AV46" s="205"/>
      <c r="AW46" s="205"/>
      <c r="AX46" s="205"/>
      <c r="AY46" s="205"/>
      <c r="AZ46" s="205"/>
      <c r="BA46" s="205"/>
      <c r="BB46" s="205"/>
      <c r="BC46" s="205"/>
      <c r="BD46" s="205"/>
      <c r="BE46" s="205"/>
      <c r="BF46" s="205"/>
      <c r="BG46" s="205"/>
      <c r="BH46" s="205"/>
      <c r="BI46" s="205"/>
      <c r="BJ46" s="205"/>
      <c r="BK46" s="205"/>
      <c r="BL46" s="205"/>
      <c r="BM46" s="205"/>
      <c r="BN46" s="205"/>
      <c r="BO46" s="205"/>
      <c r="BP46" s="205"/>
      <c r="BQ46" s="205"/>
      <c r="BR46" s="205"/>
    </row>
    <row r="47" ht="32" customHeight="1" spans="1:70">
      <c r="A47" s="208">
        <v>45</v>
      </c>
      <c r="B47" s="149" t="s">
        <v>267</v>
      </c>
      <c r="C47" s="149" t="s">
        <v>78</v>
      </c>
      <c r="D47" s="149" t="s">
        <v>268</v>
      </c>
      <c r="E47" s="212" t="s">
        <v>260</v>
      </c>
      <c r="F47" s="149" t="s">
        <v>80</v>
      </c>
      <c r="G47" s="149" t="s">
        <v>81</v>
      </c>
      <c r="H47" s="149"/>
      <c r="I47" s="149">
        <v>500</v>
      </c>
      <c r="J47" s="149"/>
      <c r="K47" s="149"/>
      <c r="L47" s="149"/>
      <c r="M47" s="149"/>
      <c r="N47" s="149"/>
      <c r="O47" s="149"/>
      <c r="P47" s="149"/>
      <c r="Q47" s="149"/>
      <c r="R47" s="149"/>
      <c r="S47" s="149"/>
      <c r="T47" s="149"/>
      <c r="U47" s="149"/>
      <c r="V47" s="149"/>
      <c r="W47" s="149"/>
      <c r="X47" s="149"/>
      <c r="Y47" s="149"/>
      <c r="Z47" s="149"/>
      <c r="AA47" s="149"/>
      <c r="AB47" s="149"/>
      <c r="AC47" s="149"/>
      <c r="AD47" s="149"/>
      <c r="AE47" s="149"/>
      <c r="AF47" s="149"/>
      <c r="AG47" s="149"/>
      <c r="AH47" s="149"/>
      <c r="AI47" s="149"/>
      <c r="AJ47" s="149"/>
      <c r="AK47" s="149"/>
      <c r="AL47" s="149"/>
      <c r="AM47" s="149"/>
      <c r="AN47" s="149"/>
      <c r="AO47" s="149"/>
      <c r="AP47" s="149"/>
      <c r="AR47" s="149"/>
      <c r="AS47" s="149"/>
      <c r="AT47" s="149"/>
      <c r="AU47" s="149"/>
      <c r="AV47" s="149"/>
      <c r="AW47" s="149"/>
      <c r="AX47" s="149"/>
      <c r="AY47" s="149"/>
      <c r="AZ47" s="149"/>
      <c r="BA47" s="149"/>
      <c r="BB47" s="149"/>
      <c r="BC47" s="149"/>
      <c r="BD47" s="149"/>
      <c r="BE47" s="149"/>
      <c r="BF47" s="149"/>
      <c r="BG47" s="149"/>
      <c r="BH47" s="149"/>
      <c r="BI47" s="149"/>
      <c r="BJ47" s="149"/>
      <c r="BK47" s="149"/>
      <c r="BL47" s="149"/>
      <c r="BM47" s="149"/>
      <c r="BN47" s="149"/>
      <c r="BO47" s="149"/>
      <c r="BP47" s="149"/>
      <c r="BQ47" s="149"/>
      <c r="BR47" s="149"/>
    </row>
    <row r="48" ht="32" customHeight="1" spans="1:70">
      <c r="A48" s="208">
        <v>46</v>
      </c>
      <c r="B48" s="149" t="s">
        <v>269</v>
      </c>
      <c r="C48" s="149" t="s">
        <v>78</v>
      </c>
      <c r="D48" s="149" t="s">
        <v>270</v>
      </c>
      <c r="E48" s="212" t="s">
        <v>271</v>
      </c>
      <c r="F48" s="149" t="s">
        <v>80</v>
      </c>
      <c r="G48" s="149" t="s">
        <v>81</v>
      </c>
      <c r="H48" s="149"/>
      <c r="I48" s="149">
        <v>600</v>
      </c>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49"/>
      <c r="AK48" s="149"/>
      <c r="AL48" s="149"/>
      <c r="AM48" s="149"/>
      <c r="AN48" s="149"/>
      <c r="AO48" s="149"/>
      <c r="AP48" s="149"/>
      <c r="AR48" s="149"/>
      <c r="AS48" s="149"/>
      <c r="AT48" s="149"/>
      <c r="AU48" s="149"/>
      <c r="AV48" s="149"/>
      <c r="AW48" s="149"/>
      <c r="AX48" s="149"/>
      <c r="AY48" s="149"/>
      <c r="AZ48" s="149"/>
      <c r="BA48" s="149"/>
      <c r="BB48" s="149"/>
      <c r="BC48" s="149"/>
      <c r="BD48" s="149"/>
      <c r="BE48" s="149"/>
      <c r="BF48" s="149"/>
      <c r="BG48" s="149"/>
      <c r="BH48" s="149"/>
      <c r="BI48" s="149"/>
      <c r="BJ48" s="149"/>
      <c r="BK48" s="149"/>
      <c r="BL48" s="149"/>
      <c r="BM48" s="149"/>
      <c r="BN48" s="149"/>
      <c r="BO48" s="149"/>
      <c r="BP48" s="149"/>
      <c r="BQ48" s="149"/>
      <c r="BR48" s="149"/>
    </row>
    <row r="49" ht="32" customHeight="1" spans="1:70">
      <c r="A49" s="208">
        <v>47</v>
      </c>
      <c r="B49" s="149" t="s">
        <v>272</v>
      </c>
      <c r="C49" s="149" t="s">
        <v>78</v>
      </c>
      <c r="D49" s="149" t="s">
        <v>270</v>
      </c>
      <c r="E49" s="212" t="s">
        <v>233</v>
      </c>
      <c r="F49" s="149" t="s">
        <v>80</v>
      </c>
      <c r="G49" s="149" t="s">
        <v>81</v>
      </c>
      <c r="H49" s="149"/>
      <c r="I49" s="149"/>
      <c r="J49" s="149"/>
      <c r="K49" s="149"/>
      <c r="L49" s="149"/>
      <c r="M49" s="149"/>
      <c r="N49" s="149"/>
      <c r="O49" s="149"/>
      <c r="P49" s="149"/>
      <c r="Q49" s="149"/>
      <c r="R49" s="149"/>
      <c r="S49" s="149"/>
      <c r="T49" s="149"/>
      <c r="U49" s="149"/>
      <c r="V49" s="149"/>
      <c r="W49" s="149"/>
      <c r="X49" s="149"/>
      <c r="Y49" s="149"/>
      <c r="Z49" s="149"/>
      <c r="AA49" s="149"/>
      <c r="AB49" s="149"/>
      <c r="AC49" s="149"/>
      <c r="AD49" s="149"/>
      <c r="AE49" s="149"/>
      <c r="AF49" s="149"/>
      <c r="AG49" s="149"/>
      <c r="AH49" s="149"/>
      <c r="AI49" s="149"/>
      <c r="AJ49" s="149"/>
      <c r="AK49" s="149"/>
      <c r="AL49" s="149"/>
      <c r="AM49" s="149"/>
      <c r="AN49" s="149"/>
      <c r="AO49" s="149"/>
      <c r="AP49" s="149"/>
      <c r="AR49" s="149"/>
      <c r="AS49" s="149"/>
      <c r="AT49" s="149"/>
      <c r="AU49" s="149"/>
      <c r="AV49" s="149"/>
      <c r="AW49" s="149"/>
      <c r="AX49" s="149"/>
      <c r="AY49" s="149"/>
      <c r="AZ49" s="149"/>
      <c r="BA49" s="149"/>
      <c r="BB49" s="149"/>
      <c r="BC49" s="149"/>
      <c r="BD49" s="149"/>
      <c r="BE49" s="149"/>
      <c r="BF49" s="149"/>
      <c r="BG49" s="149"/>
      <c r="BH49" s="149"/>
      <c r="BI49" s="149"/>
      <c r="BJ49" s="149"/>
      <c r="BK49" s="149"/>
      <c r="BL49" s="149"/>
      <c r="BM49" s="149"/>
      <c r="BN49" s="149"/>
      <c r="BO49" s="149"/>
      <c r="BP49" s="149"/>
      <c r="BQ49" s="149"/>
      <c r="BR49" s="149"/>
    </row>
    <row r="50" ht="32" customHeight="1" spans="1:70">
      <c r="A50" s="208">
        <v>48</v>
      </c>
      <c r="B50" s="149" t="s">
        <v>273</v>
      </c>
      <c r="C50" s="149" t="s">
        <v>78</v>
      </c>
      <c r="D50" s="149" t="s">
        <v>274</v>
      </c>
      <c r="E50" s="212" t="s">
        <v>198</v>
      </c>
      <c r="F50" s="149" t="s">
        <v>80</v>
      </c>
      <c r="G50" s="149" t="s">
        <v>81</v>
      </c>
      <c r="H50" s="149"/>
      <c r="I50" s="149">
        <v>300</v>
      </c>
      <c r="J50" s="149"/>
      <c r="K50" s="149"/>
      <c r="L50" s="149"/>
      <c r="M50" s="149"/>
      <c r="N50" s="149"/>
      <c r="O50" s="149"/>
      <c r="P50" s="149"/>
      <c r="Q50" s="149"/>
      <c r="R50" s="149"/>
      <c r="S50" s="149"/>
      <c r="T50" s="149"/>
      <c r="U50" s="149"/>
      <c r="V50" s="149"/>
      <c r="W50" s="149"/>
      <c r="X50" s="149"/>
      <c r="Y50" s="149"/>
      <c r="Z50" s="149"/>
      <c r="AA50" s="149"/>
      <c r="AB50" s="149"/>
      <c r="AC50" s="149"/>
      <c r="AD50" s="149"/>
      <c r="AE50" s="149"/>
      <c r="AF50" s="149"/>
      <c r="AG50" s="149"/>
      <c r="AH50" s="149"/>
      <c r="AI50" s="149"/>
      <c r="AJ50" s="149"/>
      <c r="AK50" s="149"/>
      <c r="AL50" s="149"/>
      <c r="AM50" s="149"/>
      <c r="AN50" s="149"/>
      <c r="AO50" s="149"/>
      <c r="AP50" s="149"/>
      <c r="AR50" s="149"/>
      <c r="AS50" s="149"/>
      <c r="AT50" s="149"/>
      <c r="AU50" s="149"/>
      <c r="AV50" s="149"/>
      <c r="AW50" s="149"/>
      <c r="AX50" s="149"/>
      <c r="AY50" s="149"/>
      <c r="AZ50" s="149"/>
      <c r="BA50" s="149"/>
      <c r="BB50" s="149"/>
      <c r="BC50" s="149"/>
      <c r="BD50" s="149"/>
      <c r="BE50" s="149"/>
      <c r="BF50" s="149"/>
      <c r="BG50" s="149"/>
      <c r="BH50" s="149"/>
      <c r="BI50" s="149"/>
      <c r="BJ50" s="149"/>
      <c r="BK50" s="149"/>
      <c r="BL50" s="149"/>
      <c r="BM50" s="149"/>
      <c r="BN50" s="149"/>
      <c r="BO50" s="149"/>
      <c r="BP50" s="149"/>
      <c r="BQ50" s="149"/>
      <c r="BR50" s="149"/>
    </row>
    <row r="51" ht="32" customHeight="1" spans="1:70">
      <c r="A51" s="208">
        <v>49</v>
      </c>
      <c r="B51" s="149" t="s">
        <v>275</v>
      </c>
      <c r="C51" s="149" t="s">
        <v>78</v>
      </c>
      <c r="D51" s="149" t="s">
        <v>276</v>
      </c>
      <c r="E51" s="212" t="s">
        <v>205</v>
      </c>
      <c r="F51" s="149" t="s">
        <v>80</v>
      </c>
      <c r="G51" s="149" t="s">
        <v>81</v>
      </c>
      <c r="H51" s="149"/>
      <c r="I51" s="149">
        <v>300</v>
      </c>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ht="32" customHeight="1" spans="1:70">
      <c r="A52" s="208">
        <v>50</v>
      </c>
      <c r="B52" s="149" t="s">
        <v>277</v>
      </c>
      <c r="C52" s="149" t="s">
        <v>78</v>
      </c>
      <c r="D52" s="149" t="s">
        <v>278</v>
      </c>
      <c r="E52" s="212" t="s">
        <v>279</v>
      </c>
      <c r="F52" s="149" t="s">
        <v>80</v>
      </c>
      <c r="G52" s="149" t="s">
        <v>81</v>
      </c>
      <c r="H52" s="149"/>
      <c r="I52" s="149"/>
      <c r="J52" s="149"/>
      <c r="K52" s="149"/>
      <c r="L52" s="149"/>
      <c r="M52" s="149"/>
      <c r="N52" s="149"/>
      <c r="O52" s="149"/>
      <c r="P52" s="149"/>
      <c r="Q52" s="149"/>
      <c r="R52" s="149"/>
      <c r="S52" s="149"/>
      <c r="T52" s="149"/>
      <c r="U52" s="149"/>
      <c r="V52" s="149"/>
      <c r="W52" s="149"/>
      <c r="X52" s="149"/>
      <c r="Y52" s="149"/>
      <c r="Z52" s="149"/>
      <c r="AA52" s="149"/>
      <c r="AB52" s="149"/>
      <c r="AC52" s="149"/>
      <c r="AD52" s="149"/>
      <c r="AE52" s="149"/>
      <c r="AF52" s="149"/>
      <c r="AG52" s="149"/>
      <c r="AH52" s="149"/>
      <c r="AI52" s="149"/>
      <c r="AJ52" s="149"/>
      <c r="AK52" s="149"/>
      <c r="AL52" s="149"/>
      <c r="AM52" s="149"/>
      <c r="AN52" s="149"/>
      <c r="AO52" s="149"/>
      <c r="AP52" s="149"/>
      <c r="AR52" s="149"/>
      <c r="AS52" s="149"/>
      <c r="AT52" s="149"/>
      <c r="AU52" s="149"/>
      <c r="AV52" s="149"/>
      <c r="AW52" s="149"/>
      <c r="AX52" s="149"/>
      <c r="AY52" s="149"/>
      <c r="AZ52" s="149"/>
      <c r="BA52" s="149"/>
      <c r="BB52" s="149"/>
      <c r="BC52" s="149"/>
      <c r="BD52" s="149"/>
      <c r="BE52" s="149"/>
      <c r="BF52" s="149"/>
      <c r="BG52" s="149"/>
      <c r="BH52" s="149"/>
      <c r="BI52" s="149"/>
      <c r="BJ52" s="149"/>
      <c r="BK52" s="149"/>
      <c r="BL52" s="149"/>
      <c r="BM52" s="149"/>
      <c r="BN52" s="149"/>
      <c r="BO52" s="149"/>
      <c r="BP52" s="149"/>
      <c r="BQ52" s="149"/>
      <c r="BR52" s="149"/>
    </row>
    <row r="53" ht="32" customHeight="1" spans="1:70">
      <c r="A53" s="208">
        <v>51</v>
      </c>
      <c r="B53" s="149" t="s">
        <v>280</v>
      </c>
      <c r="C53" s="149" t="s">
        <v>78</v>
      </c>
      <c r="D53" s="149" t="s">
        <v>281</v>
      </c>
      <c r="E53" s="212" t="s">
        <v>282</v>
      </c>
      <c r="F53" s="149" t="s">
        <v>80</v>
      </c>
      <c r="G53" s="149" t="s">
        <v>81</v>
      </c>
      <c r="H53" s="149"/>
      <c r="I53" s="149">
        <v>400</v>
      </c>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R53" s="149"/>
      <c r="AS53" s="149"/>
      <c r="AT53" s="149"/>
      <c r="AU53" s="149"/>
      <c r="AV53" s="149"/>
      <c r="AW53" s="149"/>
      <c r="AX53" s="149"/>
      <c r="AY53" s="149"/>
      <c r="AZ53" s="149"/>
      <c r="BA53" s="149"/>
      <c r="BB53" s="149"/>
      <c r="BC53" s="149"/>
      <c r="BD53" s="149"/>
      <c r="BE53" s="149"/>
      <c r="BF53" s="149"/>
      <c r="BG53" s="149"/>
      <c r="BH53" s="149"/>
      <c r="BI53" s="149"/>
      <c r="BJ53" s="149"/>
      <c r="BK53" s="149"/>
      <c r="BL53" s="149"/>
      <c r="BM53" s="149"/>
      <c r="BN53" s="149"/>
      <c r="BO53" s="149"/>
      <c r="BP53" s="149"/>
      <c r="BQ53" s="149"/>
      <c r="BR53" s="149"/>
    </row>
    <row r="54" ht="32" customHeight="1" spans="1:70">
      <c r="A54" s="208">
        <v>52</v>
      </c>
      <c r="B54" s="149" t="s">
        <v>283</v>
      </c>
      <c r="C54" s="149" t="s">
        <v>78</v>
      </c>
      <c r="D54" s="149"/>
      <c r="E54" s="149"/>
      <c r="F54" s="149" t="s">
        <v>80</v>
      </c>
      <c r="G54" s="149" t="s">
        <v>81</v>
      </c>
      <c r="H54" s="149"/>
      <c r="I54" s="149">
        <v>600</v>
      </c>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149"/>
      <c r="AL54" s="149"/>
      <c r="AM54" s="149"/>
      <c r="AN54" s="149"/>
      <c r="AO54" s="149"/>
      <c r="AP54" s="149"/>
      <c r="AR54" s="149"/>
      <c r="AS54" s="149"/>
      <c r="AT54" s="149"/>
      <c r="AU54" s="149"/>
      <c r="AV54" s="149"/>
      <c r="AW54" s="149"/>
      <c r="AX54" s="149"/>
      <c r="AY54" s="149"/>
      <c r="AZ54" s="149"/>
      <c r="BA54" s="149"/>
      <c r="BB54" s="149"/>
      <c r="BC54" s="149"/>
      <c r="BD54" s="149"/>
      <c r="BE54" s="149"/>
      <c r="BF54" s="149"/>
      <c r="BG54" s="149"/>
      <c r="BH54" s="149"/>
      <c r="BI54" s="149"/>
      <c r="BJ54" s="149"/>
      <c r="BK54" s="149"/>
      <c r="BL54" s="149"/>
      <c r="BM54" s="149"/>
      <c r="BN54" s="149"/>
      <c r="BO54" s="149"/>
      <c r="BP54" s="149"/>
      <c r="BQ54" s="149"/>
      <c r="BR54" s="149"/>
    </row>
    <row r="55" ht="32" customHeight="1" spans="1:70">
      <c r="A55" s="208">
        <v>53</v>
      </c>
      <c r="B55" s="149" t="s">
        <v>284</v>
      </c>
      <c r="C55" s="149" t="s">
        <v>78</v>
      </c>
      <c r="D55" s="149" t="s">
        <v>285</v>
      </c>
      <c r="E55" s="212" t="s">
        <v>210</v>
      </c>
      <c r="F55" s="149" t="s">
        <v>80</v>
      </c>
      <c r="G55" s="149" t="s">
        <v>81</v>
      </c>
      <c r="H55" s="149"/>
      <c r="I55" s="149">
        <v>360</v>
      </c>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R55" s="149"/>
      <c r="AS55" s="149"/>
      <c r="AT55" s="149"/>
      <c r="AU55" s="149"/>
      <c r="AV55" s="149"/>
      <c r="AW55" s="149"/>
      <c r="AX55" s="149"/>
      <c r="AY55" s="149"/>
      <c r="AZ55" s="149"/>
      <c r="BA55" s="149"/>
      <c r="BB55" s="149"/>
      <c r="BC55" s="149"/>
      <c r="BD55" s="149"/>
      <c r="BE55" s="149"/>
      <c r="BF55" s="149"/>
      <c r="BG55" s="149"/>
      <c r="BH55" s="149"/>
      <c r="BI55" s="149"/>
      <c r="BJ55" s="149"/>
      <c r="BK55" s="149"/>
      <c r="BL55" s="149"/>
      <c r="BM55" s="149"/>
      <c r="BN55" s="149"/>
      <c r="BO55" s="149"/>
      <c r="BP55" s="149"/>
      <c r="BQ55" s="149"/>
      <c r="BR55" s="149"/>
    </row>
    <row r="56" ht="32" customHeight="1" spans="1:70">
      <c r="A56" s="208">
        <v>54</v>
      </c>
      <c r="B56" s="149" t="s">
        <v>286</v>
      </c>
      <c r="C56" s="149" t="s">
        <v>78</v>
      </c>
      <c r="D56" s="149" t="s">
        <v>287</v>
      </c>
      <c r="E56" s="212" t="s">
        <v>245</v>
      </c>
      <c r="F56" s="149" t="s">
        <v>80</v>
      </c>
      <c r="G56" s="149" t="s">
        <v>81</v>
      </c>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R56" s="149"/>
      <c r="AS56" s="149"/>
      <c r="AT56" s="149"/>
      <c r="AU56" s="149"/>
      <c r="AV56" s="149"/>
      <c r="AW56" s="149"/>
      <c r="AX56" s="149"/>
      <c r="AY56" s="149"/>
      <c r="AZ56" s="149"/>
      <c r="BA56" s="149"/>
      <c r="BB56" s="149"/>
      <c r="BC56" s="149"/>
      <c r="BD56" s="149"/>
      <c r="BE56" s="149"/>
      <c r="BF56" s="149"/>
      <c r="BG56" s="149"/>
      <c r="BH56" s="149"/>
      <c r="BI56" s="149"/>
      <c r="BJ56" s="149"/>
      <c r="BK56" s="149"/>
      <c r="BL56" s="149"/>
      <c r="BM56" s="149"/>
      <c r="BN56" s="149"/>
      <c r="BO56" s="149"/>
      <c r="BP56" s="149"/>
      <c r="BQ56" s="149"/>
      <c r="BR56" s="149"/>
    </row>
    <row r="57" ht="32" customHeight="1" spans="1:70">
      <c r="A57" s="208">
        <v>55</v>
      </c>
      <c r="B57" s="149" t="s">
        <v>288</v>
      </c>
      <c r="C57" s="149" t="s">
        <v>78</v>
      </c>
      <c r="D57" s="149" t="s">
        <v>289</v>
      </c>
      <c r="E57" s="212" t="s">
        <v>290</v>
      </c>
      <c r="F57" s="149" t="s">
        <v>291</v>
      </c>
      <c r="G57" s="149" t="s">
        <v>292</v>
      </c>
      <c r="H57" s="149"/>
      <c r="I57" s="149"/>
      <c r="J57" s="149" t="s">
        <v>293</v>
      </c>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R57" s="149"/>
      <c r="AS57" s="149"/>
      <c r="AT57" s="149"/>
      <c r="AU57" s="149"/>
      <c r="AV57" s="149"/>
      <c r="AW57" s="149"/>
      <c r="AX57" s="149"/>
      <c r="AY57" s="149"/>
      <c r="AZ57" s="149"/>
      <c r="BA57" s="149"/>
      <c r="BB57" s="149"/>
      <c r="BC57" s="149"/>
      <c r="BD57" s="149"/>
      <c r="BE57" s="149"/>
      <c r="BF57" s="149"/>
      <c r="BG57" s="149"/>
      <c r="BH57" s="149"/>
      <c r="BI57" s="149"/>
      <c r="BJ57" s="149"/>
      <c r="BK57" s="149"/>
      <c r="BL57" s="149"/>
      <c r="BM57" s="149"/>
      <c r="BN57" s="149"/>
      <c r="BO57" s="149"/>
      <c r="BP57" s="149"/>
      <c r="BQ57" s="149"/>
      <c r="BR57" s="149"/>
    </row>
    <row r="58" ht="32" customHeight="1" spans="1:70">
      <c r="A58" s="208">
        <v>56</v>
      </c>
      <c r="B58" s="213" t="s">
        <v>294</v>
      </c>
      <c r="C58" s="149" t="s">
        <v>78</v>
      </c>
      <c r="D58" s="149" t="s">
        <v>295</v>
      </c>
      <c r="E58" s="212" t="s">
        <v>249</v>
      </c>
      <c r="F58" s="149" t="s">
        <v>80</v>
      </c>
      <c r="G58" s="149" t="s">
        <v>296</v>
      </c>
      <c r="H58" s="149"/>
      <c r="I58" s="149"/>
      <c r="J58" s="214" t="s">
        <v>297</v>
      </c>
      <c r="K58" s="215"/>
      <c r="L58" s="215"/>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49"/>
      <c r="AK58" s="149"/>
      <c r="AL58" s="149"/>
      <c r="AM58" s="149"/>
      <c r="AN58" s="149"/>
      <c r="AO58" s="149"/>
      <c r="AP58" s="149"/>
      <c r="AR58" s="149"/>
      <c r="AS58" s="149"/>
      <c r="AT58" s="149"/>
      <c r="AU58" s="149"/>
      <c r="AV58" s="149"/>
      <c r="AW58" s="149"/>
      <c r="AX58" s="149"/>
      <c r="AY58" s="149"/>
      <c r="AZ58" s="149"/>
      <c r="BA58" s="149"/>
      <c r="BB58" s="149"/>
      <c r="BC58" s="149"/>
      <c r="BD58" s="149"/>
      <c r="BE58" s="149"/>
      <c r="BF58" s="149"/>
      <c r="BG58" s="149"/>
      <c r="BH58" s="149"/>
      <c r="BI58" s="149"/>
      <c r="BJ58" s="149"/>
      <c r="BK58" s="149"/>
      <c r="BL58" s="149"/>
      <c r="BM58" s="149"/>
      <c r="BN58" s="149"/>
      <c r="BO58" s="149"/>
      <c r="BP58" s="149"/>
      <c r="BQ58" s="149"/>
      <c r="BR58" s="149"/>
    </row>
    <row r="59" ht="32" customHeight="1" spans="1:70">
      <c r="A59" s="208">
        <v>57</v>
      </c>
      <c r="B59" s="149" t="s">
        <v>298</v>
      </c>
      <c r="C59" s="149" t="s">
        <v>78</v>
      </c>
      <c r="D59" s="149" t="s">
        <v>299</v>
      </c>
      <c r="E59" s="212" t="s">
        <v>300</v>
      </c>
      <c r="F59" s="149" t="s">
        <v>156</v>
      </c>
      <c r="G59" s="149" t="s">
        <v>301</v>
      </c>
      <c r="H59" s="149"/>
      <c r="I59" s="149"/>
      <c r="J59" s="214" t="s">
        <v>302</v>
      </c>
      <c r="K59" s="215"/>
      <c r="L59" s="215"/>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49"/>
      <c r="AK59" s="149"/>
      <c r="AL59" s="149"/>
      <c r="AM59" s="149"/>
      <c r="AN59" s="149"/>
      <c r="AO59" s="149"/>
      <c r="AP59" s="149"/>
      <c r="AR59" s="149"/>
      <c r="AS59" s="149"/>
      <c r="AT59" s="149"/>
      <c r="AU59" s="149"/>
      <c r="AV59" s="149"/>
      <c r="AW59" s="149"/>
      <c r="AX59" s="149"/>
      <c r="AY59" s="149"/>
      <c r="AZ59" s="149"/>
      <c r="BA59" s="149"/>
      <c r="BB59" s="149"/>
      <c r="BC59" s="149"/>
      <c r="BD59" s="149"/>
      <c r="BE59" s="149"/>
      <c r="BF59" s="149"/>
      <c r="BG59" s="149"/>
      <c r="BH59" s="149"/>
      <c r="BI59" s="149"/>
      <c r="BJ59" s="149"/>
      <c r="BK59" s="149"/>
      <c r="BL59" s="149"/>
      <c r="BM59" s="149"/>
      <c r="BN59" s="149"/>
      <c r="BO59" s="149"/>
      <c r="BP59" s="149"/>
      <c r="BQ59" s="149"/>
      <c r="BR59" s="149"/>
    </row>
    <row r="60" ht="32" customHeight="1" spans="1:70">
      <c r="A60" s="208">
        <v>58</v>
      </c>
      <c r="B60" s="213" t="s">
        <v>303</v>
      </c>
      <c r="C60" s="149" t="s">
        <v>78</v>
      </c>
      <c r="D60" s="149" t="s">
        <v>304</v>
      </c>
      <c r="E60" s="212" t="s">
        <v>175</v>
      </c>
      <c r="F60" s="149" t="s">
        <v>156</v>
      </c>
      <c r="G60" s="149" t="s">
        <v>305</v>
      </c>
      <c r="H60" s="149"/>
      <c r="I60" s="149"/>
      <c r="J60" s="214" t="s">
        <v>306</v>
      </c>
      <c r="K60" s="149"/>
      <c r="L60" s="149"/>
      <c r="M60" s="149"/>
      <c r="N60" s="149"/>
      <c r="O60" s="149"/>
      <c r="P60" s="149"/>
      <c r="Q60" s="149"/>
      <c r="R60" s="149"/>
      <c r="S60" s="149"/>
      <c r="T60" s="149"/>
      <c r="U60" s="149"/>
      <c r="V60" s="149"/>
      <c r="W60" s="149"/>
      <c r="X60" s="149"/>
      <c r="Y60" s="149"/>
      <c r="Z60" s="149"/>
      <c r="AA60" s="149"/>
      <c r="AB60" s="149"/>
      <c r="AC60" s="149"/>
      <c r="AD60" s="149"/>
      <c r="AE60" s="149"/>
      <c r="AF60" s="149"/>
      <c r="AG60" s="149"/>
      <c r="AH60" s="149"/>
      <c r="AI60" s="149"/>
      <c r="AJ60" s="149"/>
      <c r="AK60" s="149"/>
      <c r="AL60" s="149"/>
      <c r="AM60" s="149"/>
      <c r="AN60" s="149"/>
      <c r="AO60" s="149"/>
      <c r="AP60" s="149"/>
      <c r="AR60" s="149"/>
      <c r="AS60" s="149"/>
      <c r="AT60" s="149"/>
      <c r="AU60" s="149"/>
      <c r="AV60" s="149"/>
      <c r="AW60" s="149"/>
      <c r="AX60" s="149"/>
      <c r="AY60" s="149"/>
      <c r="AZ60" s="149"/>
      <c r="BA60" s="149"/>
      <c r="BB60" s="149"/>
      <c r="BC60" s="149"/>
      <c r="BD60" s="149"/>
      <c r="BE60" s="149"/>
      <c r="BF60" s="149"/>
      <c r="BG60" s="149"/>
      <c r="BH60" s="149"/>
      <c r="BI60" s="149"/>
      <c r="BJ60" s="149"/>
      <c r="BK60" s="149"/>
      <c r="BL60" s="149"/>
      <c r="BM60" s="149"/>
      <c r="BN60" s="149"/>
      <c r="BO60" s="149"/>
      <c r="BP60" s="149"/>
      <c r="BQ60" s="149"/>
      <c r="BR60" s="149"/>
    </row>
    <row r="61" ht="32" customHeight="1" spans="1:70">
      <c r="A61" s="208">
        <v>59</v>
      </c>
      <c r="B61" s="149" t="s">
        <v>307</v>
      </c>
      <c r="C61" s="149" t="s">
        <v>78</v>
      </c>
      <c r="D61" s="149" t="s">
        <v>308</v>
      </c>
      <c r="E61" s="212" t="s">
        <v>309</v>
      </c>
      <c r="F61" s="149" t="s">
        <v>310</v>
      </c>
      <c r="G61" s="149" t="s">
        <v>311</v>
      </c>
      <c r="H61" s="149"/>
      <c r="I61" s="149"/>
      <c r="J61" s="214" t="s">
        <v>312</v>
      </c>
      <c r="K61" s="149"/>
      <c r="L61" s="149"/>
      <c r="M61" s="149"/>
      <c r="N61" s="149"/>
      <c r="O61" s="149"/>
      <c r="P61" s="149"/>
      <c r="Q61" s="149"/>
      <c r="R61" s="149"/>
      <c r="S61" s="149"/>
      <c r="T61" s="149"/>
      <c r="U61" s="149"/>
      <c r="V61" s="149"/>
      <c r="W61" s="149"/>
      <c r="X61" s="149"/>
      <c r="Y61" s="149"/>
      <c r="Z61" s="149"/>
      <c r="AA61" s="149"/>
      <c r="AB61" s="149"/>
      <c r="AC61" s="149"/>
      <c r="AD61" s="149"/>
      <c r="AE61" s="149"/>
      <c r="AF61" s="149"/>
      <c r="AG61" s="149"/>
      <c r="AH61" s="149"/>
      <c r="AI61" s="149"/>
      <c r="AJ61" s="149"/>
      <c r="AK61" s="149"/>
      <c r="AL61" s="149"/>
      <c r="AM61" s="149"/>
      <c r="AN61" s="149"/>
      <c r="AO61" s="149"/>
      <c r="AP61" s="149"/>
      <c r="AR61" s="149"/>
      <c r="AS61" s="149"/>
      <c r="AT61" s="149"/>
      <c r="AU61" s="149"/>
      <c r="AV61" s="149"/>
      <c r="AW61" s="149"/>
      <c r="AX61" s="149"/>
      <c r="AY61" s="149"/>
      <c r="AZ61" s="149"/>
      <c r="BA61" s="149"/>
      <c r="BB61" s="149"/>
      <c r="BC61" s="149"/>
      <c r="BD61" s="149"/>
      <c r="BE61" s="149"/>
      <c r="BF61" s="149"/>
      <c r="BG61" s="149"/>
      <c r="BH61" s="149"/>
      <c r="BI61" s="149"/>
      <c r="BJ61" s="149"/>
      <c r="BK61" s="149"/>
      <c r="BL61" s="149"/>
      <c r="BM61" s="149"/>
      <c r="BN61" s="149"/>
      <c r="BO61" s="149"/>
      <c r="BP61" s="149"/>
      <c r="BQ61" s="149"/>
      <c r="BR61" s="149"/>
    </row>
    <row r="62" ht="32" customHeight="1" spans="1:70">
      <c r="A62" s="208">
        <v>60</v>
      </c>
      <c r="B62" s="149" t="s">
        <v>313</v>
      </c>
      <c r="C62" s="149" t="s">
        <v>78</v>
      </c>
      <c r="D62" s="149" t="s">
        <v>314</v>
      </c>
      <c r="E62" s="212" t="s">
        <v>223</v>
      </c>
      <c r="F62" s="149" t="s">
        <v>80</v>
      </c>
      <c r="G62" s="149" t="s">
        <v>315</v>
      </c>
      <c r="H62" s="149"/>
      <c r="I62" s="149">
        <v>2000</v>
      </c>
      <c r="J62" s="214" t="s">
        <v>316</v>
      </c>
      <c r="K62" s="149"/>
      <c r="L62" s="149"/>
      <c r="M62" s="149"/>
      <c r="N62" s="149"/>
      <c r="O62" s="149"/>
      <c r="P62" s="149"/>
      <c r="Q62" s="149"/>
      <c r="R62" s="149"/>
      <c r="S62" s="149"/>
      <c r="T62" s="149"/>
      <c r="U62" s="149"/>
      <c r="V62" s="149"/>
      <c r="W62" s="149"/>
      <c r="X62" s="149"/>
      <c r="Y62" s="149"/>
      <c r="Z62" s="149"/>
      <c r="AA62" s="149"/>
      <c r="AB62" s="149"/>
      <c r="AC62" s="149"/>
      <c r="AD62" s="149"/>
      <c r="AE62" s="149"/>
      <c r="AF62" s="149"/>
      <c r="AG62" s="149"/>
      <c r="AH62" s="149"/>
      <c r="AI62" s="149"/>
      <c r="AJ62" s="149"/>
      <c r="AK62" s="149"/>
      <c r="AL62" s="149"/>
      <c r="AM62" s="149"/>
      <c r="AN62" s="149"/>
      <c r="AO62" s="149"/>
      <c r="AP62" s="149"/>
      <c r="AR62" s="149"/>
      <c r="AS62" s="149"/>
      <c r="AT62" s="149"/>
      <c r="AU62" s="149"/>
      <c r="AV62" s="149"/>
      <c r="AW62" s="149"/>
      <c r="AX62" s="149"/>
      <c r="AY62" s="149"/>
      <c r="AZ62" s="149"/>
      <c r="BA62" s="149"/>
      <c r="BB62" s="149"/>
      <c r="BC62" s="149"/>
      <c r="BD62" s="149"/>
      <c r="BE62" s="149"/>
      <c r="BF62" s="149"/>
      <c r="BG62" s="149"/>
      <c r="BH62" s="149"/>
      <c r="BI62" s="149"/>
      <c r="BJ62" s="149"/>
      <c r="BK62" s="149"/>
      <c r="BL62" s="149"/>
      <c r="BM62" s="149"/>
      <c r="BN62" s="149"/>
      <c r="BO62" s="149"/>
      <c r="BP62" s="149"/>
      <c r="BQ62" s="149"/>
      <c r="BR62" s="149"/>
    </row>
    <row r="63" ht="32" customHeight="1" spans="1:70">
      <c r="A63" s="208">
        <v>61</v>
      </c>
      <c r="B63" s="149" t="s">
        <v>317</v>
      </c>
      <c r="C63" s="149" t="s">
        <v>78</v>
      </c>
      <c r="D63" s="149" t="s">
        <v>318</v>
      </c>
      <c r="E63" s="212" t="s">
        <v>319</v>
      </c>
      <c r="F63" s="149" t="s">
        <v>156</v>
      </c>
      <c r="G63" s="149" t="s">
        <v>320</v>
      </c>
      <c r="H63" s="149"/>
      <c r="I63" s="149"/>
      <c r="J63" s="149"/>
      <c r="K63" s="149"/>
      <c r="L63" s="149"/>
      <c r="M63" s="149"/>
      <c r="N63" s="149"/>
      <c r="O63" s="149"/>
      <c r="P63" s="149"/>
      <c r="Q63" s="149"/>
      <c r="R63" s="149"/>
      <c r="S63" s="149"/>
      <c r="T63" s="149"/>
      <c r="U63" s="149"/>
      <c r="V63" s="149"/>
      <c r="W63" s="149"/>
      <c r="X63" s="149"/>
      <c r="Y63" s="149"/>
      <c r="Z63" s="149"/>
      <c r="AA63" s="149"/>
      <c r="AB63" s="149"/>
      <c r="AC63" s="149"/>
      <c r="AD63" s="149"/>
      <c r="AE63" s="149"/>
      <c r="AF63" s="149"/>
      <c r="AG63" s="149"/>
      <c r="AH63" s="149"/>
      <c r="AI63" s="149"/>
      <c r="AJ63" s="149"/>
      <c r="AK63" s="149"/>
      <c r="AL63" s="149"/>
      <c r="AM63" s="149"/>
      <c r="AN63" s="149"/>
      <c r="AO63" s="149"/>
      <c r="AP63" s="149"/>
      <c r="AR63" s="149"/>
      <c r="AS63" s="149"/>
      <c r="AT63" s="149"/>
      <c r="AU63" s="149"/>
      <c r="AV63" s="149"/>
      <c r="AW63" s="149"/>
      <c r="AX63" s="149"/>
      <c r="AY63" s="149"/>
      <c r="AZ63" s="149"/>
      <c r="BA63" s="149"/>
      <c r="BB63" s="149"/>
      <c r="BC63" s="149"/>
      <c r="BD63" s="149"/>
      <c r="BE63" s="149"/>
      <c r="BF63" s="149"/>
      <c r="BG63" s="149"/>
      <c r="BH63" s="149"/>
      <c r="BI63" s="149"/>
      <c r="BJ63" s="149"/>
      <c r="BK63" s="149"/>
      <c r="BL63" s="149"/>
      <c r="BM63" s="149"/>
      <c r="BN63" s="149"/>
      <c r="BO63" s="149"/>
      <c r="BP63" s="149"/>
      <c r="BQ63" s="149"/>
      <c r="BR63" s="149"/>
    </row>
    <row r="64" ht="32" customHeight="1" spans="1:70">
      <c r="A64" s="208">
        <v>62</v>
      </c>
      <c r="B64" s="149" t="s">
        <v>321</v>
      </c>
      <c r="C64" s="149" t="s">
        <v>78</v>
      </c>
      <c r="D64" s="149" t="s">
        <v>322</v>
      </c>
      <c r="E64" s="212" t="s">
        <v>323</v>
      </c>
      <c r="F64" s="149" t="s">
        <v>156</v>
      </c>
      <c r="G64" s="149" t="s">
        <v>324</v>
      </c>
      <c r="H64" s="149"/>
      <c r="I64" s="149"/>
      <c r="J64" s="149" t="s">
        <v>325</v>
      </c>
      <c r="K64" s="149"/>
      <c r="L64" s="149"/>
      <c r="M64" s="149"/>
      <c r="N64" s="149"/>
      <c r="O64" s="149"/>
      <c r="P64" s="149"/>
      <c r="Q64" s="149"/>
      <c r="R64" s="149"/>
      <c r="S64" s="149"/>
      <c r="T64" s="149"/>
      <c r="U64" s="149"/>
      <c r="V64" s="149"/>
      <c r="W64" s="149"/>
      <c r="X64" s="149"/>
      <c r="Y64" s="149"/>
      <c r="Z64" s="149"/>
      <c r="AA64" s="149"/>
      <c r="AB64" s="149"/>
      <c r="AC64" s="149"/>
      <c r="AD64" s="149"/>
      <c r="AE64" s="149"/>
      <c r="AF64" s="149"/>
      <c r="AG64" s="149"/>
      <c r="AH64" s="149"/>
      <c r="AI64" s="149"/>
      <c r="AJ64" s="149"/>
      <c r="AK64" s="149"/>
      <c r="AL64" s="149"/>
      <c r="AM64" s="149"/>
      <c r="AN64" s="149"/>
      <c r="AO64" s="149"/>
      <c r="AP64" s="149"/>
      <c r="AR64" s="149"/>
      <c r="AS64" s="149"/>
      <c r="AT64" s="149"/>
      <c r="AU64" s="149"/>
      <c r="AV64" s="149"/>
      <c r="AW64" s="149"/>
      <c r="AX64" s="149"/>
      <c r="AY64" s="149"/>
      <c r="AZ64" s="149"/>
      <c r="BA64" s="149"/>
      <c r="BB64" s="149"/>
      <c r="BC64" s="149"/>
      <c r="BD64" s="149"/>
      <c r="BE64" s="149"/>
      <c r="BF64" s="149"/>
      <c r="BG64" s="149"/>
      <c r="BH64" s="149"/>
      <c r="BI64" s="149"/>
      <c r="BJ64" s="149"/>
      <c r="BK64" s="149"/>
      <c r="BL64" s="149"/>
      <c r="BM64" s="149"/>
      <c r="BN64" s="149"/>
      <c r="BO64" s="149"/>
      <c r="BP64" s="149"/>
      <c r="BQ64" s="149"/>
      <c r="BR64" s="149"/>
    </row>
    <row r="65" ht="32" customHeight="1" spans="1:70">
      <c r="A65" s="208">
        <v>63</v>
      </c>
      <c r="B65" s="149" t="s">
        <v>326</v>
      </c>
      <c r="C65" s="149" t="s">
        <v>78</v>
      </c>
      <c r="D65" s="149" t="s">
        <v>327</v>
      </c>
      <c r="E65" s="212" t="s">
        <v>319</v>
      </c>
      <c r="F65" s="149" t="s">
        <v>156</v>
      </c>
      <c r="G65" s="149" t="s">
        <v>328</v>
      </c>
      <c r="H65" s="149"/>
      <c r="I65" s="149"/>
      <c r="J65" s="149" t="s">
        <v>329</v>
      </c>
      <c r="K65" s="149"/>
      <c r="L65" s="149"/>
      <c r="M65" s="149"/>
      <c r="N65" s="149"/>
      <c r="O65" s="149"/>
      <c r="P65" s="149"/>
      <c r="Q65" s="14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R65" s="149"/>
      <c r="AS65" s="149"/>
      <c r="AT65" s="149"/>
      <c r="AU65" s="149"/>
      <c r="AV65" s="149"/>
      <c r="AW65" s="149"/>
      <c r="AX65" s="149"/>
      <c r="AY65" s="149"/>
      <c r="AZ65" s="149"/>
      <c r="BA65" s="149"/>
      <c r="BB65" s="149"/>
      <c r="BC65" s="149"/>
      <c r="BD65" s="149"/>
      <c r="BE65" s="149"/>
      <c r="BF65" s="149"/>
      <c r="BG65" s="149"/>
      <c r="BH65" s="149"/>
      <c r="BI65" s="149"/>
      <c r="BJ65" s="149"/>
      <c r="BK65" s="149"/>
      <c r="BL65" s="149"/>
      <c r="BM65" s="149"/>
      <c r="BN65" s="149"/>
      <c r="BO65" s="149"/>
      <c r="BP65" s="149"/>
      <c r="BQ65" s="149"/>
      <c r="BR65" s="149"/>
    </row>
    <row r="66" ht="32" customHeight="1" spans="1:70">
      <c r="A66" s="208">
        <v>64</v>
      </c>
      <c r="B66" s="149" t="s">
        <v>330</v>
      </c>
      <c r="C66" s="149" t="s">
        <v>78</v>
      </c>
      <c r="D66" s="149" t="s">
        <v>331</v>
      </c>
      <c r="E66" s="212" t="s">
        <v>175</v>
      </c>
      <c r="F66" s="149" t="s">
        <v>156</v>
      </c>
      <c r="G66" s="149" t="s">
        <v>332</v>
      </c>
      <c r="H66" s="149"/>
      <c r="I66" s="149"/>
      <c r="J66" s="149" t="s">
        <v>333</v>
      </c>
      <c r="K66" s="149"/>
      <c r="L66" s="149"/>
      <c r="M66" s="149"/>
      <c r="N66" s="149"/>
      <c r="O66" s="149"/>
      <c r="P66" s="149"/>
      <c r="Q66" s="14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R66" s="149"/>
      <c r="AS66" s="149"/>
      <c r="AT66" s="149"/>
      <c r="AU66" s="149"/>
      <c r="AV66" s="149"/>
      <c r="AW66" s="149"/>
      <c r="AX66" s="149"/>
      <c r="AY66" s="149"/>
      <c r="AZ66" s="149"/>
      <c r="BA66" s="149"/>
      <c r="BB66" s="149"/>
      <c r="BC66" s="149"/>
      <c r="BD66" s="149"/>
      <c r="BE66" s="149"/>
      <c r="BF66" s="149"/>
      <c r="BG66" s="149"/>
      <c r="BH66" s="149"/>
      <c r="BI66" s="149"/>
      <c r="BJ66" s="149"/>
      <c r="BK66" s="149"/>
      <c r="BL66" s="149"/>
      <c r="BM66" s="149"/>
      <c r="BN66" s="149"/>
      <c r="BO66" s="149"/>
      <c r="BP66" s="149"/>
      <c r="BQ66" s="149"/>
      <c r="BR66" s="149"/>
    </row>
    <row r="67" ht="32" customHeight="1" spans="1:70">
      <c r="A67" s="208">
        <v>65</v>
      </c>
      <c r="B67" s="149" t="s">
        <v>334</v>
      </c>
      <c r="C67" s="149" t="s">
        <v>78</v>
      </c>
      <c r="D67" s="149" t="s">
        <v>335</v>
      </c>
      <c r="E67" s="212" t="s">
        <v>198</v>
      </c>
      <c r="F67" s="149" t="s">
        <v>156</v>
      </c>
      <c r="G67" s="149" t="s">
        <v>336</v>
      </c>
      <c r="H67" s="149"/>
      <c r="I67" s="149"/>
      <c r="J67" s="149" t="s">
        <v>337</v>
      </c>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ht="32" customHeight="1" spans="1:70">
      <c r="A68" s="208">
        <v>66</v>
      </c>
      <c r="B68" s="149" t="s">
        <v>338</v>
      </c>
      <c r="C68" s="149" t="s">
        <v>78</v>
      </c>
      <c r="D68" s="149" t="s">
        <v>339</v>
      </c>
      <c r="E68" s="212" t="s">
        <v>319</v>
      </c>
      <c r="F68" s="149" t="s">
        <v>156</v>
      </c>
      <c r="G68" s="149" t="s">
        <v>340</v>
      </c>
      <c r="H68" s="149"/>
      <c r="I68" s="149"/>
      <c r="J68" s="149" t="s">
        <v>341</v>
      </c>
      <c r="K68" s="149"/>
      <c r="L68" s="149"/>
      <c r="M68" s="149"/>
      <c r="N68" s="149"/>
      <c r="O68" s="149"/>
      <c r="P68" s="149"/>
      <c r="Q68" s="14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R68" s="149"/>
      <c r="AS68" s="149"/>
      <c r="AT68" s="149"/>
      <c r="AU68" s="149"/>
      <c r="AV68" s="149"/>
      <c r="AW68" s="149"/>
      <c r="AX68" s="149"/>
      <c r="AY68" s="149"/>
      <c r="AZ68" s="149"/>
      <c r="BA68" s="149"/>
      <c r="BB68" s="149"/>
      <c r="BC68" s="149"/>
      <c r="BD68" s="149"/>
      <c r="BE68" s="149"/>
      <c r="BF68" s="149"/>
      <c r="BG68" s="149"/>
      <c r="BH68" s="149"/>
      <c r="BI68" s="149"/>
      <c r="BJ68" s="149"/>
      <c r="BK68" s="149"/>
      <c r="BL68" s="149"/>
      <c r="BM68" s="149"/>
      <c r="BN68" s="149"/>
      <c r="BO68" s="149"/>
      <c r="BP68" s="149"/>
      <c r="BQ68" s="149"/>
      <c r="BR68" s="149"/>
    </row>
    <row r="69" ht="32" customHeight="1" spans="1:70">
      <c r="A69" s="208">
        <v>67</v>
      </c>
      <c r="B69" s="149" t="s">
        <v>342</v>
      </c>
      <c r="C69" s="149" t="s">
        <v>78</v>
      </c>
      <c r="D69" s="149" t="s">
        <v>343</v>
      </c>
      <c r="E69" s="212" t="s">
        <v>344</v>
      </c>
      <c r="F69" s="149" t="s">
        <v>156</v>
      </c>
      <c r="G69" s="149" t="s">
        <v>301</v>
      </c>
      <c r="H69" s="149"/>
      <c r="I69" s="149"/>
      <c r="J69" s="149" t="s">
        <v>345</v>
      </c>
      <c r="K69" s="149"/>
      <c r="L69" s="149"/>
      <c r="M69" s="149"/>
      <c r="N69" s="149"/>
      <c r="O69" s="149"/>
      <c r="P69" s="149"/>
      <c r="Q69" s="14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R69" s="149"/>
      <c r="AS69" s="149"/>
      <c r="AT69" s="149"/>
      <c r="AU69" s="149"/>
      <c r="AV69" s="149"/>
      <c r="AW69" s="149"/>
      <c r="AX69" s="149"/>
      <c r="AY69" s="149"/>
      <c r="AZ69" s="149"/>
      <c r="BA69" s="149"/>
      <c r="BB69" s="149"/>
      <c r="BC69" s="149"/>
      <c r="BD69" s="149"/>
      <c r="BE69" s="149"/>
      <c r="BF69" s="149"/>
      <c r="BG69" s="149"/>
      <c r="BH69" s="149"/>
      <c r="BI69" s="149"/>
      <c r="BJ69" s="149"/>
      <c r="BK69" s="149"/>
      <c r="BL69" s="149"/>
      <c r="BM69" s="149"/>
      <c r="BN69" s="149"/>
      <c r="BO69" s="149"/>
      <c r="BP69" s="149"/>
      <c r="BQ69" s="149"/>
      <c r="BR69" s="149"/>
    </row>
    <row r="70" ht="32" customHeight="1" spans="1:70">
      <c r="A70" s="208">
        <v>68</v>
      </c>
      <c r="B70" s="149" t="s">
        <v>346</v>
      </c>
      <c r="C70" s="149" t="s">
        <v>78</v>
      </c>
      <c r="D70" s="149" t="s">
        <v>347</v>
      </c>
      <c r="E70" s="212" t="s">
        <v>348</v>
      </c>
      <c r="F70" s="149" t="s">
        <v>156</v>
      </c>
      <c r="G70" s="149" t="s">
        <v>349</v>
      </c>
      <c r="H70" s="208"/>
      <c r="I70" s="149"/>
      <c r="J70" s="149" t="s">
        <v>350</v>
      </c>
      <c r="K70" s="149">
        <v>18963256427</v>
      </c>
      <c r="L70" s="149"/>
      <c r="M70" s="149"/>
      <c r="N70" s="149"/>
      <c r="O70" s="149"/>
      <c r="P70" s="149"/>
      <c r="Q70" s="14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R70" s="149"/>
      <c r="AS70" s="149"/>
      <c r="AT70" s="149"/>
      <c r="AU70" s="149"/>
      <c r="AV70" s="149"/>
      <c r="AW70" s="149"/>
      <c r="AX70" s="149"/>
      <c r="AY70" s="149"/>
      <c r="AZ70" s="149"/>
      <c r="BA70" s="149"/>
      <c r="BB70" s="149"/>
      <c r="BC70" s="149"/>
      <c r="BD70" s="149"/>
      <c r="BE70" s="149"/>
      <c r="BF70" s="149"/>
      <c r="BG70" s="149"/>
      <c r="BH70" s="149"/>
      <c r="BI70" s="149"/>
      <c r="BJ70" s="149"/>
      <c r="BK70" s="149"/>
      <c r="BL70" s="149"/>
      <c r="BM70" s="149"/>
      <c r="BN70" s="149"/>
      <c r="BO70" s="149"/>
      <c r="BP70" s="149" t="s">
        <v>351</v>
      </c>
      <c r="BQ70" s="149"/>
      <c r="BR70" s="149"/>
    </row>
    <row r="71" ht="32" customHeight="1" spans="1:70">
      <c r="A71" s="208">
        <v>69</v>
      </c>
      <c r="B71" s="149" t="s">
        <v>352</v>
      </c>
      <c r="C71" s="149" t="s">
        <v>78</v>
      </c>
      <c r="D71" s="149" t="s">
        <v>353</v>
      </c>
      <c r="E71" s="212" t="s">
        <v>192</v>
      </c>
      <c r="F71" s="149" t="s">
        <v>156</v>
      </c>
      <c r="G71" s="149" t="s">
        <v>354</v>
      </c>
      <c r="H71" s="208"/>
      <c r="I71" s="149"/>
      <c r="J71" s="149" t="s">
        <v>355</v>
      </c>
      <c r="K71" s="149">
        <v>13585321431</v>
      </c>
      <c r="L71" s="149"/>
      <c r="M71" s="149"/>
      <c r="N71" s="149"/>
      <c r="O71" s="149"/>
      <c r="P71" s="149"/>
      <c r="Q71" s="14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R71" s="149"/>
      <c r="AS71" s="149"/>
      <c r="AT71" s="149"/>
      <c r="AU71" s="149"/>
      <c r="AV71" s="149"/>
      <c r="AW71" s="149"/>
      <c r="AX71" s="149"/>
      <c r="AY71" s="149"/>
      <c r="AZ71" s="149"/>
      <c r="BA71" s="149"/>
      <c r="BB71" s="149"/>
      <c r="BC71" s="149"/>
      <c r="BD71" s="149"/>
      <c r="BE71" s="149"/>
      <c r="BF71" s="149"/>
      <c r="BG71" s="149"/>
      <c r="BH71" s="149"/>
      <c r="BI71" s="149"/>
      <c r="BJ71" s="149"/>
      <c r="BK71" s="149"/>
      <c r="BL71" s="149"/>
      <c r="BM71" s="149"/>
      <c r="BN71" s="149"/>
      <c r="BO71" s="149"/>
      <c r="BP71" s="149" t="s">
        <v>356</v>
      </c>
      <c r="BQ71" s="149"/>
      <c r="BR71" s="149"/>
    </row>
    <row r="72" ht="32" customHeight="1" spans="1:70">
      <c r="A72" s="189">
        <v>70</v>
      </c>
      <c r="B72" s="216" t="s">
        <v>357</v>
      </c>
      <c r="C72" s="207" t="s">
        <v>78</v>
      </c>
      <c r="D72" s="216" t="s">
        <v>358</v>
      </c>
      <c r="E72" s="217" t="s">
        <v>359</v>
      </c>
      <c r="F72" s="207" t="s">
        <v>80</v>
      </c>
      <c r="G72" s="216" t="s">
        <v>360</v>
      </c>
      <c r="H72" s="218"/>
      <c r="I72" s="216">
        <v>168</v>
      </c>
      <c r="J72" s="216" t="s">
        <v>361</v>
      </c>
      <c r="K72" s="216">
        <v>13776820795</v>
      </c>
      <c r="L72" s="216"/>
      <c r="M72" s="216" t="s">
        <v>362</v>
      </c>
      <c r="N72" s="216" t="s">
        <v>363</v>
      </c>
      <c r="O72" s="216"/>
      <c r="P72" s="216" t="s">
        <v>364</v>
      </c>
      <c r="Q72" s="216" t="s">
        <v>224</v>
      </c>
      <c r="R72" s="216" t="s">
        <v>146</v>
      </c>
      <c r="S72" s="216"/>
      <c r="T72" s="216"/>
      <c r="U72" s="216"/>
      <c r="V72" s="216"/>
      <c r="W72" s="216"/>
      <c r="X72" s="216"/>
      <c r="Y72" s="287" t="s">
        <v>84</v>
      </c>
      <c r="Z72" s="207" t="s">
        <v>85</v>
      </c>
      <c r="AA72" s="207" t="s">
        <v>85</v>
      </c>
      <c r="AB72" s="207" t="s">
        <v>86</v>
      </c>
      <c r="AC72" s="207" t="s">
        <v>96</v>
      </c>
      <c r="AD72" s="217">
        <v>168</v>
      </c>
      <c r="AE72" s="216" t="s">
        <v>85</v>
      </c>
      <c r="AF72" s="216" t="s">
        <v>365</v>
      </c>
      <c r="AG72" s="219">
        <v>1</v>
      </c>
      <c r="AH72" s="216" t="s">
        <v>366</v>
      </c>
      <c r="AI72" s="216"/>
      <c r="AJ72" s="216">
        <v>6</v>
      </c>
      <c r="AK72" s="216"/>
      <c r="AL72" s="216"/>
      <c r="AM72" s="216" t="s">
        <v>367</v>
      </c>
      <c r="AN72" s="216"/>
      <c r="AO72" s="216"/>
      <c r="AP72" s="216" t="s">
        <v>368</v>
      </c>
      <c r="AR72" s="216"/>
      <c r="AS72" s="216"/>
      <c r="AT72" s="216"/>
      <c r="AU72" s="216"/>
      <c r="AV72" s="216"/>
      <c r="AW72" s="216"/>
      <c r="AX72" s="216"/>
      <c r="AY72" s="216"/>
      <c r="AZ72" s="216"/>
      <c r="BA72" s="216" t="s">
        <v>369</v>
      </c>
      <c r="BB72" s="216"/>
      <c r="BC72" s="216"/>
      <c r="BD72" s="216"/>
      <c r="BE72" s="216"/>
      <c r="BF72" s="216"/>
      <c r="BG72" s="216"/>
      <c r="BH72" s="216"/>
      <c r="BI72" s="216"/>
      <c r="BJ72" s="216" t="s">
        <v>370</v>
      </c>
      <c r="BK72" s="220" t="s">
        <v>371</v>
      </c>
      <c r="BL72" s="216" t="s">
        <v>88</v>
      </c>
      <c r="BM72" s="216"/>
      <c r="BN72" s="216"/>
      <c r="BO72" s="216"/>
      <c r="BP72" s="216"/>
      <c r="BQ72" s="216"/>
      <c r="BR72" s="216"/>
    </row>
    <row r="73" ht="32" customHeight="1" spans="1:70">
      <c r="A73" s="204">
        <v>71</v>
      </c>
      <c r="B73" s="205" t="s">
        <v>372</v>
      </c>
      <c r="C73" s="205" t="s">
        <v>78</v>
      </c>
      <c r="D73" s="205" t="s">
        <v>373</v>
      </c>
      <c r="E73" s="210" t="s">
        <v>175</v>
      </c>
      <c r="F73" s="205" t="s">
        <v>291</v>
      </c>
      <c r="G73" s="205"/>
      <c r="H73" s="204"/>
      <c r="I73" s="205"/>
      <c r="J73" s="205" t="s">
        <v>374</v>
      </c>
      <c r="K73" s="205" t="s">
        <v>375</v>
      </c>
      <c r="L73" s="205"/>
      <c r="M73" s="205"/>
      <c r="N73" s="205"/>
      <c r="O73" s="205"/>
      <c r="P73" s="205"/>
      <c r="Q73" s="205"/>
      <c r="R73" s="205"/>
      <c r="S73" s="205"/>
      <c r="T73" s="205"/>
      <c r="U73" s="205"/>
      <c r="V73" s="205"/>
      <c r="W73" s="205"/>
      <c r="X73" s="205"/>
      <c r="Y73" s="205"/>
      <c r="Z73" s="205"/>
      <c r="AA73" s="205"/>
      <c r="AB73" s="205"/>
      <c r="AC73" s="205"/>
      <c r="AD73" s="205"/>
      <c r="AE73" s="205"/>
      <c r="AF73" s="205">
        <v>1688</v>
      </c>
      <c r="AG73" s="205"/>
      <c r="AH73" s="205"/>
      <c r="AI73" s="205"/>
      <c r="AJ73" s="205"/>
      <c r="AK73" s="205"/>
      <c r="AL73" s="205"/>
      <c r="AM73" s="205"/>
      <c r="AN73" s="205"/>
      <c r="AO73" s="205"/>
      <c r="AP73" s="205"/>
      <c r="AR73" s="205"/>
      <c r="AS73" s="205"/>
      <c r="AT73" s="205"/>
      <c r="AU73" s="205"/>
      <c r="AV73" s="205"/>
      <c r="AW73" s="205"/>
      <c r="AX73" s="205"/>
      <c r="AY73" s="205"/>
      <c r="AZ73" s="205"/>
      <c r="BA73" s="205"/>
      <c r="BB73" s="205"/>
      <c r="BC73" s="205"/>
      <c r="BD73" s="205"/>
      <c r="BE73" s="205"/>
      <c r="BF73" s="205"/>
      <c r="BG73" s="205"/>
      <c r="BH73" s="205"/>
      <c r="BI73" s="205"/>
      <c r="BJ73" s="205"/>
      <c r="BK73" s="205"/>
      <c r="BL73" s="205"/>
      <c r="BM73" s="205"/>
      <c r="BN73" s="205"/>
      <c r="BO73" s="205"/>
      <c r="BP73" s="205"/>
      <c r="BQ73" s="205"/>
      <c r="BR73" s="205"/>
    </row>
    <row r="74" ht="32" customHeight="1" spans="1:70">
      <c r="A74" s="208">
        <v>72</v>
      </c>
      <c r="B74" s="149" t="s">
        <v>376</v>
      </c>
      <c r="C74" s="149" t="s">
        <v>78</v>
      </c>
      <c r="D74" s="149" t="s">
        <v>377</v>
      </c>
      <c r="E74" s="212" t="s">
        <v>378</v>
      </c>
      <c r="F74" s="149"/>
      <c r="G74" s="149" t="s">
        <v>379</v>
      </c>
      <c r="H74" s="149"/>
      <c r="I74" s="149"/>
      <c r="J74" s="149" t="s">
        <v>380</v>
      </c>
      <c r="K74" s="149" t="s">
        <v>381</v>
      </c>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row>
    <row r="75" ht="32" customHeight="1" spans="1:70">
      <c r="A75" s="208">
        <v>73</v>
      </c>
      <c r="B75" s="149" t="s">
        <v>382</v>
      </c>
      <c r="C75" s="149" t="s">
        <v>78</v>
      </c>
      <c r="D75" s="149" t="s">
        <v>383</v>
      </c>
      <c r="E75" s="149"/>
      <c r="F75" s="149"/>
      <c r="G75" s="149" t="s">
        <v>384</v>
      </c>
      <c r="H75" s="149"/>
      <c r="I75" s="149"/>
      <c r="J75" s="149" t="s">
        <v>385</v>
      </c>
      <c r="K75" s="149" t="s">
        <v>386</v>
      </c>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R75" s="149"/>
      <c r="AS75" s="149"/>
      <c r="AT75" s="149"/>
      <c r="AU75" s="149"/>
      <c r="AV75" s="149"/>
      <c r="AW75" s="149"/>
      <c r="AX75" s="149"/>
      <c r="AY75" s="149"/>
      <c r="AZ75" s="149"/>
      <c r="BA75" s="149"/>
      <c r="BB75" s="149"/>
      <c r="BC75" s="149"/>
      <c r="BD75" s="149"/>
      <c r="BE75" s="149"/>
      <c r="BF75" s="149"/>
      <c r="BG75" s="149"/>
      <c r="BH75" s="149"/>
      <c r="BI75" s="149"/>
      <c r="BJ75" s="149"/>
      <c r="BK75" s="149"/>
      <c r="BL75" s="149"/>
      <c r="BM75" s="149"/>
      <c r="BN75" s="149"/>
      <c r="BO75" s="149"/>
      <c r="BP75" s="149"/>
      <c r="BQ75" s="149"/>
      <c r="BR75" s="149"/>
    </row>
    <row r="76" ht="32" customHeight="1" spans="1:70">
      <c r="A76" s="189">
        <v>74</v>
      </c>
      <c r="B76" s="207" t="s">
        <v>387</v>
      </c>
      <c r="C76" s="207" t="s">
        <v>78</v>
      </c>
      <c r="D76" s="207" t="s">
        <v>388</v>
      </c>
      <c r="E76" s="207"/>
      <c r="F76" s="207"/>
      <c r="G76" s="207"/>
      <c r="H76" s="207"/>
      <c r="I76" s="207"/>
      <c r="J76" s="207" t="s">
        <v>389</v>
      </c>
      <c r="K76" s="207">
        <v>18136911292</v>
      </c>
      <c r="L76" s="207"/>
      <c r="M76" s="207" t="s">
        <v>390</v>
      </c>
      <c r="N76" s="207"/>
      <c r="O76" s="207"/>
      <c r="P76" s="207"/>
      <c r="Q76" s="207" t="s">
        <v>391</v>
      </c>
      <c r="R76" s="207" t="s">
        <v>392</v>
      </c>
      <c r="S76" s="207"/>
      <c r="T76" s="207"/>
      <c r="U76" s="207"/>
      <c r="V76" s="207"/>
      <c r="W76" s="207"/>
      <c r="X76" s="207"/>
      <c r="Y76" s="207"/>
      <c r="Z76" s="207"/>
      <c r="AA76" s="207"/>
      <c r="AB76" s="207"/>
      <c r="AC76" s="207"/>
      <c r="AD76" s="207"/>
      <c r="AE76" s="207"/>
      <c r="AF76" s="207"/>
      <c r="AG76" s="207"/>
      <c r="AH76" s="207"/>
      <c r="AI76" s="207"/>
      <c r="AJ76" s="207"/>
      <c r="AK76" s="207"/>
      <c r="AL76" s="207"/>
      <c r="AM76" s="207"/>
      <c r="AN76" s="207"/>
      <c r="AO76" s="207"/>
      <c r="AP76" s="207"/>
      <c r="AR76" s="207"/>
      <c r="AS76" s="207"/>
      <c r="AT76" s="207"/>
      <c r="AU76" s="207"/>
      <c r="AV76" s="207"/>
      <c r="AW76" s="207"/>
      <c r="AX76" s="207"/>
      <c r="AY76" s="207"/>
      <c r="AZ76" s="207"/>
      <c r="BA76" s="207"/>
      <c r="BB76" s="207"/>
      <c r="BC76" s="207"/>
      <c r="BD76" s="207"/>
      <c r="BE76" s="207"/>
      <c r="BF76" s="207"/>
      <c r="BG76" s="207"/>
      <c r="BH76" s="207"/>
      <c r="BI76" s="207"/>
      <c r="BJ76" s="207"/>
      <c r="BK76" s="221" t="s">
        <v>393</v>
      </c>
      <c r="BL76" s="207" t="s">
        <v>88</v>
      </c>
      <c r="BM76" s="207"/>
      <c r="BN76" s="207"/>
      <c r="BO76" s="207"/>
      <c r="BP76" s="207" t="s">
        <v>394</v>
      </c>
      <c r="BQ76" s="207"/>
      <c r="BR76" s="207"/>
    </row>
    <row r="77" ht="32" customHeight="1" spans="1:70">
      <c r="A77" s="204">
        <v>75</v>
      </c>
      <c r="B77" s="205" t="s">
        <v>395</v>
      </c>
      <c r="C77" s="205" t="s">
        <v>78</v>
      </c>
      <c r="D77" s="205" t="s">
        <v>388</v>
      </c>
      <c r="E77" s="205"/>
      <c r="F77" s="205"/>
      <c r="G77" s="205"/>
      <c r="H77" s="205"/>
      <c r="I77" s="205"/>
      <c r="J77" s="205"/>
      <c r="K77" s="205"/>
      <c r="L77" s="205"/>
      <c r="M77" s="205"/>
      <c r="N77" s="205"/>
      <c r="O77" s="205"/>
      <c r="P77" s="205"/>
      <c r="Q77" s="205"/>
      <c r="R77" s="205"/>
      <c r="S77" s="205"/>
      <c r="T77" s="205"/>
      <c r="U77" s="205"/>
      <c r="V77" s="205"/>
      <c r="W77" s="205"/>
      <c r="X77" s="205"/>
      <c r="Y77" s="205"/>
      <c r="Z77" s="205"/>
      <c r="AA77" s="205"/>
      <c r="AB77" s="205"/>
      <c r="AC77" s="205"/>
      <c r="AD77" s="205"/>
      <c r="AE77" s="205"/>
      <c r="AF77" s="205"/>
      <c r="AG77" s="205"/>
      <c r="AH77" s="205"/>
      <c r="AI77" s="205"/>
      <c r="AJ77" s="205"/>
      <c r="AK77" s="205"/>
      <c r="AL77" s="205"/>
      <c r="AM77" s="205"/>
      <c r="AN77" s="205"/>
      <c r="AO77" s="205"/>
      <c r="AP77" s="205"/>
      <c r="AR77" s="205"/>
      <c r="AS77" s="205"/>
      <c r="AT77" s="205"/>
      <c r="AU77" s="205"/>
      <c r="AV77" s="205"/>
      <c r="AW77" s="205"/>
      <c r="AX77" s="205"/>
      <c r="AY77" s="205"/>
      <c r="AZ77" s="205"/>
      <c r="BA77" s="205"/>
      <c r="BB77" s="205"/>
      <c r="BC77" s="205"/>
      <c r="BD77" s="205"/>
      <c r="BE77" s="205"/>
      <c r="BF77" s="205"/>
      <c r="BG77" s="205"/>
      <c r="BH77" s="205"/>
      <c r="BI77" s="205"/>
      <c r="BJ77" s="205"/>
      <c r="BK77" s="222" t="s">
        <v>396</v>
      </c>
      <c r="BL77" s="205" t="s">
        <v>88</v>
      </c>
      <c r="BM77" s="205"/>
      <c r="BN77" s="205"/>
      <c r="BO77" s="205"/>
      <c r="BP77" s="205"/>
      <c r="BQ77" s="205"/>
      <c r="BR77" s="205"/>
    </row>
    <row r="78" ht="32" customHeight="1" spans="1:70">
      <c r="A78" s="208">
        <v>76</v>
      </c>
      <c r="B78" s="149" t="s">
        <v>397</v>
      </c>
      <c r="C78" s="149" t="s">
        <v>78</v>
      </c>
      <c r="D78" s="149" t="s">
        <v>388</v>
      </c>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R78" s="149"/>
      <c r="AS78" s="149"/>
      <c r="AT78" s="149"/>
      <c r="AU78" s="149"/>
      <c r="AV78" s="149"/>
      <c r="AW78" s="149"/>
      <c r="AX78" s="149"/>
      <c r="AY78" s="149"/>
      <c r="AZ78" s="149"/>
      <c r="BA78" s="149"/>
      <c r="BB78" s="149"/>
      <c r="BC78" s="149"/>
      <c r="BD78" s="149"/>
      <c r="BE78" s="149"/>
      <c r="BF78" s="149"/>
      <c r="BG78" s="149"/>
      <c r="BH78" s="149"/>
      <c r="BI78" s="149"/>
      <c r="BJ78" s="149"/>
      <c r="BK78" s="223" t="s">
        <v>398</v>
      </c>
      <c r="BL78" s="149" t="s">
        <v>88</v>
      </c>
      <c r="BM78" s="149"/>
      <c r="BN78" s="149"/>
      <c r="BO78" s="149"/>
      <c r="BP78" s="149"/>
      <c r="BQ78" s="149"/>
      <c r="BR78" s="149"/>
    </row>
    <row r="79" ht="32" customHeight="1" spans="1:70">
      <c r="A79" s="208">
        <v>77</v>
      </c>
      <c r="B79" s="149" t="s">
        <v>399</v>
      </c>
      <c r="C79" s="149" t="s">
        <v>78</v>
      </c>
      <c r="D79" s="149" t="s">
        <v>388</v>
      </c>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R79" s="149"/>
      <c r="AS79" s="149"/>
      <c r="AT79" s="149"/>
      <c r="AU79" s="149"/>
      <c r="AV79" s="149"/>
      <c r="AW79" s="149"/>
      <c r="AX79" s="149"/>
      <c r="AY79" s="149"/>
      <c r="AZ79" s="149"/>
      <c r="BA79" s="149"/>
      <c r="BB79" s="149"/>
      <c r="BC79" s="149"/>
      <c r="BD79" s="149"/>
      <c r="BE79" s="149"/>
      <c r="BF79" s="149"/>
      <c r="BG79" s="149"/>
      <c r="BH79" s="149"/>
      <c r="BI79" s="149"/>
      <c r="BJ79" s="149"/>
      <c r="BK79" s="223" t="s">
        <v>400</v>
      </c>
      <c r="BL79" s="149" t="s">
        <v>88</v>
      </c>
      <c r="BM79" s="149"/>
      <c r="BN79" s="149"/>
      <c r="BO79" s="149"/>
      <c r="BP79" s="149"/>
      <c r="BQ79" s="149"/>
      <c r="BR79" s="149"/>
    </row>
    <row r="80" ht="32" customHeight="1" spans="1:70">
      <c r="A80" s="189">
        <v>78</v>
      </c>
      <c r="B80" s="207" t="s">
        <v>401</v>
      </c>
      <c r="C80" s="207" t="s">
        <v>78</v>
      </c>
      <c r="D80" s="207" t="s">
        <v>402</v>
      </c>
      <c r="E80" s="209" t="s">
        <v>175</v>
      </c>
      <c r="F80" s="207" t="s">
        <v>310</v>
      </c>
      <c r="G80" s="207" t="s">
        <v>403</v>
      </c>
      <c r="H80" s="189"/>
      <c r="I80" s="207">
        <v>2000</v>
      </c>
      <c r="J80" s="207" t="s">
        <v>404</v>
      </c>
      <c r="K80" s="207">
        <v>18900651576</v>
      </c>
      <c r="L80" s="224" t="s">
        <v>405</v>
      </c>
      <c r="M80" s="207" t="s">
        <v>406</v>
      </c>
      <c r="N80" s="207" t="s">
        <v>407</v>
      </c>
      <c r="O80" s="207" t="s">
        <v>408</v>
      </c>
      <c r="P80" s="207"/>
      <c r="Q80" s="207" t="s">
        <v>409</v>
      </c>
      <c r="R80" s="207" t="s">
        <v>116</v>
      </c>
      <c r="S80" s="207" t="s">
        <v>410</v>
      </c>
      <c r="T80" s="207"/>
      <c r="U80" s="207"/>
      <c r="V80" s="207"/>
      <c r="W80" s="207"/>
      <c r="X80" s="207"/>
      <c r="Y80" s="207"/>
      <c r="Z80" s="207"/>
      <c r="AA80" s="207"/>
      <c r="AB80" s="207" t="s">
        <v>86</v>
      </c>
      <c r="AC80" s="207"/>
      <c r="AD80" s="207"/>
      <c r="AE80" s="225" t="s">
        <v>85</v>
      </c>
      <c r="AF80" s="207"/>
      <c r="AG80" s="207"/>
      <c r="AH80" s="207"/>
      <c r="AI80" s="207"/>
      <c r="AJ80" s="207"/>
      <c r="AK80" s="207"/>
      <c r="AL80" s="207"/>
      <c r="AM80" s="207" t="s">
        <v>411</v>
      </c>
      <c r="AN80" s="207"/>
      <c r="AO80" s="207"/>
      <c r="AP80" s="207"/>
      <c r="AR80" s="207" t="s">
        <v>85</v>
      </c>
      <c r="AS80" s="207" t="s">
        <v>85</v>
      </c>
      <c r="AT80" s="207" t="s">
        <v>85</v>
      </c>
      <c r="AU80" s="205" t="s">
        <v>85</v>
      </c>
      <c r="AV80" s="207"/>
      <c r="AW80" s="207"/>
      <c r="AX80" s="207"/>
      <c r="AY80" s="207"/>
      <c r="AZ80" s="207"/>
      <c r="BA80" s="207"/>
      <c r="BB80" s="207" t="s">
        <v>412</v>
      </c>
      <c r="BC80" s="207"/>
      <c r="BD80" s="207" t="s">
        <v>413</v>
      </c>
      <c r="BE80" s="207"/>
      <c r="BF80" s="207"/>
      <c r="BG80" s="207"/>
      <c r="BH80" s="207"/>
      <c r="BI80" s="207"/>
      <c r="BJ80" s="207"/>
      <c r="BK80" s="221" t="s">
        <v>414</v>
      </c>
      <c r="BL80" s="207" t="s">
        <v>88</v>
      </c>
      <c r="BM80" s="207"/>
      <c r="BN80" s="207"/>
      <c r="BO80" s="207"/>
      <c r="BP80" s="207"/>
      <c r="BQ80" s="207"/>
      <c r="BR80" s="207" t="s">
        <v>415</v>
      </c>
    </row>
    <row r="81" ht="32" customHeight="1" spans="1:70">
      <c r="A81" s="189">
        <v>79</v>
      </c>
      <c r="B81" s="207" t="s">
        <v>416</v>
      </c>
      <c r="C81" s="207" t="s">
        <v>78</v>
      </c>
      <c r="D81" s="207" t="s">
        <v>417</v>
      </c>
      <c r="E81" s="207"/>
      <c r="F81" s="207" t="s">
        <v>418</v>
      </c>
      <c r="G81" s="207" t="s">
        <v>419</v>
      </c>
      <c r="H81" s="207"/>
      <c r="I81" s="207" t="s">
        <v>420</v>
      </c>
      <c r="J81" s="207" t="s">
        <v>421</v>
      </c>
      <c r="K81" s="207">
        <v>18068560097</v>
      </c>
      <c r="L81" s="207"/>
      <c r="M81" s="207" t="s">
        <v>422</v>
      </c>
      <c r="N81" s="207" t="s">
        <v>423</v>
      </c>
      <c r="O81" s="207"/>
      <c r="P81" s="207"/>
      <c r="Q81" s="207"/>
      <c r="R81" s="207"/>
      <c r="S81" s="207"/>
      <c r="T81" s="207"/>
      <c r="U81" s="207"/>
      <c r="V81" s="207"/>
      <c r="W81" s="207"/>
      <c r="X81" s="207"/>
      <c r="Y81" s="207"/>
      <c r="Z81" s="207"/>
      <c r="AA81" s="207"/>
      <c r="AB81" s="207"/>
      <c r="AC81" s="207"/>
      <c r="AD81" s="207"/>
      <c r="AE81" s="225"/>
      <c r="AF81" s="207"/>
      <c r="AG81" s="207"/>
      <c r="AH81" s="207"/>
      <c r="AI81" s="207"/>
      <c r="AJ81" s="207"/>
      <c r="AK81" s="207"/>
      <c r="AL81" s="207"/>
      <c r="AM81" s="207" t="s">
        <v>424</v>
      </c>
      <c r="AN81" s="207"/>
      <c r="AO81" s="207"/>
      <c r="AP81" s="207"/>
      <c r="AR81" s="207" t="s">
        <v>85</v>
      </c>
      <c r="AS81" s="207" t="s">
        <v>85</v>
      </c>
      <c r="AT81" s="207" t="s">
        <v>85</v>
      </c>
      <c r="AU81" s="205" t="s">
        <v>85</v>
      </c>
      <c r="AV81" s="207"/>
      <c r="AW81" s="207"/>
      <c r="AX81" s="207"/>
      <c r="AY81" s="207"/>
      <c r="AZ81" s="207"/>
      <c r="BA81" s="207"/>
      <c r="BB81" s="207"/>
      <c r="BC81" s="207"/>
      <c r="BD81" s="207" t="s">
        <v>413</v>
      </c>
      <c r="BE81" s="207" t="s">
        <v>425</v>
      </c>
      <c r="BF81" s="207"/>
      <c r="BG81" s="207"/>
      <c r="BH81" s="207" t="s">
        <v>426</v>
      </c>
      <c r="BI81" s="207" t="s">
        <v>413</v>
      </c>
      <c r="BJ81" s="207"/>
      <c r="BK81" s="221" t="s">
        <v>427</v>
      </c>
      <c r="BL81" s="207" t="s">
        <v>88</v>
      </c>
      <c r="BM81" s="207"/>
      <c r="BN81" s="207"/>
      <c r="BO81" s="207"/>
      <c r="BP81" s="207" t="s">
        <v>394</v>
      </c>
      <c r="BQ81" s="207"/>
      <c r="BR81" s="207" t="s">
        <v>415</v>
      </c>
    </row>
    <row r="82" ht="32" customHeight="1" spans="1:70">
      <c r="A82" s="204">
        <v>80</v>
      </c>
      <c r="B82" s="205" t="s">
        <v>428</v>
      </c>
      <c r="C82" s="205" t="s">
        <v>78</v>
      </c>
      <c r="D82" s="205" t="s">
        <v>429</v>
      </c>
      <c r="E82" s="205"/>
      <c r="F82" s="210" t="s">
        <v>291</v>
      </c>
      <c r="G82" s="205" t="s">
        <v>430</v>
      </c>
      <c r="H82" s="205"/>
      <c r="I82" s="205"/>
      <c r="J82" s="205" t="s">
        <v>431</v>
      </c>
      <c r="K82" s="205">
        <v>18015882883</v>
      </c>
      <c r="L82" s="205"/>
      <c r="M82" s="205" t="s">
        <v>432</v>
      </c>
      <c r="N82" s="205"/>
      <c r="O82" s="205"/>
      <c r="P82" s="205"/>
      <c r="Q82" s="205"/>
      <c r="R82" s="205"/>
      <c r="S82" s="205"/>
      <c r="T82" s="205"/>
      <c r="U82" s="205"/>
      <c r="V82" s="205"/>
      <c r="W82" s="205"/>
      <c r="X82" s="205"/>
      <c r="Y82" s="205"/>
      <c r="Z82" s="205"/>
      <c r="AA82" s="205"/>
      <c r="AB82" s="205"/>
      <c r="AC82" s="205"/>
      <c r="AD82" s="205"/>
      <c r="AE82" s="161"/>
      <c r="AF82" s="205"/>
      <c r="AG82" s="205"/>
      <c r="AH82" s="205"/>
      <c r="AI82" s="205"/>
      <c r="AJ82" s="205"/>
      <c r="AK82" s="205"/>
      <c r="AL82" s="205"/>
      <c r="AM82" s="205"/>
      <c r="AN82" s="205"/>
      <c r="AO82" s="205"/>
      <c r="AP82" s="205"/>
      <c r="AR82" s="205"/>
      <c r="AS82" s="205"/>
      <c r="AT82" s="205"/>
      <c r="AU82" s="205"/>
      <c r="AV82" s="205"/>
      <c r="AW82" s="205"/>
      <c r="AX82" s="205"/>
      <c r="AY82" s="205"/>
      <c r="AZ82" s="205"/>
      <c r="BA82" s="205"/>
      <c r="BB82" s="205"/>
      <c r="BC82" s="205"/>
      <c r="BD82" s="205"/>
      <c r="BE82" s="205"/>
      <c r="BF82" s="205"/>
      <c r="BG82" s="205"/>
      <c r="BH82" s="205"/>
      <c r="BI82" s="205"/>
      <c r="BJ82" s="205"/>
      <c r="BK82" s="205"/>
      <c r="BL82" s="205"/>
      <c r="BM82" s="205"/>
      <c r="BN82" s="205"/>
      <c r="BO82" s="205"/>
      <c r="BP82" s="205" t="s">
        <v>394</v>
      </c>
      <c r="BQ82" s="205"/>
      <c r="BR82" s="205"/>
    </row>
    <row r="83" ht="32" customHeight="1" spans="1:70">
      <c r="A83" s="208">
        <v>81</v>
      </c>
      <c r="B83" s="149" t="s">
        <v>433</v>
      </c>
      <c r="C83" s="149" t="s">
        <v>78</v>
      </c>
      <c r="D83" s="149" t="s">
        <v>434</v>
      </c>
      <c r="E83" s="149"/>
      <c r="F83" s="149" t="s">
        <v>156</v>
      </c>
      <c r="G83" s="149"/>
      <c r="H83" s="149"/>
      <c r="I83" s="149"/>
      <c r="J83" s="149" t="s">
        <v>435</v>
      </c>
      <c r="K83" s="149">
        <v>15312577121</v>
      </c>
      <c r="L83" s="149"/>
      <c r="M83" s="149" t="s">
        <v>436</v>
      </c>
      <c r="N83" s="149"/>
      <c r="O83" s="149"/>
      <c r="P83" s="149"/>
      <c r="Q83" s="149"/>
      <c r="R83" s="149"/>
      <c r="S83" s="149"/>
      <c r="T83" s="149"/>
      <c r="U83" s="149"/>
      <c r="V83" s="149"/>
      <c r="W83" s="149"/>
      <c r="X83" s="149"/>
      <c r="Y83" s="149"/>
      <c r="Z83" s="149"/>
      <c r="AA83" s="149"/>
      <c r="AB83" s="149"/>
      <c r="AC83" s="149"/>
      <c r="AD83" s="149"/>
      <c r="AE83" s="161"/>
      <c r="AF83" s="149"/>
      <c r="AG83" s="149"/>
      <c r="AH83" s="149"/>
      <c r="AI83" s="149"/>
      <c r="AJ83" s="149"/>
      <c r="AK83" s="149"/>
      <c r="AL83" s="149" t="s">
        <v>437</v>
      </c>
      <c r="AM83" s="149"/>
      <c r="AN83" s="149"/>
      <c r="AO83" s="149"/>
      <c r="AP83" s="149"/>
      <c r="AR83" s="149"/>
      <c r="AS83" s="149"/>
      <c r="AT83" s="149"/>
      <c r="AU83" s="149"/>
      <c r="AV83" s="149"/>
      <c r="AW83" s="149"/>
      <c r="AX83" s="149"/>
      <c r="AY83" s="149"/>
      <c r="AZ83" s="149"/>
      <c r="BA83" s="149"/>
      <c r="BB83" s="149"/>
      <c r="BC83" s="149"/>
      <c r="BD83" s="149"/>
      <c r="BE83" s="149"/>
      <c r="BF83" s="149"/>
      <c r="BG83" s="149"/>
      <c r="BH83" s="149"/>
      <c r="BI83" s="149"/>
      <c r="BJ83" s="149"/>
      <c r="BK83" s="149"/>
      <c r="BL83" s="149"/>
      <c r="BM83" s="149"/>
      <c r="BN83" s="149"/>
      <c r="BO83" s="149"/>
      <c r="BP83" s="149" t="s">
        <v>394</v>
      </c>
      <c r="BQ83" s="149"/>
      <c r="BR83" s="149"/>
    </row>
    <row r="84" ht="32" customHeight="1" spans="1:70">
      <c r="A84" s="208">
        <v>82</v>
      </c>
      <c r="B84" s="149" t="s">
        <v>438</v>
      </c>
      <c r="C84" s="149" t="s">
        <v>78</v>
      </c>
      <c r="D84" s="149" t="s">
        <v>439</v>
      </c>
      <c r="E84" s="149"/>
      <c r="F84" s="149" t="s">
        <v>291</v>
      </c>
      <c r="G84" s="149"/>
      <c r="H84" s="149"/>
      <c r="I84" s="149"/>
      <c r="J84" s="149" t="s">
        <v>440</v>
      </c>
      <c r="K84" s="149">
        <v>18661126313</v>
      </c>
      <c r="L84" s="149"/>
      <c r="M84" s="149" t="s">
        <v>441</v>
      </c>
      <c r="N84" s="149"/>
      <c r="O84" s="149"/>
      <c r="P84" s="149"/>
      <c r="Q84" s="149"/>
      <c r="R84" s="149"/>
      <c r="S84" s="149"/>
      <c r="T84" s="149"/>
      <c r="U84" s="149"/>
      <c r="V84" s="149"/>
      <c r="W84" s="149"/>
      <c r="X84" s="149"/>
      <c r="Y84" s="149"/>
      <c r="Z84" s="149"/>
      <c r="AA84" s="149"/>
      <c r="AB84" s="149"/>
      <c r="AC84" s="149"/>
      <c r="AD84" s="149"/>
      <c r="AE84" s="161"/>
      <c r="AF84" s="149"/>
      <c r="AG84" s="149"/>
      <c r="AH84" s="149"/>
      <c r="AI84" s="149"/>
      <c r="AJ84" s="149"/>
      <c r="AK84" s="149"/>
      <c r="AL84" s="149"/>
      <c r="AM84" s="149"/>
      <c r="AN84" s="149"/>
      <c r="AO84" s="149"/>
      <c r="AP84" s="149"/>
      <c r="AR84" s="149"/>
      <c r="AS84" s="149"/>
      <c r="AT84" s="149"/>
      <c r="AU84" s="149"/>
      <c r="AV84" s="149"/>
      <c r="AW84" s="149"/>
      <c r="AX84" s="149"/>
      <c r="AY84" s="149"/>
      <c r="AZ84" s="149"/>
      <c r="BA84" s="149"/>
      <c r="BB84" s="149"/>
      <c r="BC84" s="149"/>
      <c r="BD84" s="149"/>
      <c r="BE84" s="149"/>
      <c r="BF84" s="149"/>
      <c r="BG84" s="149"/>
      <c r="BH84" s="149"/>
      <c r="BI84" s="149"/>
      <c r="BJ84" s="149"/>
      <c r="BK84" s="149"/>
      <c r="BL84" s="149"/>
      <c r="BM84" s="149"/>
      <c r="BN84" s="149"/>
      <c r="BO84" s="149"/>
      <c r="BP84" s="149" t="s">
        <v>442</v>
      </c>
      <c r="BQ84" s="149"/>
      <c r="BR84" s="149"/>
    </row>
    <row r="85" ht="32" customHeight="1" spans="1:70">
      <c r="A85" s="189">
        <v>83</v>
      </c>
      <c r="B85" s="207" t="s">
        <v>443</v>
      </c>
      <c r="C85" s="207" t="s">
        <v>78</v>
      </c>
      <c r="D85" s="207" t="s">
        <v>444</v>
      </c>
      <c r="E85" s="207"/>
      <c r="F85" s="207" t="s">
        <v>156</v>
      </c>
      <c r="G85" s="207" t="s">
        <v>423</v>
      </c>
      <c r="H85" s="189"/>
      <c r="I85" s="207" t="s">
        <v>445</v>
      </c>
      <c r="J85" s="207" t="s">
        <v>446</v>
      </c>
      <c r="K85" s="207">
        <v>18661163476</v>
      </c>
      <c r="L85" s="207"/>
      <c r="M85" s="207" t="s">
        <v>447</v>
      </c>
      <c r="N85" s="207"/>
      <c r="O85" s="207"/>
      <c r="P85" s="207"/>
      <c r="Q85" s="207" t="s">
        <v>448</v>
      </c>
      <c r="R85" s="207"/>
      <c r="S85" s="207"/>
      <c r="T85" s="207"/>
      <c r="U85" s="207"/>
      <c r="V85" s="207"/>
      <c r="W85" s="207"/>
      <c r="X85" s="207"/>
      <c r="Y85" s="286" t="s">
        <v>84</v>
      </c>
      <c r="Z85" s="207"/>
      <c r="AA85" s="207" t="s">
        <v>85</v>
      </c>
      <c r="AB85" s="207" t="s">
        <v>86</v>
      </c>
      <c r="AC85" s="207" t="s">
        <v>96</v>
      </c>
      <c r="AD85" s="209">
        <v>560</v>
      </c>
      <c r="AE85" s="225"/>
      <c r="AF85" s="207"/>
      <c r="AG85" s="211">
        <v>1</v>
      </c>
      <c r="AH85" s="207"/>
      <c r="AI85" s="207"/>
      <c r="AJ85" s="207">
        <v>1</v>
      </c>
      <c r="AK85" s="207"/>
      <c r="AL85" s="207"/>
      <c r="AM85" s="207" t="s">
        <v>449</v>
      </c>
      <c r="AN85" s="207"/>
      <c r="AO85" s="207"/>
      <c r="AP85" s="207"/>
      <c r="AR85" s="207" t="s">
        <v>85</v>
      </c>
      <c r="AS85" s="207" t="s">
        <v>85</v>
      </c>
      <c r="AT85" s="207" t="s">
        <v>85</v>
      </c>
      <c r="AU85" s="205" t="s">
        <v>85</v>
      </c>
      <c r="AV85" s="207"/>
      <c r="AW85" s="207"/>
      <c r="AX85" s="207"/>
      <c r="AY85" s="207"/>
      <c r="AZ85" s="207"/>
      <c r="BA85" s="207"/>
      <c r="BB85" s="207"/>
      <c r="BC85" s="207"/>
      <c r="BD85" s="207"/>
      <c r="BE85" s="207"/>
      <c r="BF85" s="207"/>
      <c r="BG85" s="207"/>
      <c r="BH85" s="207"/>
      <c r="BI85" s="207"/>
      <c r="BJ85" s="207"/>
      <c r="BK85" s="221" t="s">
        <v>450</v>
      </c>
      <c r="BL85" s="207" t="s">
        <v>88</v>
      </c>
      <c r="BM85" s="207"/>
      <c r="BN85" s="207"/>
      <c r="BO85" s="207"/>
      <c r="BP85" s="207" t="s">
        <v>442</v>
      </c>
      <c r="BQ85" s="207" t="s">
        <v>451</v>
      </c>
      <c r="BR85" s="207" t="s">
        <v>415</v>
      </c>
    </row>
    <row r="86" ht="32" customHeight="1" spans="1:70">
      <c r="A86" s="189">
        <v>84</v>
      </c>
      <c r="B86" s="207" t="s">
        <v>452</v>
      </c>
      <c r="C86" s="207" t="s">
        <v>78</v>
      </c>
      <c r="D86" s="207" t="s">
        <v>453</v>
      </c>
      <c r="E86" s="209"/>
      <c r="F86" s="207" t="s">
        <v>156</v>
      </c>
      <c r="G86" s="207" t="s">
        <v>454</v>
      </c>
      <c r="H86" s="189"/>
      <c r="I86" s="207" t="s">
        <v>455</v>
      </c>
      <c r="J86" s="207" t="s">
        <v>456</v>
      </c>
      <c r="K86" s="207">
        <v>13961227791</v>
      </c>
      <c r="L86" s="207"/>
      <c r="M86" s="207" t="s">
        <v>457</v>
      </c>
      <c r="N86" s="207" t="s">
        <v>458</v>
      </c>
      <c r="O86" s="207"/>
      <c r="P86" s="207" t="s">
        <v>459</v>
      </c>
      <c r="Q86" s="207"/>
      <c r="R86" s="207" t="s">
        <v>116</v>
      </c>
      <c r="S86" s="207" t="s">
        <v>460</v>
      </c>
      <c r="T86" s="207"/>
      <c r="U86" s="207"/>
      <c r="V86" s="207"/>
      <c r="W86" s="207"/>
      <c r="X86" s="207"/>
      <c r="Y86" s="207"/>
      <c r="Z86" s="207" t="s">
        <v>85</v>
      </c>
      <c r="AA86" s="207"/>
      <c r="AB86" s="207"/>
      <c r="AC86" s="207" t="s">
        <v>96</v>
      </c>
      <c r="AD86" s="207"/>
      <c r="AE86" s="225"/>
      <c r="AF86" s="207"/>
      <c r="AG86" s="207"/>
      <c r="AH86" s="207"/>
      <c r="AI86" s="207"/>
      <c r="AJ86" s="207"/>
      <c r="AK86" s="207"/>
      <c r="AL86" s="207"/>
      <c r="AM86" s="207" t="s">
        <v>461</v>
      </c>
      <c r="AN86" s="207"/>
      <c r="AO86" s="207"/>
      <c r="AP86" s="207"/>
      <c r="AR86" s="207" t="s">
        <v>85</v>
      </c>
      <c r="AS86" s="207" t="s">
        <v>85</v>
      </c>
      <c r="AT86" s="207" t="s">
        <v>85</v>
      </c>
      <c r="AU86" s="205" t="s">
        <v>85</v>
      </c>
      <c r="AV86" s="207" t="s">
        <v>85</v>
      </c>
      <c r="AW86" s="205" t="s">
        <v>85</v>
      </c>
      <c r="AX86" s="207"/>
      <c r="AY86" s="207"/>
      <c r="AZ86" s="207"/>
      <c r="BA86" s="207"/>
      <c r="BB86" s="207"/>
      <c r="BC86" s="207"/>
      <c r="BD86" s="207"/>
      <c r="BE86" s="207"/>
      <c r="BF86" s="207"/>
      <c r="BG86" s="207"/>
      <c r="BH86" s="207"/>
      <c r="BI86" s="207"/>
      <c r="BJ86" s="207"/>
      <c r="BK86" s="207" t="s">
        <v>462</v>
      </c>
      <c r="BL86" s="207" t="s">
        <v>463</v>
      </c>
      <c r="BM86" s="207"/>
      <c r="BN86" s="207"/>
      <c r="BO86" s="207"/>
      <c r="BP86" s="207"/>
      <c r="BQ86" s="207" t="s">
        <v>464</v>
      </c>
      <c r="BR86" s="207" t="s">
        <v>465</v>
      </c>
    </row>
    <row r="87" ht="32" customHeight="1" spans="1:70">
      <c r="A87" s="189">
        <v>85</v>
      </c>
      <c r="B87" s="207" t="s">
        <v>466</v>
      </c>
      <c r="C87" s="207" t="s">
        <v>467</v>
      </c>
      <c r="D87" s="207" t="s">
        <v>468</v>
      </c>
      <c r="E87" s="209" t="s">
        <v>469</v>
      </c>
      <c r="F87" s="207" t="s">
        <v>80</v>
      </c>
      <c r="G87" s="207" t="s">
        <v>470</v>
      </c>
      <c r="H87" s="207">
        <v>500</v>
      </c>
      <c r="I87" s="207">
        <v>5000</v>
      </c>
      <c r="J87" s="207" t="s">
        <v>471</v>
      </c>
      <c r="K87" s="207">
        <v>13585336798</v>
      </c>
      <c r="L87" s="207"/>
      <c r="M87" s="207" t="s">
        <v>472</v>
      </c>
      <c r="N87" s="207" t="s">
        <v>473</v>
      </c>
      <c r="O87" s="207" t="s">
        <v>474</v>
      </c>
      <c r="P87" s="207" t="s">
        <v>475</v>
      </c>
      <c r="Q87" s="207" t="s">
        <v>140</v>
      </c>
      <c r="R87" s="207"/>
      <c r="S87" s="207"/>
      <c r="T87" s="207"/>
      <c r="U87" s="207"/>
      <c r="V87" s="226"/>
      <c r="W87" s="207"/>
      <c r="X87" s="207"/>
      <c r="Y87" s="209" t="s">
        <v>84</v>
      </c>
      <c r="Z87" s="207"/>
      <c r="AA87" s="207" t="s">
        <v>85</v>
      </c>
      <c r="AB87" s="207" t="s">
        <v>128</v>
      </c>
      <c r="AC87" s="207" t="s">
        <v>96</v>
      </c>
      <c r="AD87" s="209">
        <v>27000</v>
      </c>
      <c r="AE87" s="225"/>
      <c r="AF87" s="207"/>
      <c r="AG87" s="227"/>
      <c r="AH87" s="207"/>
      <c r="AI87" s="207"/>
      <c r="AJ87" s="207"/>
      <c r="AK87" s="207"/>
      <c r="AL87" s="207" t="s">
        <v>85</v>
      </c>
      <c r="AM87" s="207" t="s">
        <v>97</v>
      </c>
      <c r="AN87" s="207" t="s">
        <v>476</v>
      </c>
      <c r="AO87" s="207"/>
      <c r="AP87" s="207"/>
      <c r="AR87" s="207"/>
      <c r="AS87" s="207"/>
      <c r="AT87" s="207"/>
      <c r="AU87" s="207"/>
      <c r="AV87" s="207"/>
      <c r="AW87" s="207"/>
      <c r="AX87" s="207"/>
      <c r="AY87" s="207"/>
      <c r="AZ87" s="207"/>
      <c r="BA87" s="207"/>
      <c r="BB87" s="207"/>
      <c r="BC87" s="207"/>
      <c r="BD87" s="207"/>
      <c r="BE87" s="207"/>
      <c r="BF87" s="207"/>
      <c r="BG87" s="207"/>
      <c r="BH87" s="207"/>
      <c r="BI87" s="207"/>
      <c r="BJ87" s="207"/>
      <c r="BK87" s="207"/>
      <c r="BL87" s="207"/>
      <c r="BM87" s="207"/>
      <c r="BN87" s="207"/>
      <c r="BO87" s="207"/>
      <c r="BP87" s="207"/>
      <c r="BQ87" s="207" t="s">
        <v>369</v>
      </c>
      <c r="BR87" s="207"/>
    </row>
    <row r="88" ht="39" customHeight="1" spans="1:70">
      <c r="A88" s="189">
        <v>86</v>
      </c>
      <c r="B88" s="207" t="s">
        <v>477</v>
      </c>
      <c r="C88" s="207" t="s">
        <v>467</v>
      </c>
      <c r="D88" s="207" t="s">
        <v>478</v>
      </c>
      <c r="E88" s="209"/>
      <c r="F88" s="207" t="s">
        <v>80</v>
      </c>
      <c r="G88" s="207" t="s">
        <v>470</v>
      </c>
      <c r="H88" s="207">
        <v>640</v>
      </c>
      <c r="I88" s="207" t="s">
        <v>479</v>
      </c>
      <c r="J88" s="207" t="s">
        <v>480</v>
      </c>
      <c r="K88" s="207">
        <v>13776853266</v>
      </c>
      <c r="L88" s="207" t="s">
        <v>481</v>
      </c>
      <c r="M88" s="207" t="s">
        <v>482</v>
      </c>
      <c r="N88" s="207" t="s">
        <v>483</v>
      </c>
      <c r="O88" s="207" t="s">
        <v>474</v>
      </c>
      <c r="P88" s="207" t="s">
        <v>484</v>
      </c>
      <c r="Q88" s="207" t="s">
        <v>485</v>
      </c>
      <c r="R88" s="207" t="s">
        <v>486</v>
      </c>
      <c r="S88" s="207"/>
      <c r="T88" s="211"/>
      <c r="U88" s="207"/>
      <c r="V88" s="226"/>
      <c r="W88" s="207"/>
      <c r="X88" s="207"/>
      <c r="Y88" s="209" t="s">
        <v>84</v>
      </c>
      <c r="Z88" s="207"/>
      <c r="AA88" s="207" t="s">
        <v>85</v>
      </c>
      <c r="AB88" s="207" t="s">
        <v>128</v>
      </c>
      <c r="AC88" s="207" t="s">
        <v>96</v>
      </c>
      <c r="AD88" s="209" t="s">
        <v>487</v>
      </c>
      <c r="AE88" s="225"/>
      <c r="AF88" s="207"/>
      <c r="AG88" s="227"/>
      <c r="AH88" s="207"/>
      <c r="AI88" s="207"/>
      <c r="AJ88" s="207"/>
      <c r="AK88" s="207"/>
      <c r="AL88" s="207" t="s">
        <v>488</v>
      </c>
      <c r="AM88" s="207" t="s">
        <v>489</v>
      </c>
      <c r="AN88" s="207" t="s">
        <v>98</v>
      </c>
      <c r="AO88" s="207" t="s">
        <v>490</v>
      </c>
      <c r="AP88" s="207" t="s">
        <v>491</v>
      </c>
      <c r="AR88" s="207"/>
      <c r="AS88" s="207"/>
      <c r="AT88" s="207"/>
      <c r="AU88" s="207"/>
      <c r="AV88" s="207"/>
      <c r="AW88" s="207"/>
      <c r="AX88" s="207"/>
      <c r="AY88" s="207"/>
      <c r="AZ88" s="207"/>
      <c r="BA88" s="207"/>
      <c r="BB88" s="207"/>
      <c r="BC88" s="207"/>
      <c r="BD88" s="207"/>
      <c r="BE88" s="207"/>
      <c r="BF88" s="207"/>
      <c r="BG88" s="207"/>
      <c r="BH88" s="207"/>
      <c r="BI88" s="207"/>
      <c r="BJ88" s="207"/>
      <c r="BK88" s="207"/>
      <c r="BL88" s="207"/>
      <c r="BM88" s="207"/>
      <c r="BN88" s="207"/>
      <c r="BO88" s="207"/>
      <c r="BP88" s="207"/>
      <c r="BQ88" s="207" t="s">
        <v>492</v>
      </c>
      <c r="BR88" s="207"/>
    </row>
    <row r="89" ht="32" customHeight="1" spans="1:70">
      <c r="A89" s="189">
        <v>87</v>
      </c>
      <c r="B89" s="207" t="s">
        <v>493</v>
      </c>
      <c r="C89" s="207" t="s">
        <v>467</v>
      </c>
      <c r="D89" s="207" t="s">
        <v>494</v>
      </c>
      <c r="E89" s="209">
        <v>1979</v>
      </c>
      <c r="F89" s="207" t="s">
        <v>80</v>
      </c>
      <c r="G89" s="207" t="s">
        <v>470</v>
      </c>
      <c r="H89" s="207">
        <v>230</v>
      </c>
      <c r="I89" s="207">
        <v>5000</v>
      </c>
      <c r="J89" s="207" t="s">
        <v>495</v>
      </c>
      <c r="K89" s="207">
        <v>19802516516</v>
      </c>
      <c r="L89" s="224" t="s">
        <v>496</v>
      </c>
      <c r="M89" s="207" t="s">
        <v>497</v>
      </c>
      <c r="N89" s="207" t="s">
        <v>498</v>
      </c>
      <c r="O89" s="207" t="s">
        <v>499</v>
      </c>
      <c r="P89" s="207" t="s">
        <v>500</v>
      </c>
      <c r="Q89" s="207" t="s">
        <v>501</v>
      </c>
      <c r="R89" s="207"/>
      <c r="S89" s="207"/>
      <c r="T89" s="211"/>
      <c r="U89" s="207"/>
      <c r="V89" s="226"/>
      <c r="W89" s="207"/>
      <c r="X89" s="207"/>
      <c r="Y89" s="207"/>
      <c r="Z89" s="207"/>
      <c r="AA89" s="207"/>
      <c r="AB89" s="207" t="s">
        <v>128</v>
      </c>
      <c r="AC89" s="207" t="s">
        <v>96</v>
      </c>
      <c r="AD89" s="209" t="s">
        <v>502</v>
      </c>
      <c r="AE89" s="225"/>
      <c r="AF89" s="207"/>
      <c r="AG89" s="227">
        <v>1</v>
      </c>
      <c r="AH89" s="207"/>
      <c r="AI89" s="207"/>
      <c r="AJ89" s="207">
        <v>3</v>
      </c>
      <c r="AK89" s="207"/>
      <c r="AL89" s="207" t="s">
        <v>503</v>
      </c>
      <c r="AM89" s="207" t="s">
        <v>504</v>
      </c>
      <c r="AN89" s="207" t="s">
        <v>98</v>
      </c>
      <c r="AO89" s="207" t="s">
        <v>505</v>
      </c>
      <c r="AP89" s="207" t="s">
        <v>506</v>
      </c>
      <c r="AR89" s="207"/>
      <c r="AS89" s="207"/>
      <c r="AT89" s="207"/>
      <c r="AU89" s="207"/>
      <c r="AV89" s="207"/>
      <c r="AW89" s="207"/>
      <c r="AX89" s="207"/>
      <c r="AY89" s="207"/>
      <c r="AZ89" s="207"/>
      <c r="BA89" s="207"/>
      <c r="BB89" s="207"/>
      <c r="BC89" s="207"/>
      <c r="BD89" s="207"/>
      <c r="BE89" s="207"/>
      <c r="BF89" s="207"/>
      <c r="BG89" s="207"/>
      <c r="BH89" s="207"/>
      <c r="BI89" s="207"/>
      <c r="BJ89" s="207"/>
      <c r="BK89" s="207"/>
      <c r="BL89" s="207"/>
      <c r="BM89" s="207"/>
      <c r="BN89" s="207"/>
      <c r="BO89" s="207"/>
      <c r="BP89" s="207"/>
      <c r="BQ89" s="207" t="s">
        <v>507</v>
      </c>
      <c r="BR89" s="207"/>
    </row>
    <row r="90" ht="32" customHeight="1" spans="1:70">
      <c r="A90" s="189">
        <v>88</v>
      </c>
      <c r="B90" s="207" t="s">
        <v>508</v>
      </c>
      <c r="C90" s="207" t="s">
        <v>467</v>
      </c>
      <c r="D90" s="207" t="s">
        <v>509</v>
      </c>
      <c r="E90" s="209"/>
      <c r="F90" s="207" t="s">
        <v>80</v>
      </c>
      <c r="G90" s="207" t="s">
        <v>470</v>
      </c>
      <c r="H90" s="207">
        <v>82</v>
      </c>
      <c r="I90" s="207" t="s">
        <v>510</v>
      </c>
      <c r="J90" s="207" t="s">
        <v>511</v>
      </c>
      <c r="K90" s="207">
        <v>15006128085</v>
      </c>
      <c r="L90" s="224" t="s">
        <v>512</v>
      </c>
      <c r="M90" s="207" t="s">
        <v>513</v>
      </c>
      <c r="N90" s="207" t="s">
        <v>514</v>
      </c>
      <c r="O90" s="207" t="s">
        <v>474</v>
      </c>
      <c r="P90" s="207" t="s">
        <v>515</v>
      </c>
      <c r="Q90" s="207" t="s">
        <v>516</v>
      </c>
      <c r="R90" s="207"/>
      <c r="S90" s="207"/>
      <c r="T90" s="207"/>
      <c r="U90" s="207"/>
      <c r="V90" s="226"/>
      <c r="W90" s="207"/>
      <c r="X90" s="207"/>
      <c r="Y90" s="207"/>
      <c r="Z90" s="207"/>
      <c r="AA90" s="207" t="s">
        <v>85</v>
      </c>
      <c r="AB90" s="207" t="s">
        <v>86</v>
      </c>
      <c r="AC90" s="207" t="s">
        <v>96</v>
      </c>
      <c r="AD90" s="209" t="s">
        <v>517</v>
      </c>
      <c r="AE90" s="225"/>
      <c r="AF90" s="207"/>
      <c r="AG90" s="227"/>
      <c r="AH90" s="207"/>
      <c r="AI90" s="207"/>
      <c r="AJ90" s="207"/>
      <c r="AK90" s="207"/>
      <c r="AL90" s="207" t="s">
        <v>85</v>
      </c>
      <c r="AM90" s="207" t="s">
        <v>97</v>
      </c>
      <c r="AN90" s="207" t="s">
        <v>98</v>
      </c>
      <c r="AO90" s="207"/>
      <c r="AP90" s="207"/>
      <c r="AR90" s="207"/>
      <c r="AS90" s="207"/>
      <c r="AT90" s="207"/>
      <c r="AU90" s="207"/>
      <c r="AV90" s="207"/>
      <c r="AW90" s="207"/>
      <c r="AX90" s="207"/>
      <c r="AY90" s="207"/>
      <c r="AZ90" s="207"/>
      <c r="BA90" s="207"/>
      <c r="BB90" s="207"/>
      <c r="BC90" s="207"/>
      <c r="BD90" s="207"/>
      <c r="BE90" s="207"/>
      <c r="BF90" s="207"/>
      <c r="BG90" s="207"/>
      <c r="BH90" s="207"/>
      <c r="BI90" s="207"/>
      <c r="BJ90" s="207"/>
      <c r="BK90" s="207"/>
      <c r="BL90" s="207"/>
      <c r="BM90" s="207"/>
      <c r="BN90" s="207"/>
      <c r="BO90" s="207"/>
      <c r="BP90" s="207"/>
      <c r="BQ90" s="207" t="s">
        <v>369</v>
      </c>
      <c r="BR90" s="207"/>
    </row>
    <row r="91" ht="32" customHeight="1" spans="1:70">
      <c r="A91" s="189">
        <v>89</v>
      </c>
      <c r="B91" s="207" t="s">
        <v>518</v>
      </c>
      <c r="C91" s="207" t="s">
        <v>467</v>
      </c>
      <c r="D91" s="207" t="s">
        <v>519</v>
      </c>
      <c r="E91" s="209"/>
      <c r="F91" s="207" t="s">
        <v>80</v>
      </c>
      <c r="G91" s="207" t="s">
        <v>520</v>
      </c>
      <c r="H91" s="207">
        <v>128</v>
      </c>
      <c r="I91" s="207" t="s">
        <v>479</v>
      </c>
      <c r="J91" s="207" t="s">
        <v>521</v>
      </c>
      <c r="K91" s="207">
        <v>13775618888</v>
      </c>
      <c r="L91" s="224" t="s">
        <v>522</v>
      </c>
      <c r="M91" s="207" t="s">
        <v>523</v>
      </c>
      <c r="N91" s="207" t="s">
        <v>498</v>
      </c>
      <c r="O91" s="207" t="s">
        <v>524</v>
      </c>
      <c r="P91" s="207" t="s">
        <v>525</v>
      </c>
      <c r="Q91" s="207" t="s">
        <v>526</v>
      </c>
      <c r="R91" s="207"/>
      <c r="S91" s="207"/>
      <c r="T91" s="211"/>
      <c r="U91" s="207"/>
      <c r="V91" s="226"/>
      <c r="W91" s="207"/>
      <c r="X91" s="207"/>
      <c r="Y91" s="209" t="s">
        <v>84</v>
      </c>
      <c r="Z91" s="207" t="s">
        <v>85</v>
      </c>
      <c r="AA91" s="207" t="s">
        <v>85</v>
      </c>
      <c r="AB91" s="207" t="s">
        <v>86</v>
      </c>
      <c r="AC91" s="207" t="s">
        <v>96</v>
      </c>
      <c r="AD91" s="209" t="s">
        <v>527</v>
      </c>
      <c r="AE91" s="225"/>
      <c r="AF91" s="207"/>
      <c r="AG91" s="227"/>
      <c r="AH91" s="207"/>
      <c r="AI91" s="207"/>
      <c r="AJ91" s="207"/>
      <c r="AK91" s="207"/>
      <c r="AL91" s="207" t="s">
        <v>85</v>
      </c>
      <c r="AM91" s="207" t="s">
        <v>97</v>
      </c>
      <c r="AN91" s="207" t="s">
        <v>98</v>
      </c>
      <c r="AO91" s="207"/>
      <c r="AP91" s="207"/>
      <c r="AR91" s="207"/>
      <c r="AS91" s="207"/>
      <c r="AT91" s="207"/>
      <c r="AU91" s="207"/>
      <c r="AV91" s="207"/>
      <c r="AW91" s="207"/>
      <c r="AX91" s="207"/>
      <c r="AY91" s="207"/>
      <c r="AZ91" s="207"/>
      <c r="BA91" s="207"/>
      <c r="BB91" s="207"/>
      <c r="BC91" s="207"/>
      <c r="BD91" s="207"/>
      <c r="BE91" s="207"/>
      <c r="BF91" s="207"/>
      <c r="BG91" s="207"/>
      <c r="BH91" s="207"/>
      <c r="BI91" s="207"/>
      <c r="BJ91" s="207"/>
      <c r="BK91" s="207"/>
      <c r="BL91" s="207"/>
      <c r="BM91" s="207"/>
      <c r="BN91" s="207"/>
      <c r="BO91" s="207"/>
      <c r="BP91" s="207"/>
      <c r="BQ91" s="207" t="s">
        <v>369</v>
      </c>
      <c r="BR91" s="207"/>
    </row>
    <row r="92" ht="32" customHeight="1" spans="1:70">
      <c r="A92" s="189">
        <v>90</v>
      </c>
      <c r="B92" s="207" t="s">
        <v>528</v>
      </c>
      <c r="C92" s="207" t="s">
        <v>467</v>
      </c>
      <c r="D92" s="207" t="s">
        <v>529</v>
      </c>
      <c r="E92" s="209"/>
      <c r="F92" s="207" t="s">
        <v>80</v>
      </c>
      <c r="G92" s="207" t="s">
        <v>470</v>
      </c>
      <c r="H92" s="207">
        <v>91</v>
      </c>
      <c r="I92" s="207" t="s">
        <v>479</v>
      </c>
      <c r="J92" s="207" t="s">
        <v>530</v>
      </c>
      <c r="K92" s="207">
        <v>13801503210</v>
      </c>
      <c r="L92" s="224" t="s">
        <v>531</v>
      </c>
      <c r="M92" s="207" t="s">
        <v>532</v>
      </c>
      <c r="N92" s="207" t="s">
        <v>533</v>
      </c>
      <c r="O92" s="207" t="s">
        <v>534</v>
      </c>
      <c r="P92" s="207" t="s">
        <v>535</v>
      </c>
      <c r="Q92" s="207" t="s">
        <v>536</v>
      </c>
      <c r="R92" s="207"/>
      <c r="S92" s="207"/>
      <c r="T92" s="207"/>
      <c r="U92" s="207"/>
      <c r="V92" s="226"/>
      <c r="W92" s="207"/>
      <c r="X92" s="207"/>
      <c r="Y92" s="209" t="s">
        <v>84</v>
      </c>
      <c r="Z92" s="207" t="s">
        <v>85</v>
      </c>
      <c r="AA92" s="207" t="s">
        <v>85</v>
      </c>
      <c r="AB92" s="207" t="s">
        <v>86</v>
      </c>
      <c r="AC92" s="207" t="s">
        <v>96</v>
      </c>
      <c r="AD92" s="209" t="s">
        <v>537</v>
      </c>
      <c r="AE92" s="225"/>
      <c r="AF92" s="207"/>
      <c r="AG92" s="227">
        <v>0.1</v>
      </c>
      <c r="AH92" s="207" t="s">
        <v>366</v>
      </c>
      <c r="AI92" s="207" t="s">
        <v>538</v>
      </c>
      <c r="AJ92" s="207">
        <v>5</v>
      </c>
      <c r="AK92" s="207" t="s">
        <v>97</v>
      </c>
      <c r="AL92" s="207" t="s">
        <v>539</v>
      </c>
      <c r="AM92" s="207" t="s">
        <v>369</v>
      </c>
      <c r="AN92" s="207" t="s">
        <v>98</v>
      </c>
      <c r="AO92" s="207" t="s">
        <v>540</v>
      </c>
      <c r="AP92" s="207" t="s">
        <v>541</v>
      </c>
      <c r="AR92" s="207"/>
      <c r="AS92" s="207"/>
      <c r="AT92" s="207"/>
      <c r="AU92" s="207"/>
      <c r="AV92" s="207"/>
      <c r="AW92" s="207"/>
      <c r="AX92" s="207"/>
      <c r="AY92" s="207"/>
      <c r="AZ92" s="207"/>
      <c r="BA92" s="207"/>
      <c r="BB92" s="207"/>
      <c r="BC92" s="207"/>
      <c r="BD92" s="207"/>
      <c r="BE92" s="207"/>
      <c r="BF92" s="207"/>
      <c r="BG92" s="207"/>
      <c r="BH92" s="207"/>
      <c r="BI92" s="207"/>
      <c r="BJ92" s="207"/>
      <c r="BK92" s="207"/>
      <c r="BL92" s="207"/>
      <c r="BM92" s="207"/>
      <c r="BN92" s="207"/>
      <c r="BO92" s="207"/>
      <c r="BP92" s="207"/>
      <c r="BQ92" s="207" t="s">
        <v>542</v>
      </c>
      <c r="BR92" s="207"/>
    </row>
    <row r="93" ht="32" customHeight="1" spans="1:70">
      <c r="A93" s="189">
        <v>91</v>
      </c>
      <c r="B93" s="207" t="s">
        <v>543</v>
      </c>
      <c r="C93" s="207" t="s">
        <v>467</v>
      </c>
      <c r="D93" s="207" t="s">
        <v>544</v>
      </c>
      <c r="E93" s="209"/>
      <c r="F93" s="207" t="s">
        <v>80</v>
      </c>
      <c r="G93" s="207" t="s">
        <v>470</v>
      </c>
      <c r="H93" s="207">
        <v>125</v>
      </c>
      <c r="I93" s="207" t="s">
        <v>479</v>
      </c>
      <c r="J93" s="207" t="s">
        <v>545</v>
      </c>
      <c r="K93" s="207">
        <v>13651505528</v>
      </c>
      <c r="L93" s="224" t="s">
        <v>546</v>
      </c>
      <c r="M93" s="207" t="s">
        <v>547</v>
      </c>
      <c r="N93" s="207" t="s">
        <v>533</v>
      </c>
      <c r="O93" s="207" t="s">
        <v>474</v>
      </c>
      <c r="P93" s="207" t="s">
        <v>548</v>
      </c>
      <c r="Q93" s="207" t="s">
        <v>536</v>
      </c>
      <c r="R93" s="207"/>
      <c r="S93" s="207"/>
      <c r="T93" s="207"/>
      <c r="U93" s="207"/>
      <c r="V93" s="226"/>
      <c r="W93" s="207"/>
      <c r="X93" s="207"/>
      <c r="Y93" s="209" t="s">
        <v>84</v>
      </c>
      <c r="Z93" s="207" t="s">
        <v>85</v>
      </c>
      <c r="AA93" s="207" t="s">
        <v>85</v>
      </c>
      <c r="AB93" s="207" t="s">
        <v>86</v>
      </c>
      <c r="AC93" s="207" t="s">
        <v>96</v>
      </c>
      <c r="AD93" s="209" t="s">
        <v>549</v>
      </c>
      <c r="AE93" s="225"/>
      <c r="AF93" s="207"/>
      <c r="AG93" s="227"/>
      <c r="AH93" s="207" t="s">
        <v>366</v>
      </c>
      <c r="AI93" s="207"/>
      <c r="AJ93" s="207"/>
      <c r="AK93" s="207" t="s">
        <v>97</v>
      </c>
      <c r="AL93" s="207" t="s">
        <v>539</v>
      </c>
      <c r="AM93" s="207" t="s">
        <v>369</v>
      </c>
      <c r="AN93" s="207" t="s">
        <v>98</v>
      </c>
      <c r="AO93" s="207"/>
      <c r="AP93" s="207"/>
      <c r="AR93" s="207"/>
      <c r="AS93" s="207"/>
      <c r="AT93" s="207"/>
      <c r="AU93" s="207"/>
      <c r="AV93" s="207"/>
      <c r="AW93" s="207"/>
      <c r="AX93" s="207"/>
      <c r="AY93" s="207"/>
      <c r="AZ93" s="207"/>
      <c r="BA93" s="207"/>
      <c r="BB93" s="207"/>
      <c r="BC93" s="207"/>
      <c r="BD93" s="207"/>
      <c r="BE93" s="207"/>
      <c r="BF93" s="207"/>
      <c r="BG93" s="207"/>
      <c r="BH93" s="207"/>
      <c r="BI93" s="207"/>
      <c r="BJ93" s="207"/>
      <c r="BK93" s="207"/>
      <c r="BL93" s="207"/>
      <c r="BM93" s="207"/>
      <c r="BN93" s="207"/>
      <c r="BO93" s="207"/>
      <c r="BP93" s="207"/>
      <c r="BQ93" s="207" t="s">
        <v>542</v>
      </c>
      <c r="BR93" s="207"/>
    </row>
    <row r="94" ht="32" customHeight="1" spans="1:70">
      <c r="A94" s="189">
        <v>92</v>
      </c>
      <c r="B94" s="207" t="s">
        <v>550</v>
      </c>
      <c r="C94" s="207" t="s">
        <v>467</v>
      </c>
      <c r="D94" s="207" t="s">
        <v>551</v>
      </c>
      <c r="E94" s="209"/>
      <c r="F94" s="207" t="s">
        <v>80</v>
      </c>
      <c r="G94" s="207" t="s">
        <v>552</v>
      </c>
      <c r="H94" s="207">
        <v>286</v>
      </c>
      <c r="I94" s="207" t="s">
        <v>479</v>
      </c>
      <c r="J94" s="207" t="s">
        <v>553</v>
      </c>
      <c r="K94" s="286" t="s">
        <v>554</v>
      </c>
      <c r="L94" s="224" t="s">
        <v>555</v>
      </c>
      <c r="M94" s="207" t="s">
        <v>497</v>
      </c>
      <c r="N94" s="207" t="s">
        <v>556</v>
      </c>
      <c r="O94" s="207" t="s">
        <v>557</v>
      </c>
      <c r="P94" s="207" t="s">
        <v>558</v>
      </c>
      <c r="Q94" s="207" t="s">
        <v>559</v>
      </c>
      <c r="R94" s="207"/>
      <c r="S94" s="207"/>
      <c r="T94" s="211"/>
      <c r="U94" s="207"/>
      <c r="V94" s="226"/>
      <c r="W94" s="207"/>
      <c r="X94" s="207"/>
      <c r="Y94" s="207"/>
      <c r="Z94" s="207"/>
      <c r="AA94" s="207" t="s">
        <v>85</v>
      </c>
      <c r="AB94" s="207" t="s">
        <v>128</v>
      </c>
      <c r="AC94" s="207" t="s">
        <v>96</v>
      </c>
      <c r="AD94" s="209" t="s">
        <v>560</v>
      </c>
      <c r="AE94" s="225"/>
      <c r="AF94" s="207"/>
      <c r="AG94" s="227"/>
      <c r="AH94" s="207"/>
      <c r="AI94" s="207"/>
      <c r="AJ94" s="207"/>
      <c r="AK94" s="207"/>
      <c r="AL94" s="207"/>
      <c r="AM94" s="207"/>
      <c r="AN94" s="207" t="s">
        <v>476</v>
      </c>
      <c r="AO94" s="207"/>
      <c r="AP94" s="207"/>
      <c r="AR94" s="207"/>
      <c r="AS94" s="207"/>
      <c r="AT94" s="207"/>
      <c r="AU94" s="207"/>
      <c r="AV94" s="207"/>
      <c r="AW94" s="207"/>
      <c r="AX94" s="207"/>
      <c r="AY94" s="207"/>
      <c r="AZ94" s="207"/>
      <c r="BA94" s="207"/>
      <c r="BB94" s="207"/>
      <c r="BC94" s="207"/>
      <c r="BD94" s="207"/>
      <c r="BE94" s="207"/>
      <c r="BF94" s="207"/>
      <c r="BG94" s="207"/>
      <c r="BH94" s="207"/>
      <c r="BI94" s="207"/>
      <c r="BJ94" s="207"/>
      <c r="BK94" s="207"/>
      <c r="BL94" s="207"/>
      <c r="BM94" s="207"/>
      <c r="BN94" s="207"/>
      <c r="BO94" s="207"/>
      <c r="BP94" s="207"/>
      <c r="BQ94" s="207"/>
      <c r="BR94" s="207"/>
    </row>
    <row r="95" ht="32" customHeight="1" spans="1:70">
      <c r="A95" s="204">
        <v>93</v>
      </c>
      <c r="B95" s="205" t="s">
        <v>561</v>
      </c>
      <c r="C95" s="205" t="s">
        <v>467</v>
      </c>
      <c r="D95" s="205" t="s">
        <v>562</v>
      </c>
      <c r="E95" s="210" t="s">
        <v>563</v>
      </c>
      <c r="F95" s="205" t="s">
        <v>80</v>
      </c>
      <c r="G95" s="205" t="s">
        <v>470</v>
      </c>
      <c r="H95" s="204">
        <v>180</v>
      </c>
      <c r="I95" s="205">
        <v>5000</v>
      </c>
      <c r="J95" s="205" t="s">
        <v>564</v>
      </c>
      <c r="K95" s="205">
        <v>13776884560</v>
      </c>
      <c r="L95" s="205"/>
      <c r="M95" s="205" t="s">
        <v>565</v>
      </c>
      <c r="N95" s="205"/>
      <c r="O95" s="205" t="s">
        <v>566</v>
      </c>
      <c r="P95" s="205" t="s">
        <v>567</v>
      </c>
      <c r="Q95" s="205"/>
      <c r="R95" s="205" t="s">
        <v>568</v>
      </c>
      <c r="S95" s="205"/>
      <c r="T95" s="228"/>
      <c r="U95" s="205"/>
      <c r="V95" s="229"/>
      <c r="W95" s="205"/>
      <c r="X95" s="205"/>
      <c r="Y95" s="210" t="s">
        <v>84</v>
      </c>
      <c r="Z95" s="205" t="s">
        <v>85</v>
      </c>
      <c r="AA95" s="205" t="s">
        <v>85</v>
      </c>
      <c r="AB95" s="205" t="s">
        <v>128</v>
      </c>
      <c r="AC95" s="205" t="s">
        <v>96</v>
      </c>
      <c r="AD95" s="210" t="s">
        <v>549</v>
      </c>
      <c r="AE95" s="161"/>
      <c r="AF95" s="205"/>
      <c r="AG95" s="230">
        <v>0.45</v>
      </c>
      <c r="AH95" s="205"/>
      <c r="AI95" s="205"/>
      <c r="AJ95" s="205">
        <v>6</v>
      </c>
      <c r="AK95" s="205"/>
      <c r="AL95" s="205"/>
      <c r="AM95" s="205"/>
      <c r="AN95" s="205"/>
      <c r="AO95" s="205"/>
      <c r="AP95" s="205"/>
      <c r="AR95" s="205"/>
      <c r="AS95" s="205"/>
      <c r="AT95" s="205"/>
      <c r="AU95" s="205"/>
      <c r="AV95" s="205"/>
      <c r="AW95" s="205"/>
      <c r="AX95" s="205"/>
      <c r="AY95" s="205"/>
      <c r="AZ95" s="205"/>
      <c r="BA95" s="205"/>
      <c r="BB95" s="205"/>
      <c r="BC95" s="205"/>
      <c r="BD95" s="205"/>
      <c r="BE95" s="205"/>
      <c r="BF95" s="205"/>
      <c r="BG95" s="205"/>
      <c r="BH95" s="205"/>
      <c r="BI95" s="205"/>
      <c r="BJ95" s="205"/>
      <c r="BK95" s="205"/>
      <c r="BL95" s="205"/>
      <c r="BM95" s="205"/>
      <c r="BN95" s="205"/>
      <c r="BO95" s="205"/>
      <c r="BP95" s="205"/>
      <c r="BQ95" s="205"/>
      <c r="BR95" s="205"/>
    </row>
    <row r="96" ht="32" customHeight="1" spans="1:70">
      <c r="A96" s="189">
        <v>94</v>
      </c>
      <c r="B96" s="207" t="s">
        <v>569</v>
      </c>
      <c r="C96" s="207" t="s">
        <v>467</v>
      </c>
      <c r="D96" s="207" t="s">
        <v>570</v>
      </c>
      <c r="E96" s="209"/>
      <c r="F96" s="207" t="s">
        <v>80</v>
      </c>
      <c r="G96" s="207" t="s">
        <v>470</v>
      </c>
      <c r="H96" s="207">
        <v>65</v>
      </c>
      <c r="I96" s="207" t="s">
        <v>510</v>
      </c>
      <c r="J96" s="207" t="s">
        <v>571</v>
      </c>
      <c r="K96" s="207">
        <v>16651591315</v>
      </c>
      <c r="L96" s="207" t="s">
        <v>572</v>
      </c>
      <c r="M96" s="207" t="s">
        <v>573</v>
      </c>
      <c r="N96" s="207" t="s">
        <v>574</v>
      </c>
      <c r="O96" s="207" t="s">
        <v>534</v>
      </c>
      <c r="P96" s="207" t="s">
        <v>575</v>
      </c>
      <c r="Q96" s="207" t="s">
        <v>576</v>
      </c>
      <c r="R96" s="207"/>
      <c r="S96" s="207"/>
      <c r="T96" s="231"/>
      <c r="U96" s="207"/>
      <c r="V96" s="226"/>
      <c r="W96" s="207"/>
      <c r="X96" s="207"/>
      <c r="Y96" s="209" t="s">
        <v>84</v>
      </c>
      <c r="Z96" s="207"/>
      <c r="AA96" s="207"/>
      <c r="AB96" s="207" t="s">
        <v>128</v>
      </c>
      <c r="AC96" s="207" t="s">
        <v>96</v>
      </c>
      <c r="AD96" s="209" t="s">
        <v>577</v>
      </c>
      <c r="AE96" s="225"/>
      <c r="AF96" s="207"/>
      <c r="AG96" s="227">
        <v>0.8</v>
      </c>
      <c r="AH96" s="207" t="s">
        <v>366</v>
      </c>
      <c r="AI96" s="207" t="s">
        <v>578</v>
      </c>
      <c r="AJ96" s="207">
        <v>0</v>
      </c>
      <c r="AK96" s="207" t="s">
        <v>369</v>
      </c>
      <c r="AL96" s="207" t="s">
        <v>85</v>
      </c>
      <c r="AM96" s="207"/>
      <c r="AN96" s="207"/>
      <c r="AO96" s="207"/>
      <c r="AP96" s="207"/>
      <c r="AR96" s="207"/>
      <c r="AS96" s="207"/>
      <c r="AT96" s="207"/>
      <c r="AU96" s="207"/>
      <c r="AV96" s="207"/>
      <c r="AW96" s="207"/>
      <c r="AX96" s="207"/>
      <c r="AY96" s="207"/>
      <c r="AZ96" s="207"/>
      <c r="BA96" s="207"/>
      <c r="BB96" s="207"/>
      <c r="BC96" s="207"/>
      <c r="BD96" s="207"/>
      <c r="BE96" s="207"/>
      <c r="BF96" s="207"/>
      <c r="BG96" s="207"/>
      <c r="BH96" s="207"/>
      <c r="BI96" s="207"/>
      <c r="BJ96" s="207"/>
      <c r="BK96" s="207"/>
      <c r="BL96" s="207"/>
      <c r="BM96" s="207"/>
      <c r="BN96" s="207"/>
      <c r="BO96" s="207"/>
      <c r="BP96" s="207"/>
      <c r="BQ96" s="207" t="s">
        <v>369</v>
      </c>
      <c r="BR96" s="207"/>
    </row>
    <row r="97" ht="32" customHeight="1" spans="1:70">
      <c r="A97" s="204">
        <v>95</v>
      </c>
      <c r="B97" s="205" t="s">
        <v>579</v>
      </c>
      <c r="C97" s="205" t="s">
        <v>467</v>
      </c>
      <c r="D97" s="205" t="s">
        <v>580</v>
      </c>
      <c r="E97" s="210"/>
      <c r="F97" s="205" t="s">
        <v>80</v>
      </c>
      <c r="G97" s="205" t="s">
        <v>581</v>
      </c>
      <c r="H97" s="205">
        <v>161</v>
      </c>
      <c r="I97" s="205" t="s">
        <v>479</v>
      </c>
      <c r="J97" s="205" t="s">
        <v>582</v>
      </c>
      <c r="K97" s="210" t="s">
        <v>583</v>
      </c>
      <c r="L97" s="205" t="s">
        <v>584</v>
      </c>
      <c r="M97" s="205" t="s">
        <v>585</v>
      </c>
      <c r="N97" s="205" t="s">
        <v>586</v>
      </c>
      <c r="O97" s="205" t="s">
        <v>587</v>
      </c>
      <c r="P97" s="205"/>
      <c r="Q97" s="205"/>
      <c r="R97" s="205"/>
      <c r="S97" s="205"/>
      <c r="T97" s="228"/>
      <c r="U97" s="205"/>
      <c r="V97" s="229"/>
      <c r="W97" s="205"/>
      <c r="X97" s="205"/>
      <c r="Y97" s="210" t="s">
        <v>84</v>
      </c>
      <c r="Z97" s="205"/>
      <c r="AA97" s="205" t="s">
        <v>85</v>
      </c>
      <c r="AB97" s="205" t="s">
        <v>86</v>
      </c>
      <c r="AC97" s="205" t="s">
        <v>96</v>
      </c>
      <c r="AD97" s="210" t="s">
        <v>588</v>
      </c>
      <c r="AE97" s="161"/>
      <c r="AF97" s="205"/>
      <c r="AG97" s="230"/>
      <c r="AH97" s="205"/>
      <c r="AI97" s="205"/>
      <c r="AJ97" s="205"/>
      <c r="AK97" s="205"/>
      <c r="AL97" s="205" t="s">
        <v>589</v>
      </c>
      <c r="AM97" s="205" t="s">
        <v>369</v>
      </c>
      <c r="AN97" s="205" t="s">
        <v>98</v>
      </c>
      <c r="AO97" s="205" t="s">
        <v>369</v>
      </c>
      <c r="AP97" s="205" t="s">
        <v>369</v>
      </c>
      <c r="AR97" s="205"/>
      <c r="AS97" s="205"/>
      <c r="AT97" s="205"/>
      <c r="AU97" s="205"/>
      <c r="AV97" s="205"/>
      <c r="AW97" s="205"/>
      <c r="AX97" s="205"/>
      <c r="AY97" s="205"/>
      <c r="AZ97" s="205"/>
      <c r="BA97" s="205"/>
      <c r="BB97" s="205"/>
      <c r="BC97" s="205"/>
      <c r="BD97" s="205"/>
      <c r="BE97" s="205"/>
      <c r="BF97" s="205"/>
      <c r="BG97" s="205"/>
      <c r="BH97" s="205"/>
      <c r="BI97" s="205"/>
      <c r="BJ97" s="205"/>
      <c r="BK97" s="205"/>
      <c r="BL97" s="205"/>
      <c r="BM97" s="205"/>
      <c r="BN97" s="205"/>
      <c r="BO97" s="205"/>
      <c r="BP97" s="205"/>
      <c r="BQ97" s="205" t="s">
        <v>369</v>
      </c>
      <c r="BR97" s="205"/>
    </row>
    <row r="98" ht="32" customHeight="1" spans="1:70">
      <c r="A98" s="189">
        <v>96</v>
      </c>
      <c r="B98" s="207" t="s">
        <v>590</v>
      </c>
      <c r="C98" s="207" t="s">
        <v>467</v>
      </c>
      <c r="D98" s="207" t="s">
        <v>591</v>
      </c>
      <c r="E98" s="209"/>
      <c r="F98" s="207" t="s">
        <v>80</v>
      </c>
      <c r="G98" s="207" t="s">
        <v>520</v>
      </c>
      <c r="H98" s="207">
        <v>1800</v>
      </c>
      <c r="I98" s="207" t="s">
        <v>479</v>
      </c>
      <c r="J98" s="207" t="s">
        <v>592</v>
      </c>
      <c r="K98" s="207" t="s">
        <v>593</v>
      </c>
      <c r="L98" s="207"/>
      <c r="M98" s="207"/>
      <c r="N98" s="207" t="s">
        <v>594</v>
      </c>
      <c r="O98" s="207"/>
      <c r="P98" s="207"/>
      <c r="Q98" s="207" t="s">
        <v>595</v>
      </c>
      <c r="R98" s="207" t="s">
        <v>596</v>
      </c>
      <c r="S98" s="207"/>
      <c r="T98" s="207"/>
      <c r="U98" s="207"/>
      <c r="V98" s="226"/>
      <c r="W98" s="207"/>
      <c r="X98" s="207"/>
      <c r="Y98" s="207"/>
      <c r="Z98" s="207"/>
      <c r="AA98" s="207" t="s">
        <v>85</v>
      </c>
      <c r="AB98" s="207" t="s">
        <v>86</v>
      </c>
      <c r="AC98" s="207" t="s">
        <v>96</v>
      </c>
      <c r="AD98" s="209" t="s">
        <v>597</v>
      </c>
      <c r="AE98" s="225"/>
      <c r="AF98" s="207"/>
      <c r="AG98" s="227"/>
      <c r="AH98" s="207"/>
      <c r="AI98" s="207"/>
      <c r="AJ98" s="207"/>
      <c r="AK98" s="207"/>
      <c r="AL98" s="207" t="s">
        <v>369</v>
      </c>
      <c r="AM98" s="207" t="s">
        <v>369</v>
      </c>
      <c r="AN98" s="207" t="s">
        <v>476</v>
      </c>
      <c r="AO98" s="207" t="s">
        <v>576</v>
      </c>
      <c r="AP98" s="207" t="s">
        <v>598</v>
      </c>
      <c r="AR98" s="207"/>
      <c r="AS98" s="207"/>
      <c r="AT98" s="207"/>
      <c r="AU98" s="207"/>
      <c r="AV98" s="207"/>
      <c r="AW98" s="207"/>
      <c r="AX98" s="207"/>
      <c r="AY98" s="207"/>
      <c r="AZ98" s="207"/>
      <c r="BA98" s="207"/>
      <c r="BB98" s="207"/>
      <c r="BC98" s="207"/>
      <c r="BD98" s="207"/>
      <c r="BE98" s="207"/>
      <c r="BF98" s="207"/>
      <c r="BG98" s="207"/>
      <c r="BH98" s="207"/>
      <c r="BI98" s="207"/>
      <c r="BJ98" s="207"/>
      <c r="BK98" s="207"/>
      <c r="BL98" s="207"/>
      <c r="BM98" s="207"/>
      <c r="BN98" s="207"/>
      <c r="BO98" s="207"/>
      <c r="BP98" s="207"/>
      <c r="BQ98" s="207" t="s">
        <v>369</v>
      </c>
      <c r="BR98" s="207"/>
    </row>
    <row r="99" ht="32" customHeight="1" spans="1:70">
      <c r="A99" s="189">
        <v>97</v>
      </c>
      <c r="B99" s="207" t="s">
        <v>599</v>
      </c>
      <c r="C99" s="207" t="s">
        <v>467</v>
      </c>
      <c r="D99" s="207" t="s">
        <v>600</v>
      </c>
      <c r="E99" s="209"/>
      <c r="F99" s="207" t="s">
        <v>80</v>
      </c>
      <c r="G99" s="207" t="s">
        <v>601</v>
      </c>
      <c r="H99" s="207">
        <v>3500</v>
      </c>
      <c r="I99" s="207" t="s">
        <v>479</v>
      </c>
      <c r="J99" s="207" t="s">
        <v>602</v>
      </c>
      <c r="K99" s="207"/>
      <c r="L99" s="207"/>
      <c r="M99" s="207" t="s">
        <v>603</v>
      </c>
      <c r="N99" s="207"/>
      <c r="O99" s="207" t="s">
        <v>587</v>
      </c>
      <c r="P99" s="207"/>
      <c r="Q99" s="207" t="s">
        <v>604</v>
      </c>
      <c r="R99" s="207" t="s">
        <v>596</v>
      </c>
      <c r="S99" s="207"/>
      <c r="T99" s="207"/>
      <c r="U99" s="207"/>
      <c r="V99" s="226"/>
      <c r="W99" s="207"/>
      <c r="X99" s="207"/>
      <c r="Y99" s="209" t="s">
        <v>84</v>
      </c>
      <c r="Z99" s="207"/>
      <c r="AA99" s="207" t="s">
        <v>85</v>
      </c>
      <c r="AB99" s="207" t="s">
        <v>128</v>
      </c>
      <c r="AC99" s="207" t="s">
        <v>96</v>
      </c>
      <c r="AD99" s="232"/>
      <c r="AE99" s="225"/>
      <c r="AF99" s="207"/>
      <c r="AG99" s="227"/>
      <c r="AH99" s="207"/>
      <c r="AI99" s="207"/>
      <c r="AJ99" s="207"/>
      <c r="AK99" s="207"/>
      <c r="AL99" s="207" t="s">
        <v>369</v>
      </c>
      <c r="AM99" s="207" t="s">
        <v>605</v>
      </c>
      <c r="AN99" s="207" t="s">
        <v>476</v>
      </c>
      <c r="AO99" s="207" t="s">
        <v>576</v>
      </c>
      <c r="AP99" s="207" t="s">
        <v>598</v>
      </c>
      <c r="AR99" s="207"/>
      <c r="AS99" s="207"/>
      <c r="AT99" s="207"/>
      <c r="AU99" s="207"/>
      <c r="AV99" s="207"/>
      <c r="AW99" s="207"/>
      <c r="AX99" s="207"/>
      <c r="AY99" s="207"/>
      <c r="AZ99" s="207"/>
      <c r="BA99" s="207"/>
      <c r="BB99" s="207"/>
      <c r="BC99" s="207"/>
      <c r="BD99" s="207"/>
      <c r="BE99" s="207"/>
      <c r="BF99" s="207"/>
      <c r="BG99" s="207"/>
      <c r="BH99" s="207"/>
      <c r="BI99" s="207"/>
      <c r="BJ99" s="207"/>
      <c r="BK99" s="207"/>
      <c r="BL99" s="207"/>
      <c r="BM99" s="207"/>
      <c r="BN99" s="207"/>
      <c r="BO99" s="207"/>
      <c r="BP99" s="207"/>
      <c r="BQ99" s="207" t="s">
        <v>369</v>
      </c>
      <c r="BR99" s="207"/>
    </row>
    <row r="100" ht="32" customHeight="1" spans="1:70">
      <c r="A100" s="189">
        <v>98</v>
      </c>
      <c r="B100" s="207" t="s">
        <v>606</v>
      </c>
      <c r="C100" s="207" t="s">
        <v>467</v>
      </c>
      <c r="D100" s="207" t="s">
        <v>607</v>
      </c>
      <c r="E100" s="209"/>
      <c r="F100" s="207" t="s">
        <v>80</v>
      </c>
      <c r="G100" s="207" t="s">
        <v>601</v>
      </c>
      <c r="H100" s="207">
        <v>368</v>
      </c>
      <c r="I100" s="207" t="s">
        <v>479</v>
      </c>
      <c r="J100" s="207" t="s">
        <v>608</v>
      </c>
      <c r="K100" s="207">
        <v>13584300901</v>
      </c>
      <c r="L100" s="207"/>
      <c r="M100" s="207" t="s">
        <v>609</v>
      </c>
      <c r="N100" s="207"/>
      <c r="O100" s="207"/>
      <c r="P100" s="207"/>
      <c r="Q100" s="207" t="s">
        <v>448</v>
      </c>
      <c r="R100" s="207" t="s">
        <v>146</v>
      </c>
      <c r="S100" s="207"/>
      <c r="T100" s="207"/>
      <c r="U100" s="207"/>
      <c r="V100" s="226"/>
      <c r="W100" s="207"/>
      <c r="X100" s="207"/>
      <c r="Y100" s="209" t="s">
        <v>84</v>
      </c>
      <c r="Z100" s="207"/>
      <c r="AA100" s="207" t="s">
        <v>85</v>
      </c>
      <c r="AB100" s="207" t="s">
        <v>86</v>
      </c>
      <c r="AC100" s="207" t="s">
        <v>96</v>
      </c>
      <c r="AD100" s="232"/>
      <c r="AE100" s="225"/>
      <c r="AF100" s="207"/>
      <c r="AG100" s="227"/>
      <c r="AH100" s="207"/>
      <c r="AI100" s="207"/>
      <c r="AJ100" s="207"/>
      <c r="AK100" s="207"/>
      <c r="AL100" s="207" t="s">
        <v>369</v>
      </c>
      <c r="AM100" s="207" t="s">
        <v>369</v>
      </c>
      <c r="AN100" s="207" t="s">
        <v>98</v>
      </c>
      <c r="AO100" s="207"/>
      <c r="AP100" s="207"/>
      <c r="AR100" s="207"/>
      <c r="AS100" s="207"/>
      <c r="AT100" s="207"/>
      <c r="AU100" s="207"/>
      <c r="AV100" s="207"/>
      <c r="AW100" s="207"/>
      <c r="AX100" s="207"/>
      <c r="AY100" s="207"/>
      <c r="AZ100" s="207"/>
      <c r="BA100" s="207"/>
      <c r="BB100" s="207"/>
      <c r="BC100" s="207"/>
      <c r="BD100" s="207"/>
      <c r="BE100" s="207"/>
      <c r="BF100" s="207"/>
      <c r="BG100" s="207"/>
      <c r="BH100" s="207"/>
      <c r="BI100" s="207"/>
      <c r="BJ100" s="207"/>
      <c r="BK100" s="207"/>
      <c r="BL100" s="207"/>
      <c r="BM100" s="207"/>
      <c r="BN100" s="207"/>
      <c r="BO100" s="207"/>
      <c r="BP100" s="207"/>
      <c r="BQ100" s="207"/>
      <c r="BR100" s="207"/>
    </row>
    <row r="101" ht="32" customHeight="1" spans="1:70">
      <c r="A101" s="189">
        <v>99</v>
      </c>
      <c r="B101" s="207" t="s">
        <v>610</v>
      </c>
      <c r="C101" s="207" t="s">
        <v>467</v>
      </c>
      <c r="D101" s="207" t="s">
        <v>611</v>
      </c>
      <c r="E101" s="209" t="s">
        <v>290</v>
      </c>
      <c r="F101" s="207" t="s">
        <v>310</v>
      </c>
      <c r="G101" s="207" t="s">
        <v>612</v>
      </c>
      <c r="H101" s="207">
        <v>24</v>
      </c>
      <c r="I101" s="207">
        <v>5000</v>
      </c>
      <c r="J101" s="207" t="s">
        <v>613</v>
      </c>
      <c r="K101" s="207"/>
      <c r="L101" s="207" t="s">
        <v>614</v>
      </c>
      <c r="M101" s="207" t="s">
        <v>615</v>
      </c>
      <c r="N101" s="207" t="s">
        <v>616</v>
      </c>
      <c r="O101" s="207" t="s">
        <v>617</v>
      </c>
      <c r="P101" s="207" t="s">
        <v>618</v>
      </c>
      <c r="Q101" s="207" t="s">
        <v>140</v>
      </c>
      <c r="R101" s="207"/>
      <c r="S101" s="207"/>
      <c r="T101" s="207"/>
      <c r="U101" s="207"/>
      <c r="V101" s="226"/>
      <c r="W101" s="207"/>
      <c r="X101" s="207"/>
      <c r="Y101" s="209" t="s">
        <v>84</v>
      </c>
      <c r="Z101" s="207" t="s">
        <v>85</v>
      </c>
      <c r="AA101" s="207" t="s">
        <v>85</v>
      </c>
      <c r="AB101" s="207" t="s">
        <v>86</v>
      </c>
      <c r="AC101" s="207" t="s">
        <v>96</v>
      </c>
      <c r="AD101" s="209" t="s">
        <v>619</v>
      </c>
      <c r="AE101" s="225"/>
      <c r="AF101" s="207"/>
      <c r="AG101" s="227"/>
      <c r="AH101" s="207"/>
      <c r="AI101" s="207"/>
      <c r="AJ101" s="207"/>
      <c r="AK101" s="207"/>
      <c r="AL101" s="207" t="s">
        <v>620</v>
      </c>
      <c r="AM101" s="207" t="s">
        <v>621</v>
      </c>
      <c r="AN101" s="207" t="s">
        <v>98</v>
      </c>
      <c r="AO101" s="207"/>
      <c r="AP101" s="207" t="s">
        <v>622</v>
      </c>
      <c r="AR101" s="207"/>
      <c r="AS101" s="207"/>
      <c r="AT101" s="207"/>
      <c r="AU101" s="207"/>
      <c r="AV101" s="207"/>
      <c r="AW101" s="207"/>
      <c r="AX101" s="207"/>
      <c r="AY101" s="207"/>
      <c r="AZ101" s="207"/>
      <c r="BA101" s="207"/>
      <c r="BB101" s="207"/>
      <c r="BC101" s="207"/>
      <c r="BD101" s="207"/>
      <c r="BE101" s="207"/>
      <c r="BF101" s="207"/>
      <c r="BG101" s="207"/>
      <c r="BH101" s="207"/>
      <c r="BI101" s="207"/>
      <c r="BJ101" s="207"/>
      <c r="BK101" s="207"/>
      <c r="BL101" s="207"/>
      <c r="BM101" s="207"/>
      <c r="BN101" s="207"/>
      <c r="BO101" s="207"/>
      <c r="BP101" s="207"/>
      <c r="BQ101" s="207" t="s">
        <v>623</v>
      </c>
      <c r="BR101" s="207"/>
    </row>
    <row r="102" ht="32" customHeight="1" spans="1:70">
      <c r="A102" s="189">
        <v>100</v>
      </c>
      <c r="B102" s="207" t="s">
        <v>624</v>
      </c>
      <c r="C102" s="207" t="s">
        <v>467</v>
      </c>
      <c r="D102" s="207" t="s">
        <v>625</v>
      </c>
      <c r="E102" s="209"/>
      <c r="F102" s="207" t="s">
        <v>156</v>
      </c>
      <c r="G102" s="207" t="s">
        <v>612</v>
      </c>
      <c r="H102" s="207">
        <v>6</v>
      </c>
      <c r="I102" s="207" t="s">
        <v>510</v>
      </c>
      <c r="J102" s="207" t="s">
        <v>626</v>
      </c>
      <c r="K102" s="207">
        <v>15295069881</v>
      </c>
      <c r="L102" s="207"/>
      <c r="M102" s="207" t="s">
        <v>586</v>
      </c>
      <c r="N102" s="207"/>
      <c r="O102" s="207"/>
      <c r="P102" s="207"/>
      <c r="Q102" s="207" t="s">
        <v>448</v>
      </c>
      <c r="R102" s="207"/>
      <c r="S102" s="207"/>
      <c r="T102" s="207"/>
      <c r="U102" s="207"/>
      <c r="V102" s="226"/>
      <c r="W102" s="207"/>
      <c r="X102" s="207"/>
      <c r="Y102" s="209" t="s">
        <v>84</v>
      </c>
      <c r="Z102" s="207"/>
      <c r="AA102" s="207" t="s">
        <v>85</v>
      </c>
      <c r="AB102" s="207" t="s">
        <v>86</v>
      </c>
      <c r="AC102" s="207" t="s">
        <v>96</v>
      </c>
      <c r="AD102" s="209" t="s">
        <v>627</v>
      </c>
      <c r="AE102" s="225"/>
      <c r="AF102" s="207"/>
      <c r="AG102" s="227"/>
      <c r="AH102" s="207"/>
      <c r="AI102" s="207"/>
      <c r="AJ102" s="207"/>
      <c r="AK102" s="207"/>
      <c r="AL102" s="207"/>
      <c r="AM102" s="207"/>
      <c r="AN102" s="207"/>
      <c r="AO102" s="207"/>
      <c r="AP102" s="207"/>
      <c r="AR102" s="207"/>
      <c r="AS102" s="207"/>
      <c r="AT102" s="207"/>
      <c r="AU102" s="207"/>
      <c r="AV102" s="207"/>
      <c r="AW102" s="207"/>
      <c r="AX102" s="207"/>
      <c r="AY102" s="207"/>
      <c r="AZ102" s="207"/>
      <c r="BA102" s="207"/>
      <c r="BB102" s="207"/>
      <c r="BC102" s="207"/>
      <c r="BD102" s="207"/>
      <c r="BE102" s="207"/>
      <c r="BF102" s="207"/>
      <c r="BG102" s="207"/>
      <c r="BH102" s="207"/>
      <c r="BI102" s="207"/>
      <c r="BJ102" s="207"/>
      <c r="BK102" s="207"/>
      <c r="BL102" s="207"/>
      <c r="BM102" s="207"/>
      <c r="BN102" s="207"/>
      <c r="BO102" s="207"/>
      <c r="BP102" s="207"/>
      <c r="BQ102" s="207"/>
      <c r="BR102" s="207"/>
    </row>
    <row r="103" ht="32" customHeight="1" spans="1:70">
      <c r="A103" s="189">
        <v>101</v>
      </c>
      <c r="B103" s="207" t="s">
        <v>628</v>
      </c>
      <c r="C103" s="207" t="s">
        <v>467</v>
      </c>
      <c r="D103" s="207" t="s">
        <v>629</v>
      </c>
      <c r="E103" s="209"/>
      <c r="F103" s="207" t="s">
        <v>80</v>
      </c>
      <c r="G103" s="207" t="s">
        <v>601</v>
      </c>
      <c r="H103" s="207">
        <v>900</v>
      </c>
      <c r="I103" s="207" t="s">
        <v>479</v>
      </c>
      <c r="J103" s="207"/>
      <c r="K103" s="207"/>
      <c r="L103" s="207"/>
      <c r="M103" s="207" t="s">
        <v>630</v>
      </c>
      <c r="N103" s="207" t="s">
        <v>616</v>
      </c>
      <c r="O103" s="207"/>
      <c r="P103" s="207" t="s">
        <v>631</v>
      </c>
      <c r="Q103" s="207" t="s">
        <v>604</v>
      </c>
      <c r="R103" s="207" t="s">
        <v>116</v>
      </c>
      <c r="S103" s="207"/>
      <c r="T103" s="207"/>
      <c r="U103" s="207"/>
      <c r="V103" s="226"/>
      <c r="W103" s="207"/>
      <c r="X103" s="207"/>
      <c r="Y103" s="209" t="s">
        <v>84</v>
      </c>
      <c r="Z103" s="207" t="s">
        <v>85</v>
      </c>
      <c r="AA103" s="207" t="s">
        <v>85</v>
      </c>
      <c r="AB103" s="207" t="s">
        <v>128</v>
      </c>
      <c r="AC103" s="207" t="s">
        <v>96</v>
      </c>
      <c r="AD103" s="209" t="s">
        <v>632</v>
      </c>
      <c r="AE103" s="225"/>
      <c r="AF103" s="207"/>
      <c r="AG103" s="227"/>
      <c r="AH103" s="207"/>
      <c r="AI103" s="207"/>
      <c r="AJ103" s="207"/>
      <c r="AK103" s="207"/>
      <c r="AL103" s="207" t="s">
        <v>633</v>
      </c>
      <c r="AM103" s="207" t="s">
        <v>633</v>
      </c>
      <c r="AN103" s="207" t="s">
        <v>98</v>
      </c>
      <c r="AO103" s="207" t="s">
        <v>634</v>
      </c>
      <c r="AP103" s="207" t="s">
        <v>635</v>
      </c>
      <c r="AR103" s="207"/>
      <c r="AS103" s="207"/>
      <c r="AT103" s="207"/>
      <c r="AU103" s="207"/>
      <c r="AV103" s="207"/>
      <c r="AW103" s="207"/>
      <c r="AX103" s="207"/>
      <c r="AY103" s="207"/>
      <c r="AZ103" s="207"/>
      <c r="BA103" s="207"/>
      <c r="BB103" s="207"/>
      <c r="BC103" s="207"/>
      <c r="BD103" s="207"/>
      <c r="BE103" s="207"/>
      <c r="BF103" s="207"/>
      <c r="BG103" s="207"/>
      <c r="BH103" s="207"/>
      <c r="BI103" s="207"/>
      <c r="BJ103" s="207"/>
      <c r="BK103" s="207"/>
      <c r="BL103" s="207"/>
      <c r="BM103" s="207"/>
      <c r="BN103" s="207"/>
      <c r="BO103" s="207"/>
      <c r="BP103" s="207"/>
      <c r="BQ103" s="207" t="s">
        <v>636</v>
      </c>
      <c r="BR103" s="207"/>
    </row>
    <row r="104" ht="32" customHeight="1" spans="1:70">
      <c r="A104" s="189">
        <v>102</v>
      </c>
      <c r="B104" s="207" t="s">
        <v>637</v>
      </c>
      <c r="C104" s="207" t="s">
        <v>467</v>
      </c>
      <c r="D104" s="207" t="s">
        <v>638</v>
      </c>
      <c r="E104" s="209"/>
      <c r="F104" s="207" t="s">
        <v>156</v>
      </c>
      <c r="G104" s="207" t="s">
        <v>639</v>
      </c>
      <c r="H104" s="207">
        <v>2</v>
      </c>
      <c r="I104" s="207" t="s">
        <v>479</v>
      </c>
      <c r="J104" s="207"/>
      <c r="K104" s="233"/>
      <c r="L104" s="207"/>
      <c r="M104" s="207" t="s">
        <v>640</v>
      </c>
      <c r="N104" s="207" t="s">
        <v>641</v>
      </c>
      <c r="O104" s="207" t="s">
        <v>642</v>
      </c>
      <c r="P104" s="207" t="s">
        <v>643</v>
      </c>
      <c r="Q104" s="207" t="s">
        <v>224</v>
      </c>
      <c r="R104" s="207"/>
      <c r="S104" s="207"/>
      <c r="T104" s="211"/>
      <c r="U104" s="207"/>
      <c r="V104" s="226"/>
      <c r="W104" s="207"/>
      <c r="X104" s="207"/>
      <c r="Y104" s="209" t="s">
        <v>84</v>
      </c>
      <c r="Z104" s="207"/>
      <c r="AA104" s="207" t="s">
        <v>85</v>
      </c>
      <c r="AB104" s="207" t="s">
        <v>86</v>
      </c>
      <c r="AC104" s="207" t="s">
        <v>96</v>
      </c>
      <c r="AD104" s="209" t="s">
        <v>549</v>
      </c>
      <c r="AE104" s="225"/>
      <c r="AF104" s="207"/>
      <c r="AG104" s="227">
        <v>0.8</v>
      </c>
      <c r="AH104" s="207" t="s">
        <v>366</v>
      </c>
      <c r="AI104" s="207" t="s">
        <v>644</v>
      </c>
      <c r="AJ104" s="207">
        <v>8</v>
      </c>
      <c r="AK104" s="207" t="s">
        <v>369</v>
      </c>
      <c r="AL104" s="207" t="s">
        <v>645</v>
      </c>
      <c r="AM104" s="207"/>
      <c r="AN104" s="207" t="s">
        <v>476</v>
      </c>
      <c r="AO104" s="207" t="s">
        <v>646</v>
      </c>
      <c r="AP104" s="207" t="s">
        <v>647</v>
      </c>
      <c r="AR104" s="207"/>
      <c r="AS104" s="207"/>
      <c r="AT104" s="207"/>
      <c r="AU104" s="207"/>
      <c r="AV104" s="207"/>
      <c r="AW104" s="207"/>
      <c r="AX104" s="207"/>
      <c r="AY104" s="207"/>
      <c r="AZ104" s="207"/>
      <c r="BA104" s="207"/>
      <c r="BB104" s="207"/>
      <c r="BC104" s="207"/>
      <c r="BD104" s="207"/>
      <c r="BE104" s="207"/>
      <c r="BF104" s="207"/>
      <c r="BG104" s="207"/>
      <c r="BH104" s="207"/>
      <c r="BI104" s="207"/>
      <c r="BJ104" s="207"/>
      <c r="BK104" s="207"/>
      <c r="BL104" s="207"/>
      <c r="BM104" s="207"/>
      <c r="BN104" s="207"/>
      <c r="BO104" s="207"/>
      <c r="BP104" s="207"/>
      <c r="BQ104" s="207" t="s">
        <v>648</v>
      </c>
      <c r="BR104" s="207"/>
    </row>
    <row r="105" ht="32" customHeight="1" spans="1:70">
      <c r="A105" s="189">
        <v>103</v>
      </c>
      <c r="B105" s="207" t="s">
        <v>649</v>
      </c>
      <c r="C105" s="207" t="s">
        <v>467</v>
      </c>
      <c r="D105" s="207" t="s">
        <v>650</v>
      </c>
      <c r="E105" s="209" t="s">
        <v>651</v>
      </c>
      <c r="F105" s="207" t="s">
        <v>80</v>
      </c>
      <c r="G105" s="207" t="s">
        <v>520</v>
      </c>
      <c r="H105" s="207">
        <v>400</v>
      </c>
      <c r="I105" s="207">
        <v>5000</v>
      </c>
      <c r="J105" s="207" t="s">
        <v>652</v>
      </c>
      <c r="K105" s="207">
        <v>18796979696</v>
      </c>
      <c r="L105" s="207"/>
      <c r="M105" s="207" t="s">
        <v>653</v>
      </c>
      <c r="N105" s="207" t="s">
        <v>654</v>
      </c>
      <c r="O105" s="207"/>
      <c r="P105" s="207"/>
      <c r="Q105" s="207" t="s">
        <v>655</v>
      </c>
      <c r="R105" s="207" t="s">
        <v>116</v>
      </c>
      <c r="S105" s="207"/>
      <c r="T105" s="211"/>
      <c r="U105" s="207"/>
      <c r="V105" s="226"/>
      <c r="W105" s="207"/>
      <c r="X105" s="207"/>
      <c r="Y105" s="209" t="s">
        <v>84</v>
      </c>
      <c r="Z105" s="207"/>
      <c r="AA105" s="207" t="s">
        <v>85</v>
      </c>
      <c r="AB105" s="207" t="s">
        <v>86</v>
      </c>
      <c r="AC105" s="207" t="s">
        <v>96</v>
      </c>
      <c r="AD105" s="209" t="s">
        <v>656</v>
      </c>
      <c r="AE105" s="225"/>
      <c r="AF105" s="207"/>
      <c r="AG105" s="227"/>
      <c r="AH105" s="207"/>
      <c r="AI105" s="207"/>
      <c r="AJ105" s="207"/>
      <c r="AK105" s="207"/>
      <c r="AL105" s="207"/>
      <c r="AM105" s="207"/>
      <c r="AN105" s="207" t="s">
        <v>98</v>
      </c>
      <c r="AO105" s="207" t="s">
        <v>657</v>
      </c>
      <c r="AP105" s="207" t="s">
        <v>658</v>
      </c>
      <c r="AR105" s="207"/>
      <c r="AS105" s="207"/>
      <c r="AT105" s="207"/>
      <c r="AU105" s="207"/>
      <c r="AV105" s="207"/>
      <c r="AW105" s="207"/>
      <c r="AX105" s="207"/>
      <c r="AY105" s="207"/>
      <c r="AZ105" s="207"/>
      <c r="BA105" s="207"/>
      <c r="BB105" s="207"/>
      <c r="BC105" s="207"/>
      <c r="BD105" s="207"/>
      <c r="BE105" s="207"/>
      <c r="BF105" s="207"/>
      <c r="BG105" s="207"/>
      <c r="BH105" s="207"/>
      <c r="BI105" s="207"/>
      <c r="BJ105" s="207"/>
      <c r="BK105" s="207"/>
      <c r="BL105" s="207"/>
      <c r="BM105" s="207"/>
      <c r="BN105" s="207"/>
      <c r="BO105" s="207"/>
      <c r="BP105" s="207"/>
      <c r="BQ105" s="207" t="s">
        <v>369</v>
      </c>
      <c r="BR105" s="207"/>
    </row>
    <row r="106" ht="32" customHeight="1" spans="1:70">
      <c r="A106" s="189">
        <v>104</v>
      </c>
      <c r="B106" s="207" t="s">
        <v>659</v>
      </c>
      <c r="C106" s="207" t="s">
        <v>467</v>
      </c>
      <c r="D106" s="207" t="s">
        <v>660</v>
      </c>
      <c r="E106" s="209"/>
      <c r="F106" s="207" t="s">
        <v>80</v>
      </c>
      <c r="G106" s="207" t="s">
        <v>661</v>
      </c>
      <c r="H106" s="207">
        <v>190</v>
      </c>
      <c r="I106" s="207" t="s">
        <v>479</v>
      </c>
      <c r="J106" s="207" t="s">
        <v>662</v>
      </c>
      <c r="K106" s="207">
        <v>13815013191</v>
      </c>
      <c r="L106" s="224" t="s">
        <v>663</v>
      </c>
      <c r="M106" s="207" t="s">
        <v>664</v>
      </c>
      <c r="N106" s="207" t="s">
        <v>665</v>
      </c>
      <c r="O106" s="207" t="s">
        <v>666</v>
      </c>
      <c r="P106" s="207" t="s">
        <v>667</v>
      </c>
      <c r="Q106" s="207" t="s">
        <v>668</v>
      </c>
      <c r="R106" s="207" t="s">
        <v>116</v>
      </c>
      <c r="S106" s="207"/>
      <c r="T106" s="211"/>
      <c r="U106" s="207"/>
      <c r="V106" s="226"/>
      <c r="W106" s="207"/>
      <c r="X106" s="207"/>
      <c r="Y106" s="209" t="s">
        <v>84</v>
      </c>
      <c r="Z106" s="207" t="s">
        <v>85</v>
      </c>
      <c r="AA106" s="207" t="s">
        <v>85</v>
      </c>
      <c r="AB106" s="207" t="s">
        <v>128</v>
      </c>
      <c r="AC106" s="207" t="s">
        <v>96</v>
      </c>
      <c r="AD106" s="209" t="s">
        <v>502</v>
      </c>
      <c r="AE106" s="225"/>
      <c r="AF106" s="207"/>
      <c r="AG106" s="227"/>
      <c r="AH106" s="207"/>
      <c r="AI106" s="207"/>
      <c r="AJ106" s="207"/>
      <c r="AK106" s="207"/>
      <c r="AL106" s="207"/>
      <c r="AM106" s="207"/>
      <c r="AN106" s="207"/>
      <c r="AO106" s="207"/>
      <c r="AP106" s="207"/>
      <c r="AR106" s="207"/>
      <c r="AS106" s="207"/>
      <c r="AT106" s="207"/>
      <c r="AU106" s="207"/>
      <c r="AV106" s="207"/>
      <c r="AW106" s="207"/>
      <c r="AX106" s="207"/>
      <c r="AY106" s="207"/>
      <c r="AZ106" s="207"/>
      <c r="BA106" s="207"/>
      <c r="BB106" s="207"/>
      <c r="BC106" s="207"/>
      <c r="BD106" s="207"/>
      <c r="BE106" s="207"/>
      <c r="BF106" s="207"/>
      <c r="BG106" s="207"/>
      <c r="BH106" s="207"/>
      <c r="BI106" s="207"/>
      <c r="BJ106" s="207"/>
      <c r="BK106" s="207"/>
      <c r="BL106" s="207"/>
      <c r="BM106" s="207"/>
      <c r="BN106" s="207"/>
      <c r="BO106" s="207"/>
      <c r="BP106" s="207"/>
      <c r="BQ106" s="207"/>
      <c r="BR106" s="207"/>
    </row>
    <row r="107" ht="32" customHeight="1" spans="1:70">
      <c r="A107" s="204">
        <v>105</v>
      </c>
      <c r="B107" s="205" t="s">
        <v>669</v>
      </c>
      <c r="C107" s="205" t="s">
        <v>467</v>
      </c>
      <c r="D107" s="205" t="s">
        <v>670</v>
      </c>
      <c r="E107" s="205"/>
      <c r="F107" s="205" t="s">
        <v>156</v>
      </c>
      <c r="G107" s="205" t="s">
        <v>671</v>
      </c>
      <c r="H107" s="205"/>
      <c r="I107" s="205"/>
      <c r="J107" s="205"/>
      <c r="K107" s="205"/>
      <c r="L107" s="205"/>
      <c r="M107" s="205"/>
      <c r="N107" s="205"/>
      <c r="O107" s="205"/>
      <c r="P107" s="205"/>
      <c r="Q107" s="205"/>
      <c r="R107" s="205"/>
      <c r="S107" s="205"/>
      <c r="T107" s="205"/>
      <c r="U107" s="205"/>
      <c r="V107" s="229"/>
      <c r="W107" s="205"/>
      <c r="X107" s="205"/>
      <c r="Y107" s="205"/>
      <c r="Z107" s="205"/>
      <c r="AA107" s="205"/>
      <c r="AB107" s="205"/>
      <c r="AC107" s="205"/>
      <c r="AD107" s="234"/>
      <c r="AE107" s="161"/>
      <c r="AF107" s="205"/>
      <c r="AG107" s="230"/>
      <c r="AH107" s="205"/>
      <c r="AI107" s="205"/>
      <c r="AJ107" s="205"/>
      <c r="AK107" s="205"/>
      <c r="AL107" s="205"/>
      <c r="AM107" s="205"/>
      <c r="AN107" s="205"/>
      <c r="AO107" s="205"/>
      <c r="AP107" s="205"/>
      <c r="AR107" s="205"/>
      <c r="AS107" s="205"/>
      <c r="AT107" s="205"/>
      <c r="AU107" s="205"/>
      <c r="AV107" s="205"/>
      <c r="AW107" s="205"/>
      <c r="AX107" s="205"/>
      <c r="AY107" s="205"/>
      <c r="AZ107" s="205"/>
      <c r="BA107" s="205"/>
      <c r="BB107" s="205"/>
      <c r="BC107" s="205"/>
      <c r="BD107" s="205"/>
      <c r="BE107" s="205"/>
      <c r="BF107" s="205"/>
      <c r="BG107" s="205"/>
      <c r="BH107" s="205"/>
      <c r="BI107" s="205"/>
      <c r="BJ107" s="205"/>
      <c r="BK107" s="205"/>
      <c r="BL107" s="205"/>
      <c r="BM107" s="205"/>
      <c r="BN107" s="205"/>
      <c r="BO107" s="205"/>
      <c r="BP107" s="205"/>
      <c r="BQ107" s="205"/>
      <c r="BR107" s="205"/>
    </row>
    <row r="108" ht="32" customHeight="1" spans="1:70">
      <c r="A108" s="208">
        <v>106</v>
      </c>
      <c r="B108" s="149" t="s">
        <v>672</v>
      </c>
      <c r="C108" s="149" t="s">
        <v>467</v>
      </c>
      <c r="D108" s="149" t="s">
        <v>673</v>
      </c>
      <c r="E108" s="149"/>
      <c r="F108" s="149" t="s">
        <v>156</v>
      </c>
      <c r="G108" s="149" t="s">
        <v>674</v>
      </c>
      <c r="H108" s="149"/>
      <c r="I108" s="149"/>
      <c r="J108" s="149" t="s">
        <v>675</v>
      </c>
      <c r="K108" s="149"/>
      <c r="L108" s="149"/>
      <c r="M108" s="149" t="s">
        <v>676</v>
      </c>
      <c r="N108" s="149"/>
      <c r="O108" s="149"/>
      <c r="P108" s="149"/>
      <c r="Q108" s="149"/>
      <c r="R108" s="149"/>
      <c r="S108" s="149"/>
      <c r="T108" s="149"/>
      <c r="U108" s="149"/>
      <c r="V108" s="235"/>
      <c r="W108" s="149"/>
      <c r="X108" s="149"/>
      <c r="Y108" s="149"/>
      <c r="Z108" s="149"/>
      <c r="AA108" s="149"/>
      <c r="AB108" s="149"/>
      <c r="AC108" s="149"/>
      <c r="AD108" s="236"/>
      <c r="AE108" s="161"/>
      <c r="AF108" s="149"/>
      <c r="AG108" s="237"/>
      <c r="AH108" s="149"/>
      <c r="AI108" s="149"/>
      <c r="AJ108" s="149"/>
      <c r="AK108" s="149"/>
      <c r="AL108" s="149"/>
      <c r="AM108" s="149"/>
      <c r="AN108" s="149"/>
      <c r="AO108" s="149"/>
      <c r="AP108" s="149"/>
      <c r="AR108" s="149"/>
      <c r="AS108" s="149"/>
      <c r="AT108" s="149"/>
      <c r="AU108" s="149"/>
      <c r="AV108" s="149"/>
      <c r="AW108" s="149"/>
      <c r="AX108" s="149"/>
      <c r="AY108" s="149"/>
      <c r="AZ108" s="149"/>
      <c r="BA108" s="149"/>
      <c r="BB108" s="149"/>
      <c r="BC108" s="149"/>
      <c r="BD108" s="149"/>
      <c r="BE108" s="149"/>
      <c r="BF108" s="149"/>
      <c r="BG108" s="149"/>
      <c r="BH108" s="149"/>
      <c r="BI108" s="149"/>
      <c r="BJ108" s="149"/>
      <c r="BK108" s="149"/>
      <c r="BL108" s="149"/>
      <c r="BM108" s="149"/>
      <c r="BN108" s="149"/>
      <c r="BO108" s="149"/>
      <c r="BP108" s="149"/>
      <c r="BQ108" s="149"/>
      <c r="BR108" s="149"/>
    </row>
    <row r="109" ht="32" customHeight="1" spans="1:70">
      <c r="A109" s="208">
        <v>107</v>
      </c>
      <c r="B109" s="149" t="s">
        <v>677</v>
      </c>
      <c r="C109" s="149" t="s">
        <v>467</v>
      </c>
      <c r="D109" s="149" t="s">
        <v>678</v>
      </c>
      <c r="E109" s="212" t="s">
        <v>348</v>
      </c>
      <c r="F109" s="149" t="s">
        <v>80</v>
      </c>
      <c r="G109" s="149" t="s">
        <v>520</v>
      </c>
      <c r="H109" s="149">
        <v>30</v>
      </c>
      <c r="I109" s="149">
        <v>5000</v>
      </c>
      <c r="J109" s="149" t="s">
        <v>679</v>
      </c>
      <c r="K109" s="149">
        <v>13861151888</v>
      </c>
      <c r="L109" s="149"/>
      <c r="M109" s="149" t="s">
        <v>680</v>
      </c>
      <c r="N109" s="149" t="s">
        <v>681</v>
      </c>
      <c r="O109" s="149"/>
      <c r="P109" s="149"/>
      <c r="Q109" s="149"/>
      <c r="R109" s="149"/>
      <c r="S109" s="149"/>
      <c r="T109" s="149"/>
      <c r="U109" s="149"/>
      <c r="V109" s="235"/>
      <c r="W109" s="149"/>
      <c r="X109" s="149"/>
      <c r="Y109" s="149"/>
      <c r="Z109" s="149"/>
      <c r="AA109" s="149"/>
      <c r="AB109" s="149"/>
      <c r="AC109" s="149"/>
      <c r="AD109" s="236"/>
      <c r="AE109" s="161"/>
      <c r="AF109" s="149"/>
      <c r="AG109" s="237"/>
      <c r="AH109" s="149"/>
      <c r="AI109" s="149"/>
      <c r="AJ109" s="149"/>
      <c r="AK109" s="149"/>
      <c r="AL109" s="149"/>
      <c r="AM109" s="149"/>
      <c r="AN109" s="149"/>
      <c r="AO109" s="149"/>
      <c r="AP109" s="149"/>
      <c r="AR109" s="149"/>
      <c r="AS109" s="149"/>
      <c r="AT109" s="149"/>
      <c r="AU109" s="149"/>
      <c r="AV109" s="149"/>
      <c r="AW109" s="149"/>
      <c r="AX109" s="149"/>
      <c r="AY109" s="149"/>
      <c r="AZ109" s="149"/>
      <c r="BA109" s="149"/>
      <c r="BB109" s="149"/>
      <c r="BC109" s="149"/>
      <c r="BD109" s="149"/>
      <c r="BE109" s="149"/>
      <c r="BF109" s="149"/>
      <c r="BG109" s="149"/>
      <c r="BH109" s="149"/>
      <c r="BI109" s="149"/>
      <c r="BJ109" s="149"/>
      <c r="BK109" s="149"/>
      <c r="BL109" s="149"/>
      <c r="BM109" s="149"/>
      <c r="BN109" s="149"/>
      <c r="BO109" s="149"/>
      <c r="BP109" s="149"/>
      <c r="BQ109" s="149"/>
      <c r="BR109" s="149"/>
    </row>
    <row r="110" ht="32" customHeight="1" spans="1:70">
      <c r="A110" s="208">
        <v>108</v>
      </c>
      <c r="B110" s="149" t="s">
        <v>682</v>
      </c>
      <c r="C110" s="149" t="s">
        <v>467</v>
      </c>
      <c r="D110" s="149" t="s">
        <v>683</v>
      </c>
      <c r="E110" s="212" t="s">
        <v>179</v>
      </c>
      <c r="F110" s="149" t="s">
        <v>80</v>
      </c>
      <c r="G110" s="149" t="s">
        <v>470</v>
      </c>
      <c r="H110" s="149">
        <v>100</v>
      </c>
      <c r="I110" s="149">
        <v>5000</v>
      </c>
      <c r="J110" s="149" t="s">
        <v>684</v>
      </c>
      <c r="K110" s="149">
        <v>19032062575</v>
      </c>
      <c r="L110" s="238" t="s">
        <v>685</v>
      </c>
      <c r="M110" s="149" t="s">
        <v>686</v>
      </c>
      <c r="N110" s="149" t="s">
        <v>533</v>
      </c>
      <c r="O110" s="149"/>
      <c r="P110" s="149"/>
      <c r="Q110" s="149"/>
      <c r="R110" s="149"/>
      <c r="S110" s="149"/>
      <c r="T110" s="149"/>
      <c r="U110" s="149"/>
      <c r="V110" s="235"/>
      <c r="W110" s="149"/>
      <c r="X110" s="149"/>
      <c r="Y110" s="149"/>
      <c r="Z110" s="149"/>
      <c r="AA110" s="149"/>
      <c r="AB110" s="149"/>
      <c r="AC110" s="149"/>
      <c r="AD110" s="236"/>
      <c r="AE110" s="161"/>
      <c r="AF110" s="149"/>
      <c r="AG110" s="237"/>
      <c r="AH110" s="149"/>
      <c r="AI110" s="149"/>
      <c r="AJ110" s="149"/>
      <c r="AK110" s="149"/>
      <c r="AL110" s="149"/>
      <c r="AM110" s="149"/>
      <c r="AN110" s="149"/>
      <c r="AO110" s="149"/>
      <c r="AP110" s="149"/>
      <c r="AR110" s="149"/>
      <c r="AS110" s="149"/>
      <c r="AT110" s="149"/>
      <c r="AU110" s="149"/>
      <c r="AV110" s="149"/>
      <c r="AW110" s="149"/>
      <c r="AX110" s="149"/>
      <c r="AY110" s="149"/>
      <c r="AZ110" s="149"/>
      <c r="BA110" s="149"/>
      <c r="BB110" s="149"/>
      <c r="BC110" s="149"/>
      <c r="BD110" s="149"/>
      <c r="BE110" s="149"/>
      <c r="BF110" s="149"/>
      <c r="BG110" s="149"/>
      <c r="BH110" s="149"/>
      <c r="BI110" s="149"/>
      <c r="BJ110" s="149"/>
      <c r="BK110" s="149"/>
      <c r="BL110" s="149"/>
      <c r="BM110" s="149"/>
      <c r="BN110" s="149"/>
      <c r="BO110" s="149"/>
      <c r="BP110" s="149"/>
      <c r="BQ110" s="149"/>
      <c r="BR110" s="149"/>
    </row>
    <row r="111" ht="32" customHeight="1" spans="1:70">
      <c r="A111" s="208">
        <v>109</v>
      </c>
      <c r="B111" s="149" t="s">
        <v>687</v>
      </c>
      <c r="C111" s="149" t="s">
        <v>467</v>
      </c>
      <c r="D111" s="149" t="s">
        <v>688</v>
      </c>
      <c r="E111" s="212" t="s">
        <v>689</v>
      </c>
      <c r="F111" s="149" t="s">
        <v>80</v>
      </c>
      <c r="G111" s="149" t="s">
        <v>470</v>
      </c>
      <c r="H111" s="149">
        <v>95</v>
      </c>
      <c r="I111" s="149">
        <v>5000</v>
      </c>
      <c r="J111" s="149" t="s">
        <v>690</v>
      </c>
      <c r="K111" s="149"/>
      <c r="L111" s="149"/>
      <c r="M111" s="149"/>
      <c r="N111" s="149" t="s">
        <v>533</v>
      </c>
      <c r="O111" s="149"/>
      <c r="P111" s="149"/>
      <c r="Q111" s="149"/>
      <c r="R111" s="149"/>
      <c r="S111" s="149"/>
      <c r="T111" s="149"/>
      <c r="U111" s="149"/>
      <c r="V111" s="235"/>
      <c r="W111" s="149"/>
      <c r="X111" s="149"/>
      <c r="Y111" s="149"/>
      <c r="Z111" s="149"/>
      <c r="AA111" s="149"/>
      <c r="AB111" s="149"/>
      <c r="AC111" s="149"/>
      <c r="AD111" s="236"/>
      <c r="AE111" s="161"/>
      <c r="AF111" s="149"/>
      <c r="AG111" s="237"/>
      <c r="AH111" s="149"/>
      <c r="AI111" s="149"/>
      <c r="AJ111" s="149"/>
      <c r="AK111" s="149"/>
      <c r="AL111" s="149"/>
      <c r="AM111" s="149"/>
      <c r="AN111" s="149"/>
      <c r="AO111" s="149"/>
      <c r="AP111" s="149"/>
      <c r="AR111" s="149"/>
      <c r="AS111" s="149"/>
      <c r="AT111" s="149"/>
      <c r="AU111" s="149"/>
      <c r="AV111" s="149"/>
      <c r="AW111" s="149"/>
      <c r="AX111" s="149"/>
      <c r="AY111" s="149"/>
      <c r="AZ111" s="149"/>
      <c r="BA111" s="149"/>
      <c r="BB111" s="149"/>
      <c r="BC111" s="149"/>
      <c r="BD111" s="149"/>
      <c r="BE111" s="149"/>
      <c r="BF111" s="149"/>
      <c r="BG111" s="149"/>
      <c r="BH111" s="149"/>
      <c r="BI111" s="149"/>
      <c r="BJ111" s="149"/>
      <c r="BK111" s="149"/>
      <c r="BL111" s="149"/>
      <c r="BM111" s="149"/>
      <c r="BN111" s="149"/>
      <c r="BO111" s="149"/>
      <c r="BP111" s="149"/>
      <c r="BQ111" s="149"/>
      <c r="BR111" s="149"/>
    </row>
    <row r="112" ht="32" customHeight="1" spans="1:70">
      <c r="A112" s="208">
        <v>110</v>
      </c>
      <c r="B112" s="149" t="s">
        <v>691</v>
      </c>
      <c r="C112" s="149" t="s">
        <v>467</v>
      </c>
      <c r="D112" s="149" t="s">
        <v>692</v>
      </c>
      <c r="E112" s="212" t="s">
        <v>260</v>
      </c>
      <c r="F112" s="149" t="s">
        <v>80</v>
      </c>
      <c r="G112" s="149" t="s">
        <v>671</v>
      </c>
      <c r="H112" s="149">
        <v>89</v>
      </c>
      <c r="I112" s="149">
        <v>5000</v>
      </c>
      <c r="J112" s="149" t="s">
        <v>693</v>
      </c>
      <c r="K112" s="149">
        <v>13775636309</v>
      </c>
      <c r="L112" s="149"/>
      <c r="M112" s="149" t="s">
        <v>694</v>
      </c>
      <c r="N112" s="149"/>
      <c r="O112" s="149"/>
      <c r="P112" s="149"/>
      <c r="Q112" s="149"/>
      <c r="R112" s="149"/>
      <c r="S112" s="149"/>
      <c r="T112" s="149"/>
      <c r="U112" s="149"/>
      <c r="V112" s="235"/>
      <c r="W112" s="149"/>
      <c r="X112" s="149"/>
      <c r="Y112" s="149"/>
      <c r="Z112" s="149"/>
      <c r="AA112" s="149"/>
      <c r="AB112" s="149"/>
      <c r="AC112" s="149"/>
      <c r="AD112" s="236"/>
      <c r="AE112" s="161"/>
      <c r="AF112" s="149"/>
      <c r="AG112" s="237"/>
      <c r="AH112" s="149"/>
      <c r="AI112" s="149"/>
      <c r="AJ112" s="149"/>
      <c r="AK112" s="149"/>
      <c r="AL112" s="149"/>
      <c r="AM112" s="149"/>
      <c r="AN112" s="149"/>
      <c r="AO112" s="149"/>
      <c r="AP112" s="149"/>
      <c r="AR112" s="149"/>
      <c r="AS112" s="149"/>
      <c r="AT112" s="149"/>
      <c r="AU112" s="149"/>
      <c r="AV112" s="149"/>
      <c r="AW112" s="149"/>
      <c r="AX112" s="149"/>
      <c r="AY112" s="149"/>
      <c r="AZ112" s="149"/>
      <c r="BA112" s="149"/>
      <c r="BB112" s="149"/>
      <c r="BC112" s="149"/>
      <c r="BD112" s="149"/>
      <c r="BE112" s="149"/>
      <c r="BF112" s="149"/>
      <c r="BG112" s="149"/>
      <c r="BH112" s="149"/>
      <c r="BI112" s="149"/>
      <c r="BJ112" s="149"/>
      <c r="BK112" s="149"/>
      <c r="BL112" s="149"/>
      <c r="BM112" s="149"/>
      <c r="BN112" s="149"/>
      <c r="BO112" s="149"/>
      <c r="BP112" s="149"/>
      <c r="BQ112" s="149"/>
      <c r="BR112" s="149"/>
    </row>
    <row r="113" ht="32" customHeight="1" spans="1:70">
      <c r="A113" s="208">
        <v>111</v>
      </c>
      <c r="B113" s="149" t="s">
        <v>695</v>
      </c>
      <c r="C113" s="149" t="s">
        <v>467</v>
      </c>
      <c r="D113" s="149" t="s">
        <v>696</v>
      </c>
      <c r="E113" s="212" t="s">
        <v>697</v>
      </c>
      <c r="F113" s="149" t="s">
        <v>80</v>
      </c>
      <c r="G113" s="149" t="s">
        <v>698</v>
      </c>
      <c r="H113" s="149">
        <v>183</v>
      </c>
      <c r="I113" s="149">
        <v>5000</v>
      </c>
      <c r="J113" s="149" t="s">
        <v>699</v>
      </c>
      <c r="K113" s="149">
        <v>13585332283</v>
      </c>
      <c r="L113" s="149"/>
      <c r="M113" s="149" t="s">
        <v>700</v>
      </c>
      <c r="N113" s="149"/>
      <c r="O113" s="149"/>
      <c r="P113" s="149"/>
      <c r="Q113" s="149"/>
      <c r="R113" s="149"/>
      <c r="S113" s="149"/>
      <c r="T113" s="149"/>
      <c r="U113" s="149"/>
      <c r="V113" s="235"/>
      <c r="W113" s="149"/>
      <c r="X113" s="149"/>
      <c r="Y113" s="149"/>
      <c r="Z113" s="149"/>
      <c r="AA113" s="149"/>
      <c r="AB113" s="149"/>
      <c r="AC113" s="149"/>
      <c r="AD113" s="236"/>
      <c r="AE113" s="161"/>
      <c r="AF113" s="149"/>
      <c r="AG113" s="237"/>
      <c r="AH113" s="149"/>
      <c r="AI113" s="149"/>
      <c r="AJ113" s="149"/>
      <c r="AK113" s="149"/>
      <c r="AL113" s="149"/>
      <c r="AM113" s="149"/>
      <c r="AN113" s="149"/>
      <c r="AO113" s="149"/>
      <c r="AP113" s="149"/>
      <c r="AR113" s="149"/>
      <c r="AS113" s="149"/>
      <c r="AT113" s="149"/>
      <c r="AU113" s="149"/>
      <c r="AV113" s="149"/>
      <c r="AW113" s="149"/>
      <c r="AX113" s="149"/>
      <c r="AY113" s="149"/>
      <c r="AZ113" s="149"/>
      <c r="BA113" s="149"/>
      <c r="BB113" s="149"/>
      <c r="BC113" s="149"/>
      <c r="BD113" s="149"/>
      <c r="BE113" s="149"/>
      <c r="BF113" s="149"/>
      <c r="BG113" s="149"/>
      <c r="BH113" s="149"/>
      <c r="BI113" s="149"/>
      <c r="BJ113" s="149"/>
      <c r="BK113" s="149"/>
      <c r="BL113" s="149"/>
      <c r="BM113" s="149"/>
      <c r="BN113" s="149"/>
      <c r="BO113" s="149"/>
      <c r="BP113" s="149"/>
      <c r="BQ113" s="149"/>
      <c r="BR113" s="149"/>
    </row>
    <row r="114" ht="32" customHeight="1" spans="1:70">
      <c r="A114" s="208">
        <v>112</v>
      </c>
      <c r="B114" s="149" t="s">
        <v>701</v>
      </c>
      <c r="C114" s="149" t="s">
        <v>467</v>
      </c>
      <c r="D114" s="149" t="s">
        <v>702</v>
      </c>
      <c r="E114" s="212" t="s">
        <v>205</v>
      </c>
      <c r="F114" s="149" t="s">
        <v>80</v>
      </c>
      <c r="G114" s="149" t="s">
        <v>470</v>
      </c>
      <c r="H114" s="149">
        <v>80</v>
      </c>
      <c r="I114" s="149">
        <v>2500</v>
      </c>
      <c r="J114" s="149" t="s">
        <v>703</v>
      </c>
      <c r="K114" s="149">
        <v>13656116050</v>
      </c>
      <c r="L114" s="149"/>
      <c r="M114" s="149" t="s">
        <v>704</v>
      </c>
      <c r="N114" s="149" t="s">
        <v>533</v>
      </c>
      <c r="O114" s="149"/>
      <c r="P114" s="149"/>
      <c r="Q114" s="149"/>
      <c r="R114" s="149"/>
      <c r="S114" s="149"/>
      <c r="T114" s="149"/>
      <c r="U114" s="149"/>
      <c r="V114" s="235"/>
      <c r="W114" s="149"/>
      <c r="X114" s="149"/>
      <c r="Y114" s="149"/>
      <c r="Z114" s="149"/>
      <c r="AA114" s="149"/>
      <c r="AB114" s="149"/>
      <c r="AC114" s="149"/>
      <c r="AD114" s="236"/>
      <c r="AE114" s="161"/>
      <c r="AF114" s="149"/>
      <c r="AG114" s="237"/>
      <c r="AH114" s="149"/>
      <c r="AI114" s="149"/>
      <c r="AJ114" s="149"/>
      <c r="AK114" s="149"/>
      <c r="AL114" s="149"/>
      <c r="AM114" s="149"/>
      <c r="AN114" s="149"/>
      <c r="AO114" s="149"/>
      <c r="AP114" s="149"/>
      <c r="AR114" s="149"/>
      <c r="AS114" s="149"/>
      <c r="AT114" s="149"/>
      <c r="AU114" s="149"/>
      <c r="AV114" s="149"/>
      <c r="AW114" s="149"/>
      <c r="AX114" s="149"/>
      <c r="AY114" s="149"/>
      <c r="AZ114" s="149"/>
      <c r="BA114" s="149"/>
      <c r="BB114" s="149"/>
      <c r="BC114" s="149"/>
      <c r="BD114" s="149"/>
      <c r="BE114" s="149"/>
      <c r="BF114" s="149"/>
      <c r="BG114" s="149"/>
      <c r="BH114" s="149"/>
      <c r="BI114" s="149"/>
      <c r="BJ114" s="149"/>
      <c r="BK114" s="149"/>
      <c r="BL114" s="149"/>
      <c r="BM114" s="149"/>
      <c r="BN114" s="149"/>
      <c r="BO114" s="149"/>
      <c r="BP114" s="149"/>
      <c r="BQ114" s="149"/>
      <c r="BR114" s="149"/>
    </row>
    <row r="115" ht="32" customHeight="1" spans="1:70">
      <c r="A115" s="208">
        <v>113</v>
      </c>
      <c r="B115" s="149" t="s">
        <v>705</v>
      </c>
      <c r="C115" s="149" t="s">
        <v>467</v>
      </c>
      <c r="D115" s="149" t="s">
        <v>706</v>
      </c>
      <c r="E115" s="212" t="s">
        <v>707</v>
      </c>
      <c r="F115" s="149" t="s">
        <v>80</v>
      </c>
      <c r="G115" s="149" t="s">
        <v>470</v>
      </c>
      <c r="H115" s="149">
        <v>178</v>
      </c>
      <c r="I115" s="149">
        <v>5000</v>
      </c>
      <c r="J115" s="149" t="s">
        <v>708</v>
      </c>
      <c r="K115" s="149"/>
      <c r="L115" s="149"/>
      <c r="M115" s="149" t="s">
        <v>709</v>
      </c>
      <c r="N115" s="149" t="s">
        <v>533</v>
      </c>
      <c r="O115" s="149"/>
      <c r="P115" s="149"/>
      <c r="Q115" s="149"/>
      <c r="R115" s="149"/>
      <c r="S115" s="149"/>
      <c r="T115" s="149"/>
      <c r="U115" s="149"/>
      <c r="V115" s="235"/>
      <c r="W115" s="149"/>
      <c r="X115" s="149"/>
      <c r="Y115" s="149"/>
      <c r="Z115" s="149"/>
      <c r="AA115" s="149"/>
      <c r="AB115" s="149"/>
      <c r="AC115" s="149"/>
      <c r="AD115" s="236"/>
      <c r="AE115" s="161"/>
      <c r="AF115" s="149"/>
      <c r="AG115" s="237"/>
      <c r="AH115" s="149"/>
      <c r="AI115" s="149"/>
      <c r="AJ115" s="149"/>
      <c r="AK115" s="149"/>
      <c r="AL115" s="149"/>
      <c r="AM115" s="149"/>
      <c r="AN115" s="149"/>
      <c r="AO115" s="149"/>
      <c r="AP115" s="149"/>
      <c r="AR115" s="149"/>
      <c r="AS115" s="149"/>
      <c r="AT115" s="149"/>
      <c r="AU115" s="149"/>
      <c r="AV115" s="149"/>
      <c r="AW115" s="149"/>
      <c r="AX115" s="149"/>
      <c r="AY115" s="149"/>
      <c r="AZ115" s="149"/>
      <c r="BA115" s="149"/>
      <c r="BB115" s="149"/>
      <c r="BC115" s="149"/>
      <c r="BD115" s="149"/>
      <c r="BE115" s="149"/>
      <c r="BF115" s="149"/>
      <c r="BG115" s="149"/>
      <c r="BH115" s="149"/>
      <c r="BI115" s="149"/>
      <c r="BJ115" s="149"/>
      <c r="BK115" s="149"/>
      <c r="BL115" s="149"/>
      <c r="BM115" s="149"/>
      <c r="BN115" s="149"/>
      <c r="BO115" s="149"/>
      <c r="BP115" s="149"/>
      <c r="BQ115" s="149"/>
      <c r="BR115" s="149"/>
    </row>
    <row r="116" ht="32" customHeight="1" spans="1:70">
      <c r="A116" s="208">
        <v>114</v>
      </c>
      <c r="B116" s="149" t="s">
        <v>710</v>
      </c>
      <c r="C116" s="149" t="s">
        <v>467</v>
      </c>
      <c r="D116" s="149" t="s">
        <v>711</v>
      </c>
      <c r="E116" s="212" t="s">
        <v>290</v>
      </c>
      <c r="F116" s="149" t="s">
        <v>80</v>
      </c>
      <c r="G116" s="149" t="s">
        <v>470</v>
      </c>
      <c r="H116" s="149">
        <v>98</v>
      </c>
      <c r="I116" s="149">
        <v>5000</v>
      </c>
      <c r="J116" s="149" t="s">
        <v>712</v>
      </c>
      <c r="K116" s="149">
        <v>13861136601</v>
      </c>
      <c r="L116" s="149"/>
      <c r="M116" s="149" t="s">
        <v>713</v>
      </c>
      <c r="N116" s="149" t="s">
        <v>533</v>
      </c>
      <c r="O116" s="149"/>
      <c r="P116" s="149"/>
      <c r="Q116" s="149"/>
      <c r="R116" s="149"/>
      <c r="S116" s="149"/>
      <c r="T116" s="149"/>
      <c r="U116" s="149"/>
      <c r="V116" s="235"/>
      <c r="W116" s="149"/>
      <c r="X116" s="149"/>
      <c r="Y116" s="149"/>
      <c r="Z116" s="149"/>
      <c r="AA116" s="149"/>
      <c r="AB116" s="149"/>
      <c r="AC116" s="149"/>
      <c r="AD116" s="236"/>
      <c r="AE116" s="161"/>
      <c r="AF116" s="149"/>
      <c r="AG116" s="237"/>
      <c r="AH116" s="149"/>
      <c r="AI116" s="149"/>
      <c r="AJ116" s="149"/>
      <c r="AK116" s="149"/>
      <c r="AL116" s="149"/>
      <c r="AM116" s="149"/>
      <c r="AN116" s="149"/>
      <c r="AO116" s="149"/>
      <c r="AP116" s="149"/>
      <c r="AR116" s="149"/>
      <c r="AS116" s="149"/>
      <c r="AT116" s="149"/>
      <c r="AU116" s="149"/>
      <c r="AV116" s="149"/>
      <c r="AW116" s="149"/>
      <c r="AX116" s="149"/>
      <c r="AY116" s="149"/>
      <c r="AZ116" s="149"/>
      <c r="BA116" s="149"/>
      <c r="BB116" s="149"/>
      <c r="BC116" s="149"/>
      <c r="BD116" s="149"/>
      <c r="BE116" s="149"/>
      <c r="BF116" s="149"/>
      <c r="BG116" s="149"/>
      <c r="BH116" s="149"/>
      <c r="BI116" s="149"/>
      <c r="BJ116" s="149"/>
      <c r="BK116" s="149"/>
      <c r="BL116" s="149"/>
      <c r="BM116" s="149"/>
      <c r="BN116" s="149"/>
      <c r="BO116" s="149"/>
      <c r="BP116" s="149"/>
      <c r="BQ116" s="149"/>
      <c r="BR116" s="149"/>
    </row>
    <row r="117" ht="32" customHeight="1" spans="1:70">
      <c r="A117" s="208">
        <v>115</v>
      </c>
      <c r="B117" s="149" t="s">
        <v>714</v>
      </c>
      <c r="C117" s="149" t="s">
        <v>467</v>
      </c>
      <c r="D117" s="149" t="s">
        <v>715</v>
      </c>
      <c r="E117" s="212" t="s">
        <v>198</v>
      </c>
      <c r="F117" s="149" t="s">
        <v>80</v>
      </c>
      <c r="G117" s="149" t="s">
        <v>470</v>
      </c>
      <c r="H117" s="149">
        <v>110</v>
      </c>
      <c r="I117" s="149">
        <v>5000</v>
      </c>
      <c r="J117" s="149" t="s">
        <v>716</v>
      </c>
      <c r="K117" s="149">
        <v>18051200590</v>
      </c>
      <c r="L117" s="149"/>
      <c r="M117" s="149" t="s">
        <v>717</v>
      </c>
      <c r="N117" s="149" t="s">
        <v>533</v>
      </c>
      <c r="O117" s="149"/>
      <c r="P117" s="149"/>
      <c r="Q117" s="149"/>
      <c r="R117" s="149"/>
      <c r="S117" s="149"/>
      <c r="T117" s="149"/>
      <c r="U117" s="149"/>
      <c r="V117" s="235"/>
      <c r="W117" s="149"/>
      <c r="X117" s="149"/>
      <c r="Y117" s="149"/>
      <c r="Z117" s="149"/>
      <c r="AA117" s="149"/>
      <c r="AB117" s="149"/>
      <c r="AC117" s="149"/>
      <c r="AD117" s="236"/>
      <c r="AE117" s="161"/>
      <c r="AF117" s="149"/>
      <c r="AG117" s="237"/>
      <c r="AH117" s="149"/>
      <c r="AI117" s="149"/>
      <c r="AJ117" s="149"/>
      <c r="AK117" s="149"/>
      <c r="AL117" s="149"/>
      <c r="AM117" s="149"/>
      <c r="AN117" s="149"/>
      <c r="AO117" s="149"/>
      <c r="AP117" s="149"/>
      <c r="AR117" s="149"/>
      <c r="AS117" s="149"/>
      <c r="AT117" s="149"/>
      <c r="AU117" s="149"/>
      <c r="AV117" s="149"/>
      <c r="AW117" s="149"/>
      <c r="AX117" s="149"/>
      <c r="AY117" s="149"/>
      <c r="AZ117" s="149"/>
      <c r="BA117" s="149"/>
      <c r="BB117" s="149"/>
      <c r="BC117" s="149"/>
      <c r="BD117" s="149"/>
      <c r="BE117" s="149"/>
      <c r="BF117" s="149"/>
      <c r="BG117" s="149"/>
      <c r="BH117" s="149"/>
      <c r="BI117" s="149"/>
      <c r="BJ117" s="149"/>
      <c r="BK117" s="149"/>
      <c r="BL117" s="149"/>
      <c r="BM117" s="149"/>
      <c r="BN117" s="149"/>
      <c r="BO117" s="149"/>
      <c r="BP117" s="149"/>
      <c r="BQ117" s="149"/>
      <c r="BR117" s="149"/>
    </row>
    <row r="118" ht="32" customHeight="1" spans="1:70">
      <c r="A118" s="208">
        <v>116</v>
      </c>
      <c r="B118" s="149" t="s">
        <v>718</v>
      </c>
      <c r="C118" s="149" t="s">
        <v>467</v>
      </c>
      <c r="D118" s="149" t="s">
        <v>719</v>
      </c>
      <c r="E118" s="212" t="s">
        <v>245</v>
      </c>
      <c r="F118" s="149" t="s">
        <v>80</v>
      </c>
      <c r="G118" s="149" t="s">
        <v>470</v>
      </c>
      <c r="H118" s="149">
        <v>110</v>
      </c>
      <c r="I118" s="149">
        <v>5000</v>
      </c>
      <c r="J118" s="149" t="s">
        <v>720</v>
      </c>
      <c r="K118" s="149">
        <v>13401377150</v>
      </c>
      <c r="L118" s="149"/>
      <c r="M118" s="149" t="s">
        <v>709</v>
      </c>
      <c r="N118" s="149" t="s">
        <v>533</v>
      </c>
      <c r="O118" s="149"/>
      <c r="P118" s="149"/>
      <c r="Q118" s="149"/>
      <c r="R118" s="149"/>
      <c r="S118" s="149"/>
      <c r="T118" s="149"/>
      <c r="U118" s="149"/>
      <c r="V118" s="235"/>
      <c r="W118" s="149"/>
      <c r="X118" s="149"/>
      <c r="Y118" s="149"/>
      <c r="Z118" s="149"/>
      <c r="AA118" s="149"/>
      <c r="AB118" s="149"/>
      <c r="AC118" s="149"/>
      <c r="AD118" s="236"/>
      <c r="AE118" s="161"/>
      <c r="AF118" s="149"/>
      <c r="AG118" s="237"/>
      <c r="AH118" s="149"/>
      <c r="AI118" s="149"/>
      <c r="AJ118" s="149"/>
      <c r="AK118" s="149"/>
      <c r="AL118" s="149"/>
      <c r="AM118" s="149"/>
      <c r="AN118" s="149"/>
      <c r="AO118" s="149"/>
      <c r="AP118" s="149"/>
      <c r="AR118" s="149"/>
      <c r="AS118" s="149"/>
      <c r="AT118" s="149"/>
      <c r="AU118" s="149"/>
      <c r="AV118" s="149"/>
      <c r="AW118" s="149"/>
      <c r="AX118" s="149"/>
      <c r="AY118" s="149"/>
      <c r="AZ118" s="149"/>
      <c r="BA118" s="149"/>
      <c r="BB118" s="149"/>
      <c r="BC118" s="149"/>
      <c r="BD118" s="149"/>
      <c r="BE118" s="149"/>
      <c r="BF118" s="149"/>
      <c r="BG118" s="149"/>
      <c r="BH118" s="149"/>
      <c r="BI118" s="149"/>
      <c r="BJ118" s="149"/>
      <c r="BK118" s="149"/>
      <c r="BL118" s="149"/>
      <c r="BM118" s="149"/>
      <c r="BN118" s="149"/>
      <c r="BO118" s="149"/>
      <c r="BP118" s="149"/>
      <c r="BQ118" s="149"/>
      <c r="BR118" s="149"/>
    </row>
    <row r="119" ht="32" customHeight="1" spans="1:70">
      <c r="A119" s="208">
        <v>117</v>
      </c>
      <c r="B119" s="149" t="s">
        <v>721</v>
      </c>
      <c r="C119" s="149" t="s">
        <v>467</v>
      </c>
      <c r="D119" s="149" t="s">
        <v>722</v>
      </c>
      <c r="E119" s="212" t="s">
        <v>319</v>
      </c>
      <c r="F119" s="149" t="s">
        <v>80</v>
      </c>
      <c r="G119" s="149" t="s">
        <v>301</v>
      </c>
      <c r="H119" s="149"/>
      <c r="I119" s="149"/>
      <c r="J119" s="149" t="s">
        <v>723</v>
      </c>
      <c r="K119" s="149">
        <v>19952805172</v>
      </c>
      <c r="L119" s="149"/>
      <c r="M119" s="149"/>
      <c r="N119" s="149"/>
      <c r="O119" s="149"/>
      <c r="P119" s="149"/>
      <c r="Q119" s="149"/>
      <c r="R119" s="149"/>
      <c r="S119" s="149"/>
      <c r="T119" s="149"/>
      <c r="U119" s="149"/>
      <c r="V119" s="149"/>
      <c r="W119" s="149"/>
      <c r="X119" s="149"/>
      <c r="Y119" s="149"/>
      <c r="Z119" s="149"/>
      <c r="AA119" s="149"/>
      <c r="AB119" s="149"/>
      <c r="AC119" s="149"/>
      <c r="AD119" s="149"/>
      <c r="AE119" s="161"/>
      <c r="AF119" s="149"/>
      <c r="AG119" s="149"/>
      <c r="AH119" s="149"/>
      <c r="AI119" s="149"/>
      <c r="AJ119" s="149"/>
      <c r="AK119" s="149"/>
      <c r="AL119" s="149"/>
      <c r="AM119" s="149"/>
      <c r="AN119" s="149"/>
      <c r="AO119" s="149"/>
      <c r="AP119" s="149"/>
      <c r="AR119" s="149"/>
      <c r="AS119" s="149"/>
      <c r="AT119" s="149"/>
      <c r="AU119" s="149"/>
      <c r="AV119" s="149"/>
      <c r="AW119" s="149"/>
      <c r="AX119" s="149"/>
      <c r="AY119" s="149"/>
      <c r="AZ119" s="149"/>
      <c r="BA119" s="149"/>
      <c r="BB119" s="149"/>
      <c r="BC119" s="149"/>
      <c r="BD119" s="149"/>
      <c r="BE119" s="149"/>
      <c r="BF119" s="149"/>
      <c r="BG119" s="149"/>
      <c r="BH119" s="149"/>
      <c r="BI119" s="149"/>
      <c r="BJ119" s="149"/>
      <c r="BK119" s="149"/>
      <c r="BL119" s="149"/>
      <c r="BM119" s="149"/>
      <c r="BN119" s="149"/>
      <c r="BO119" s="149"/>
      <c r="BP119" s="149"/>
      <c r="BQ119" s="149"/>
      <c r="BR119" s="149"/>
    </row>
    <row r="120" ht="32" customHeight="1" spans="1:70">
      <c r="A120" s="208">
        <v>118</v>
      </c>
      <c r="B120" s="149" t="s">
        <v>724</v>
      </c>
      <c r="C120" s="149" t="s">
        <v>467</v>
      </c>
      <c r="D120" s="149" t="s">
        <v>725</v>
      </c>
      <c r="E120" s="212" t="s">
        <v>175</v>
      </c>
      <c r="F120" s="149" t="s">
        <v>80</v>
      </c>
      <c r="G120" s="149" t="s">
        <v>726</v>
      </c>
      <c r="H120" s="149"/>
      <c r="I120" s="149"/>
      <c r="J120" s="149" t="s">
        <v>727</v>
      </c>
      <c r="K120" s="149" t="s">
        <v>728</v>
      </c>
      <c r="L120" s="149"/>
      <c r="M120" s="149"/>
      <c r="N120" s="149"/>
      <c r="O120" s="149"/>
      <c r="P120" s="149"/>
      <c r="Q120" s="149"/>
      <c r="R120" s="149"/>
      <c r="S120" s="149"/>
      <c r="T120" s="149"/>
      <c r="U120" s="149"/>
      <c r="V120" s="149"/>
      <c r="W120" s="149"/>
      <c r="X120" s="149"/>
      <c r="Y120" s="149"/>
      <c r="Z120" s="149"/>
      <c r="AA120" s="149"/>
      <c r="AB120" s="149"/>
      <c r="AC120" s="149"/>
      <c r="AD120" s="149"/>
      <c r="AE120" s="161"/>
      <c r="AF120" s="149"/>
      <c r="AG120" s="149"/>
      <c r="AH120" s="149"/>
      <c r="AI120" s="149"/>
      <c r="AJ120" s="149"/>
      <c r="AK120" s="149"/>
      <c r="AL120" s="149"/>
      <c r="AM120" s="149"/>
      <c r="AN120" s="149"/>
      <c r="AO120" s="149"/>
      <c r="AP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149"/>
      <c r="BL120" s="149"/>
      <c r="BM120" s="149"/>
      <c r="BN120" s="149"/>
      <c r="BO120" s="149"/>
      <c r="BP120" s="149"/>
      <c r="BQ120" s="149"/>
      <c r="BR120" s="149"/>
    </row>
    <row r="121" ht="32" customHeight="1" spans="1:70">
      <c r="A121" s="208">
        <v>119</v>
      </c>
      <c r="B121" s="149" t="s">
        <v>729</v>
      </c>
      <c r="C121" s="149" t="s">
        <v>467</v>
      </c>
      <c r="D121" s="149" t="s">
        <v>730</v>
      </c>
      <c r="E121" s="212" t="s">
        <v>731</v>
      </c>
      <c r="F121" s="149" t="s">
        <v>80</v>
      </c>
      <c r="G121" s="149" t="s">
        <v>732</v>
      </c>
      <c r="H121" s="149"/>
      <c r="I121" s="149">
        <v>5000</v>
      </c>
      <c r="J121" s="214" t="s">
        <v>733</v>
      </c>
      <c r="K121" s="215" t="s">
        <v>734</v>
      </c>
      <c r="L121" s="149"/>
      <c r="M121" s="149"/>
      <c r="N121" s="149"/>
      <c r="O121" s="149"/>
      <c r="P121" s="149"/>
      <c r="Q121" s="149"/>
      <c r="R121" s="149"/>
      <c r="S121" s="149"/>
      <c r="T121" s="149"/>
      <c r="U121" s="149"/>
      <c r="V121" s="149"/>
      <c r="W121" s="149"/>
      <c r="X121" s="149"/>
      <c r="Y121" s="149"/>
      <c r="Z121" s="149"/>
      <c r="AA121" s="149"/>
      <c r="AB121" s="149"/>
      <c r="AC121" s="149"/>
      <c r="AD121" s="149"/>
      <c r="AE121" s="161"/>
      <c r="AF121" s="149"/>
      <c r="AG121" s="149"/>
      <c r="AH121" s="149"/>
      <c r="AI121" s="149"/>
      <c r="AJ121" s="149"/>
      <c r="AK121" s="149"/>
      <c r="AL121" s="149"/>
      <c r="AM121" s="149"/>
      <c r="AN121" s="149"/>
      <c r="AO121" s="149"/>
      <c r="AP121" s="149"/>
      <c r="AR121" s="149"/>
      <c r="AS121" s="149"/>
      <c r="AT121" s="149"/>
      <c r="AU121" s="149"/>
      <c r="AV121" s="149"/>
      <c r="AW121" s="149"/>
      <c r="AX121" s="149"/>
      <c r="AY121" s="149"/>
      <c r="AZ121" s="149"/>
      <c r="BA121" s="149"/>
      <c r="BB121" s="149"/>
      <c r="BC121" s="149"/>
      <c r="BD121" s="149"/>
      <c r="BE121" s="149"/>
      <c r="BF121" s="149"/>
      <c r="BG121" s="149"/>
      <c r="BH121" s="149"/>
      <c r="BI121" s="149"/>
      <c r="BJ121" s="149"/>
      <c r="BK121" s="149"/>
      <c r="BL121" s="149"/>
      <c r="BM121" s="149"/>
      <c r="BN121" s="149"/>
      <c r="BO121" s="149"/>
      <c r="BP121" s="149"/>
      <c r="BQ121" s="149"/>
      <c r="BR121" s="149"/>
    </row>
    <row r="122" ht="32" customHeight="1" spans="1:70">
      <c r="A122" s="208">
        <v>120</v>
      </c>
      <c r="B122" s="149" t="s">
        <v>735</v>
      </c>
      <c r="C122" s="149" t="s">
        <v>467</v>
      </c>
      <c r="D122" s="149" t="s">
        <v>736</v>
      </c>
      <c r="E122" s="212" t="s">
        <v>737</v>
      </c>
      <c r="F122" s="149" t="s">
        <v>80</v>
      </c>
      <c r="G122" s="149" t="s">
        <v>738</v>
      </c>
      <c r="H122" s="149"/>
      <c r="I122" s="149"/>
      <c r="J122" s="214" t="s">
        <v>733</v>
      </c>
      <c r="K122" s="215" t="s">
        <v>734</v>
      </c>
      <c r="L122" s="149"/>
      <c r="M122" s="149"/>
      <c r="N122" s="149"/>
      <c r="O122" s="149"/>
      <c r="P122" s="149"/>
      <c r="Q122" s="149"/>
      <c r="R122" s="149"/>
      <c r="S122" s="149"/>
      <c r="T122" s="149"/>
      <c r="U122" s="149"/>
      <c r="V122" s="149"/>
      <c r="W122" s="149"/>
      <c r="X122" s="149"/>
      <c r="Y122" s="149"/>
      <c r="Z122" s="149"/>
      <c r="AA122" s="149"/>
      <c r="AB122" s="149"/>
      <c r="AC122" s="149"/>
      <c r="AD122" s="149"/>
      <c r="AE122" s="161"/>
      <c r="AF122" s="149"/>
      <c r="AG122" s="149"/>
      <c r="AH122" s="149"/>
      <c r="AI122" s="149"/>
      <c r="AJ122" s="149"/>
      <c r="AK122" s="149"/>
      <c r="AL122" s="149"/>
      <c r="AM122" s="149"/>
      <c r="AN122" s="149"/>
      <c r="AO122" s="149"/>
      <c r="AP122" s="149"/>
      <c r="AR122" s="149"/>
      <c r="AS122" s="149"/>
      <c r="AT122" s="149"/>
      <c r="AU122" s="149"/>
      <c r="AV122" s="149"/>
      <c r="AW122" s="149"/>
      <c r="AX122" s="149"/>
      <c r="AY122" s="149"/>
      <c r="AZ122" s="149"/>
      <c r="BA122" s="149"/>
      <c r="BB122" s="149"/>
      <c r="BC122" s="149"/>
      <c r="BD122" s="149"/>
      <c r="BE122" s="149"/>
      <c r="BF122" s="149"/>
      <c r="BG122" s="149"/>
      <c r="BH122" s="149"/>
      <c r="BI122" s="149"/>
      <c r="BJ122" s="149"/>
      <c r="BK122" s="149"/>
      <c r="BL122" s="149"/>
      <c r="BM122" s="149"/>
      <c r="BN122" s="149"/>
      <c r="BO122" s="149"/>
      <c r="BP122" s="149"/>
      <c r="BQ122" s="149"/>
      <c r="BR122" s="149"/>
    </row>
    <row r="123" ht="32" customHeight="1" spans="1:70">
      <c r="A123" s="208">
        <v>121</v>
      </c>
      <c r="B123" s="149" t="s">
        <v>739</v>
      </c>
      <c r="C123" s="149" t="s">
        <v>467</v>
      </c>
      <c r="D123" s="149" t="s">
        <v>740</v>
      </c>
      <c r="E123" s="212" t="s">
        <v>319</v>
      </c>
      <c r="F123" s="149" t="s">
        <v>156</v>
      </c>
      <c r="G123" s="149" t="s">
        <v>741</v>
      </c>
      <c r="H123" s="149"/>
      <c r="I123" s="149"/>
      <c r="J123" s="149" t="s">
        <v>742</v>
      </c>
      <c r="K123" s="149"/>
      <c r="L123" s="149"/>
      <c r="M123" s="149"/>
      <c r="N123" s="149"/>
      <c r="O123" s="149"/>
      <c r="P123" s="149"/>
      <c r="Q123" s="149"/>
      <c r="R123" s="149"/>
      <c r="S123" s="149"/>
      <c r="T123" s="149"/>
      <c r="U123" s="149"/>
      <c r="V123" s="149"/>
      <c r="W123" s="149"/>
      <c r="X123" s="149"/>
      <c r="Y123" s="149"/>
      <c r="Z123" s="149"/>
      <c r="AA123" s="149"/>
      <c r="AB123" s="149"/>
      <c r="AC123" s="149"/>
      <c r="AD123" s="149"/>
      <c r="AE123" s="161"/>
      <c r="AF123" s="149"/>
      <c r="AG123" s="149"/>
      <c r="AH123" s="149"/>
      <c r="AI123" s="149"/>
      <c r="AJ123" s="149"/>
      <c r="AK123" s="149"/>
      <c r="AL123" s="149"/>
      <c r="AM123" s="149"/>
      <c r="AN123" s="149"/>
      <c r="AO123" s="149"/>
      <c r="AP123" s="149"/>
      <c r="AR123" s="149"/>
      <c r="AS123" s="149"/>
      <c r="AT123" s="149"/>
      <c r="AU123" s="149"/>
      <c r="AV123" s="149"/>
      <c r="AW123" s="149"/>
      <c r="AX123" s="149"/>
      <c r="AY123" s="149"/>
      <c r="AZ123" s="149"/>
      <c r="BA123" s="149"/>
      <c r="BB123" s="149"/>
      <c r="BC123" s="149"/>
      <c r="BD123" s="149"/>
      <c r="BE123" s="149"/>
      <c r="BF123" s="149"/>
      <c r="BG123" s="149"/>
      <c r="BH123" s="149"/>
      <c r="BI123" s="149"/>
      <c r="BJ123" s="149"/>
      <c r="BK123" s="149"/>
      <c r="BL123" s="149"/>
      <c r="BM123" s="149"/>
      <c r="BN123" s="149"/>
      <c r="BO123" s="149"/>
      <c r="BP123" s="149"/>
      <c r="BQ123" s="149"/>
      <c r="BR123" s="149"/>
    </row>
    <row r="124" ht="32" customHeight="1" spans="1:70">
      <c r="A124" s="208">
        <v>122</v>
      </c>
      <c r="B124" s="149" t="s">
        <v>743</v>
      </c>
      <c r="C124" s="149" t="s">
        <v>467</v>
      </c>
      <c r="D124" s="149" t="s">
        <v>744</v>
      </c>
      <c r="E124" s="212" t="s">
        <v>344</v>
      </c>
      <c r="F124" s="149" t="s">
        <v>156</v>
      </c>
      <c r="G124" s="149" t="s">
        <v>745</v>
      </c>
      <c r="H124" s="149"/>
      <c r="I124" s="149"/>
      <c r="J124" s="149" t="s">
        <v>746</v>
      </c>
      <c r="K124" s="149"/>
      <c r="L124" s="149"/>
      <c r="M124" s="149"/>
      <c r="N124" s="149"/>
      <c r="O124" s="149"/>
      <c r="P124" s="149"/>
      <c r="Q124" s="149"/>
      <c r="R124" s="149"/>
      <c r="S124" s="149"/>
      <c r="T124" s="149"/>
      <c r="U124" s="149"/>
      <c r="V124" s="149"/>
      <c r="W124" s="149"/>
      <c r="X124" s="149"/>
      <c r="Y124" s="149"/>
      <c r="Z124" s="149"/>
      <c r="AA124" s="149"/>
      <c r="AB124" s="149"/>
      <c r="AC124" s="149"/>
      <c r="AD124" s="149"/>
      <c r="AE124" s="161"/>
      <c r="AF124" s="149"/>
      <c r="AG124" s="149"/>
      <c r="AH124" s="149"/>
      <c r="AI124" s="149"/>
      <c r="AJ124" s="149"/>
      <c r="AK124" s="149"/>
      <c r="AL124" s="149"/>
      <c r="AM124" s="149"/>
      <c r="AN124" s="149"/>
      <c r="AO124" s="149"/>
      <c r="AP124" s="149"/>
      <c r="AR124" s="149"/>
      <c r="AS124" s="149"/>
      <c r="AT124" s="149"/>
      <c r="AU124" s="149"/>
      <c r="AV124" s="149"/>
      <c r="AW124" s="149"/>
      <c r="AX124" s="149"/>
      <c r="AY124" s="149"/>
      <c r="AZ124" s="149"/>
      <c r="BA124" s="149"/>
      <c r="BB124" s="149"/>
      <c r="BC124" s="149"/>
      <c r="BD124" s="149"/>
      <c r="BE124" s="149"/>
      <c r="BF124" s="149"/>
      <c r="BG124" s="149"/>
      <c r="BH124" s="149"/>
      <c r="BI124" s="149"/>
      <c r="BJ124" s="149"/>
      <c r="BK124" s="149"/>
      <c r="BL124" s="149"/>
      <c r="BM124" s="149"/>
      <c r="BN124" s="149"/>
      <c r="BO124" s="149"/>
      <c r="BP124" s="149"/>
      <c r="BQ124" s="149"/>
      <c r="BR124" s="149"/>
    </row>
    <row r="125" ht="32" customHeight="1" spans="1:70">
      <c r="A125" s="208">
        <v>123</v>
      </c>
      <c r="B125" s="149" t="s">
        <v>747</v>
      </c>
      <c r="C125" s="149" t="s">
        <v>467</v>
      </c>
      <c r="D125" s="149" t="s">
        <v>748</v>
      </c>
      <c r="E125" s="212" t="s">
        <v>237</v>
      </c>
      <c r="F125" s="149" t="s">
        <v>156</v>
      </c>
      <c r="G125" s="149" t="s">
        <v>745</v>
      </c>
      <c r="H125" s="149"/>
      <c r="I125" s="149"/>
      <c r="J125" s="149" t="s">
        <v>749</v>
      </c>
      <c r="K125" s="149"/>
      <c r="L125" s="149"/>
      <c r="M125" s="149"/>
      <c r="N125" s="149"/>
      <c r="O125" s="149"/>
      <c r="P125" s="149"/>
      <c r="Q125" s="149"/>
      <c r="R125" s="149"/>
      <c r="S125" s="149"/>
      <c r="T125" s="149"/>
      <c r="U125" s="149"/>
      <c r="V125" s="149"/>
      <c r="W125" s="149"/>
      <c r="X125" s="149"/>
      <c r="Y125" s="149"/>
      <c r="Z125" s="149"/>
      <c r="AA125" s="149"/>
      <c r="AB125" s="149"/>
      <c r="AC125" s="149"/>
      <c r="AD125" s="149"/>
      <c r="AE125" s="161"/>
      <c r="AF125" s="149"/>
      <c r="AG125" s="149"/>
      <c r="AH125" s="149"/>
      <c r="AI125" s="149"/>
      <c r="AJ125" s="149"/>
      <c r="AK125" s="149"/>
      <c r="AL125" s="149"/>
      <c r="AM125" s="149"/>
      <c r="AN125" s="149"/>
      <c r="AO125" s="149"/>
      <c r="AP125" s="149"/>
      <c r="AR125" s="149"/>
      <c r="AS125" s="149"/>
      <c r="AT125" s="149"/>
      <c r="AU125" s="149"/>
      <c r="AV125" s="149"/>
      <c r="AW125" s="149"/>
      <c r="AX125" s="149"/>
      <c r="AY125" s="149"/>
      <c r="AZ125" s="149"/>
      <c r="BA125" s="149"/>
      <c r="BB125" s="149"/>
      <c r="BC125" s="149"/>
      <c r="BD125" s="149"/>
      <c r="BE125" s="149"/>
      <c r="BF125" s="149"/>
      <c r="BG125" s="149"/>
      <c r="BH125" s="149"/>
      <c r="BI125" s="149"/>
      <c r="BJ125" s="149"/>
      <c r="BK125" s="149"/>
      <c r="BL125" s="149"/>
      <c r="BM125" s="149"/>
      <c r="BN125" s="149"/>
      <c r="BO125" s="149"/>
      <c r="BP125" s="149"/>
      <c r="BQ125" s="149"/>
      <c r="BR125" s="149"/>
    </row>
    <row r="126" ht="32" customHeight="1" spans="1:70">
      <c r="A126" s="208">
        <v>124</v>
      </c>
      <c r="B126" s="149" t="s">
        <v>750</v>
      </c>
      <c r="C126" s="149" t="s">
        <v>467</v>
      </c>
      <c r="D126" s="149" t="s">
        <v>751</v>
      </c>
      <c r="E126" s="212" t="s">
        <v>319</v>
      </c>
      <c r="F126" s="149" t="s">
        <v>156</v>
      </c>
      <c r="G126" s="149" t="s">
        <v>745</v>
      </c>
      <c r="H126" s="149"/>
      <c r="I126" s="149"/>
      <c r="J126" s="149" t="s">
        <v>752</v>
      </c>
      <c r="K126" s="149"/>
      <c r="L126" s="149"/>
      <c r="M126" s="149"/>
      <c r="N126" s="149"/>
      <c r="O126" s="149"/>
      <c r="P126" s="149"/>
      <c r="Q126" s="149"/>
      <c r="R126" s="149"/>
      <c r="S126" s="149"/>
      <c r="T126" s="149"/>
      <c r="U126" s="149"/>
      <c r="V126" s="149"/>
      <c r="W126" s="149"/>
      <c r="X126" s="149"/>
      <c r="Y126" s="149"/>
      <c r="Z126" s="149"/>
      <c r="AA126" s="149"/>
      <c r="AB126" s="149"/>
      <c r="AC126" s="149"/>
      <c r="AD126" s="149"/>
      <c r="AE126" s="161"/>
      <c r="AF126" s="149"/>
      <c r="AG126" s="149"/>
      <c r="AH126" s="149"/>
      <c r="AI126" s="149"/>
      <c r="AJ126" s="149"/>
      <c r="AK126" s="149"/>
      <c r="AL126" s="149"/>
      <c r="AM126" s="149"/>
      <c r="AN126" s="149"/>
      <c r="AO126" s="149"/>
      <c r="AP126" s="149"/>
      <c r="AR126" s="149"/>
      <c r="AS126" s="149"/>
      <c r="AT126" s="149"/>
      <c r="AU126" s="149"/>
      <c r="AV126" s="149"/>
      <c r="AW126" s="149"/>
      <c r="AX126" s="149"/>
      <c r="AY126" s="149"/>
      <c r="AZ126" s="149"/>
      <c r="BA126" s="149"/>
      <c r="BB126" s="149"/>
      <c r="BC126" s="149"/>
      <c r="BD126" s="149"/>
      <c r="BE126" s="149"/>
      <c r="BF126" s="149"/>
      <c r="BG126" s="149"/>
      <c r="BH126" s="149"/>
      <c r="BI126" s="149"/>
      <c r="BJ126" s="149"/>
      <c r="BK126" s="149"/>
      <c r="BL126" s="149"/>
      <c r="BM126" s="149"/>
      <c r="BN126" s="149"/>
      <c r="BO126" s="149"/>
      <c r="BP126" s="149"/>
      <c r="BQ126" s="149"/>
      <c r="BR126" s="149"/>
    </row>
    <row r="127" ht="32" customHeight="1" spans="1:70">
      <c r="A127" s="208">
        <v>125</v>
      </c>
      <c r="B127" s="149" t="s">
        <v>753</v>
      </c>
      <c r="C127" s="149" t="s">
        <v>467</v>
      </c>
      <c r="D127" s="149" t="s">
        <v>754</v>
      </c>
      <c r="E127" s="212" t="s">
        <v>279</v>
      </c>
      <c r="F127" s="149" t="s">
        <v>156</v>
      </c>
      <c r="G127" s="149" t="s">
        <v>755</v>
      </c>
      <c r="H127" s="149"/>
      <c r="I127" s="149"/>
      <c r="J127" s="149" t="s">
        <v>756</v>
      </c>
      <c r="K127" s="149"/>
      <c r="L127" s="149"/>
      <c r="M127" s="149"/>
      <c r="N127" s="149"/>
      <c r="O127" s="149"/>
      <c r="P127" s="149"/>
      <c r="Q127" s="149"/>
      <c r="R127" s="149"/>
      <c r="S127" s="149"/>
      <c r="T127" s="149"/>
      <c r="U127" s="149"/>
      <c r="V127" s="149"/>
      <c r="W127" s="149"/>
      <c r="X127" s="149"/>
      <c r="Y127" s="149"/>
      <c r="Z127" s="149"/>
      <c r="AA127" s="149"/>
      <c r="AB127" s="149"/>
      <c r="AC127" s="149"/>
      <c r="AD127" s="149"/>
      <c r="AE127" s="161"/>
      <c r="AF127" s="149"/>
      <c r="AG127" s="149"/>
      <c r="AH127" s="149"/>
      <c r="AI127" s="149"/>
      <c r="AJ127" s="149"/>
      <c r="AK127" s="149"/>
      <c r="AL127" s="149"/>
      <c r="AM127" s="149"/>
      <c r="AN127" s="149"/>
      <c r="AO127" s="149"/>
      <c r="AP127" s="149"/>
      <c r="AR127" s="149"/>
      <c r="AS127" s="149"/>
      <c r="AT127" s="149"/>
      <c r="AU127" s="149"/>
      <c r="AV127" s="149"/>
      <c r="AW127" s="149"/>
      <c r="AX127" s="149"/>
      <c r="AY127" s="149"/>
      <c r="AZ127" s="149"/>
      <c r="BA127" s="149"/>
      <c r="BB127" s="149"/>
      <c r="BC127" s="149"/>
      <c r="BD127" s="149"/>
      <c r="BE127" s="149"/>
      <c r="BF127" s="149"/>
      <c r="BG127" s="149"/>
      <c r="BH127" s="149"/>
      <c r="BI127" s="149"/>
      <c r="BJ127" s="149"/>
      <c r="BK127" s="149"/>
      <c r="BL127" s="149"/>
      <c r="BM127" s="149"/>
      <c r="BN127" s="149"/>
      <c r="BO127" s="149"/>
      <c r="BP127" s="149"/>
      <c r="BQ127" s="149"/>
      <c r="BR127" s="149"/>
    </row>
    <row r="128" ht="32" customHeight="1" spans="1:70">
      <c r="A128" s="208">
        <v>126</v>
      </c>
      <c r="B128" s="149" t="s">
        <v>757</v>
      </c>
      <c r="C128" s="149" t="s">
        <v>467</v>
      </c>
      <c r="D128" s="149" t="s">
        <v>758</v>
      </c>
      <c r="E128" s="212" t="s">
        <v>179</v>
      </c>
      <c r="F128" s="149" t="s">
        <v>156</v>
      </c>
      <c r="G128" s="149" t="s">
        <v>759</v>
      </c>
      <c r="H128" s="149"/>
      <c r="I128" s="149"/>
      <c r="J128" s="149" t="s">
        <v>760</v>
      </c>
      <c r="K128" s="149"/>
      <c r="L128" s="149"/>
      <c r="M128" s="149"/>
      <c r="N128" s="149"/>
      <c r="O128" s="149"/>
      <c r="P128" s="149"/>
      <c r="Q128" s="149"/>
      <c r="R128" s="149"/>
      <c r="S128" s="149"/>
      <c r="T128" s="149"/>
      <c r="U128" s="149"/>
      <c r="V128" s="149"/>
      <c r="W128" s="149"/>
      <c r="X128" s="149"/>
      <c r="Y128" s="149"/>
      <c r="Z128" s="149"/>
      <c r="AA128" s="149"/>
      <c r="AB128" s="149"/>
      <c r="AC128" s="149"/>
      <c r="AD128" s="149"/>
      <c r="AE128" s="161"/>
      <c r="AF128" s="149"/>
      <c r="AG128" s="149"/>
      <c r="AH128" s="149"/>
      <c r="AI128" s="149"/>
      <c r="AJ128" s="149"/>
      <c r="AK128" s="149"/>
      <c r="AL128" s="149"/>
      <c r="AM128" s="149"/>
      <c r="AN128" s="149"/>
      <c r="AO128" s="149"/>
      <c r="AP128" s="149"/>
      <c r="AR128" s="149"/>
      <c r="AS128" s="149"/>
      <c r="AT128" s="149"/>
      <c r="AU128" s="149"/>
      <c r="AV128" s="149"/>
      <c r="AW128" s="149"/>
      <c r="AX128" s="149"/>
      <c r="AY128" s="149"/>
      <c r="AZ128" s="149"/>
      <c r="BA128" s="149"/>
      <c r="BB128" s="149"/>
      <c r="BC128" s="149"/>
      <c r="BD128" s="149"/>
      <c r="BE128" s="149"/>
      <c r="BF128" s="149"/>
      <c r="BG128" s="149"/>
      <c r="BH128" s="149"/>
      <c r="BI128" s="149"/>
      <c r="BJ128" s="149"/>
      <c r="BK128" s="149"/>
      <c r="BL128" s="149"/>
      <c r="BM128" s="149"/>
      <c r="BN128" s="149"/>
      <c r="BO128" s="149"/>
      <c r="BP128" s="149"/>
      <c r="BQ128" s="149"/>
      <c r="BR128" s="149"/>
    </row>
    <row r="129" ht="32" customHeight="1" spans="1:70">
      <c r="A129" s="208">
        <v>127</v>
      </c>
      <c r="B129" s="149" t="s">
        <v>761</v>
      </c>
      <c r="C129" s="149" t="s">
        <v>467</v>
      </c>
      <c r="D129" s="149" t="s">
        <v>762</v>
      </c>
      <c r="E129" s="212"/>
      <c r="F129" s="149"/>
      <c r="G129" s="149" t="s">
        <v>763</v>
      </c>
      <c r="H129" s="149"/>
      <c r="I129" s="149"/>
      <c r="J129" s="149" t="s">
        <v>764</v>
      </c>
      <c r="K129" s="149" t="s">
        <v>765</v>
      </c>
      <c r="L129" s="149"/>
      <c r="M129" s="149"/>
      <c r="N129" s="149"/>
      <c r="O129" s="149"/>
      <c r="P129" s="149"/>
      <c r="Q129" s="149"/>
      <c r="R129" s="149"/>
      <c r="S129" s="149"/>
      <c r="T129" s="149"/>
      <c r="U129" s="149"/>
      <c r="V129" s="149"/>
      <c r="W129" s="149"/>
      <c r="X129" s="149"/>
      <c r="Y129" s="149"/>
      <c r="Z129" s="149"/>
      <c r="AA129" s="149"/>
      <c r="AB129" s="149"/>
      <c r="AC129" s="149"/>
      <c r="AD129" s="149"/>
      <c r="AE129" s="161"/>
      <c r="AF129" s="149"/>
      <c r="AG129" s="149"/>
      <c r="AH129" s="149"/>
      <c r="AI129" s="149"/>
      <c r="AJ129" s="149"/>
      <c r="AK129" s="149"/>
      <c r="AL129" s="149"/>
      <c r="AM129" s="149"/>
      <c r="AN129" s="149"/>
      <c r="AO129" s="149"/>
      <c r="AP129" s="149"/>
      <c r="AR129" s="149"/>
      <c r="AS129" s="149"/>
      <c r="AT129" s="149"/>
      <c r="AU129" s="149"/>
      <c r="AV129" s="149"/>
      <c r="AW129" s="149"/>
      <c r="AX129" s="149"/>
      <c r="AY129" s="149"/>
      <c r="AZ129" s="149"/>
      <c r="BA129" s="149"/>
      <c r="BB129" s="149"/>
      <c r="BC129" s="149"/>
      <c r="BD129" s="149"/>
      <c r="BE129" s="149"/>
      <c r="BF129" s="149"/>
      <c r="BG129" s="149"/>
      <c r="BH129" s="149"/>
      <c r="BI129" s="149"/>
      <c r="BJ129" s="149"/>
      <c r="BK129" s="149"/>
      <c r="BL129" s="149"/>
      <c r="BM129" s="149"/>
      <c r="BN129" s="149"/>
      <c r="BO129" s="149"/>
      <c r="BP129" s="149"/>
      <c r="BQ129" s="149"/>
      <c r="BR129" s="149"/>
    </row>
    <row r="130" ht="32" customHeight="1" spans="1:70">
      <c r="A130" s="208">
        <v>128</v>
      </c>
      <c r="B130" s="149" t="s">
        <v>766</v>
      </c>
      <c r="C130" s="149" t="s">
        <v>467</v>
      </c>
      <c r="D130" s="149" t="s">
        <v>767</v>
      </c>
      <c r="E130" s="149"/>
      <c r="F130" s="149"/>
      <c r="G130" s="149" t="s">
        <v>768</v>
      </c>
      <c r="H130" s="149"/>
      <c r="I130" s="149"/>
      <c r="J130" s="149" t="s">
        <v>769</v>
      </c>
      <c r="K130" s="149" t="s">
        <v>770</v>
      </c>
      <c r="L130" s="149"/>
      <c r="M130" s="149"/>
      <c r="N130" s="149"/>
      <c r="O130" s="149"/>
      <c r="P130" s="149"/>
      <c r="Q130" s="149"/>
      <c r="R130" s="149"/>
      <c r="S130" s="149"/>
      <c r="T130" s="149"/>
      <c r="U130" s="149"/>
      <c r="V130" s="149"/>
      <c r="W130" s="149"/>
      <c r="X130" s="149"/>
      <c r="Y130" s="149"/>
      <c r="Z130" s="149"/>
      <c r="AA130" s="149"/>
      <c r="AB130" s="149"/>
      <c r="AC130" s="149"/>
      <c r="AD130" s="149"/>
      <c r="AE130" s="161"/>
      <c r="AF130" s="149"/>
      <c r="AG130" s="149"/>
      <c r="AH130" s="149"/>
      <c r="AI130" s="149"/>
      <c r="AJ130" s="149"/>
      <c r="AK130" s="149"/>
      <c r="AL130" s="149"/>
      <c r="AM130" s="149"/>
      <c r="AN130" s="149"/>
      <c r="AO130" s="149"/>
      <c r="AP130" s="149"/>
      <c r="AR130" s="149"/>
      <c r="AS130" s="149"/>
      <c r="AT130" s="149"/>
      <c r="AU130" s="149"/>
      <c r="AV130" s="149"/>
      <c r="AW130" s="149"/>
      <c r="AX130" s="149"/>
      <c r="AY130" s="149"/>
      <c r="AZ130" s="149"/>
      <c r="BA130" s="149"/>
      <c r="BB130" s="149"/>
      <c r="BC130" s="149"/>
      <c r="BD130" s="149"/>
      <c r="BE130" s="149"/>
      <c r="BF130" s="149"/>
      <c r="BG130" s="149"/>
      <c r="BH130" s="149"/>
      <c r="BI130" s="149"/>
      <c r="BJ130" s="149"/>
      <c r="BK130" s="149"/>
      <c r="BL130" s="149"/>
      <c r="BM130" s="149"/>
      <c r="BN130" s="149"/>
      <c r="BO130" s="149"/>
      <c r="BP130" s="149"/>
      <c r="BQ130" s="149"/>
      <c r="BR130" s="149"/>
    </row>
    <row r="131" ht="32" customHeight="1" spans="1:70">
      <c r="A131" s="208">
        <v>129</v>
      </c>
      <c r="B131" s="149" t="s">
        <v>771</v>
      </c>
      <c r="C131" s="149" t="s">
        <v>467</v>
      </c>
      <c r="D131" s="149" t="s">
        <v>772</v>
      </c>
      <c r="E131" s="212"/>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61"/>
      <c r="AF131" s="149"/>
      <c r="AG131" s="149"/>
      <c r="AH131" s="149"/>
      <c r="AI131" s="149"/>
      <c r="AJ131" s="149"/>
      <c r="AK131" s="149"/>
      <c r="AL131" s="149"/>
      <c r="AM131" s="149"/>
      <c r="AN131" s="149"/>
      <c r="AO131" s="149"/>
      <c r="AP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ht="32" customHeight="1" spans="1:70">
      <c r="A132" s="208">
        <v>130</v>
      </c>
      <c r="B132" s="149" t="s">
        <v>773</v>
      </c>
      <c r="C132" s="149" t="s">
        <v>467</v>
      </c>
      <c r="D132" s="149" t="s">
        <v>774</v>
      </c>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61"/>
      <c r="AF132" s="149"/>
      <c r="AG132" s="149"/>
      <c r="AH132" s="149"/>
      <c r="AI132" s="149"/>
      <c r="AJ132" s="149"/>
      <c r="AK132" s="149"/>
      <c r="AL132" s="149"/>
      <c r="AM132" s="149"/>
      <c r="AN132" s="149"/>
      <c r="AO132" s="149"/>
      <c r="AP132" s="149"/>
      <c r="AR132" s="149"/>
      <c r="AS132" s="149"/>
      <c r="AT132" s="149"/>
      <c r="AU132" s="149"/>
      <c r="AV132" s="149"/>
      <c r="AW132" s="149"/>
      <c r="AX132" s="149"/>
      <c r="AY132" s="149"/>
      <c r="AZ132" s="149"/>
      <c r="BA132" s="149"/>
      <c r="BB132" s="149"/>
      <c r="BC132" s="149"/>
      <c r="BD132" s="149"/>
      <c r="BE132" s="149"/>
      <c r="BF132" s="149"/>
      <c r="BG132" s="149"/>
      <c r="BH132" s="149"/>
      <c r="BI132" s="149"/>
      <c r="BJ132" s="149"/>
      <c r="BK132" s="149"/>
      <c r="BL132" s="149"/>
      <c r="BM132" s="149"/>
      <c r="BN132" s="149"/>
      <c r="BO132" s="149"/>
      <c r="BP132" s="149"/>
      <c r="BQ132" s="149"/>
      <c r="BR132" s="149"/>
    </row>
    <row r="133" ht="32" customHeight="1" spans="1:70">
      <c r="A133" s="208">
        <v>131</v>
      </c>
      <c r="B133" s="149" t="s">
        <v>775</v>
      </c>
      <c r="C133" s="149" t="s">
        <v>467</v>
      </c>
      <c r="D133" s="149" t="s">
        <v>776</v>
      </c>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61"/>
      <c r="AF133" s="149"/>
      <c r="AG133" s="149"/>
      <c r="AH133" s="149"/>
      <c r="AI133" s="149"/>
      <c r="AJ133" s="149"/>
      <c r="AK133" s="149"/>
      <c r="AL133" s="149"/>
      <c r="AM133" s="149"/>
      <c r="AN133" s="149"/>
      <c r="AO133" s="149"/>
      <c r="AP133" s="149"/>
      <c r="AR133" s="149"/>
      <c r="AS133" s="149"/>
      <c r="AT133" s="149"/>
      <c r="AU133" s="149"/>
      <c r="AV133" s="149"/>
      <c r="AW133" s="149"/>
      <c r="AX133" s="149"/>
      <c r="AY133" s="149"/>
      <c r="AZ133" s="149"/>
      <c r="BA133" s="149"/>
      <c r="BB133" s="149"/>
      <c r="BC133" s="149"/>
      <c r="BD133" s="149"/>
      <c r="BE133" s="149"/>
      <c r="BF133" s="149"/>
      <c r="BG133" s="149"/>
      <c r="BH133" s="149"/>
      <c r="BI133" s="149"/>
      <c r="BJ133" s="149"/>
      <c r="BK133" s="149"/>
      <c r="BL133" s="149"/>
      <c r="BM133" s="149"/>
      <c r="BN133" s="149"/>
      <c r="BO133" s="149"/>
      <c r="BP133" s="149"/>
      <c r="BQ133" s="149"/>
      <c r="BR133" s="149"/>
    </row>
    <row r="134" ht="32" customHeight="1" spans="1:70">
      <c r="A134" s="208">
        <v>132</v>
      </c>
      <c r="B134" s="149" t="s">
        <v>777</v>
      </c>
      <c r="C134" s="149" t="s">
        <v>467</v>
      </c>
      <c r="D134" s="149" t="s">
        <v>778</v>
      </c>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61"/>
      <c r="AF134" s="149"/>
      <c r="AG134" s="149"/>
      <c r="AH134" s="149"/>
      <c r="AI134" s="149"/>
      <c r="AJ134" s="149"/>
      <c r="AK134" s="149"/>
      <c r="AL134" s="149"/>
      <c r="AM134" s="149"/>
      <c r="AN134" s="149"/>
      <c r="AO134" s="149"/>
      <c r="AP134" s="149"/>
      <c r="AR134" s="149"/>
      <c r="AS134" s="149"/>
      <c r="AT134" s="149"/>
      <c r="AU134" s="149"/>
      <c r="AV134" s="149"/>
      <c r="AW134" s="149"/>
      <c r="AX134" s="149"/>
      <c r="AY134" s="149"/>
      <c r="AZ134" s="149"/>
      <c r="BA134" s="149"/>
      <c r="BB134" s="149"/>
      <c r="BC134" s="149"/>
      <c r="BD134" s="149"/>
      <c r="BE134" s="149"/>
      <c r="BF134" s="149"/>
      <c r="BG134" s="149"/>
      <c r="BH134" s="149"/>
      <c r="BI134" s="149"/>
      <c r="BJ134" s="149"/>
      <c r="BK134" s="149"/>
      <c r="BL134" s="149"/>
      <c r="BM134" s="149"/>
      <c r="BN134" s="149"/>
      <c r="BO134" s="149"/>
      <c r="BP134" s="149"/>
      <c r="BQ134" s="149"/>
      <c r="BR134" s="149"/>
    </row>
    <row r="135" ht="32" customHeight="1" spans="1:70">
      <c r="A135" s="208">
        <v>133</v>
      </c>
      <c r="B135" s="149" t="s">
        <v>779</v>
      </c>
      <c r="C135" s="149" t="s">
        <v>467</v>
      </c>
      <c r="D135" s="149" t="s">
        <v>780</v>
      </c>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61"/>
      <c r="AF135" s="149"/>
      <c r="AG135" s="149"/>
      <c r="AH135" s="149"/>
      <c r="AI135" s="149"/>
      <c r="AJ135" s="149"/>
      <c r="AK135" s="149"/>
      <c r="AL135" s="149"/>
      <c r="AM135" s="149"/>
      <c r="AN135" s="149"/>
      <c r="AO135" s="149"/>
      <c r="AP135" s="149"/>
      <c r="AR135" s="149"/>
      <c r="AS135" s="149"/>
      <c r="AT135" s="149"/>
      <c r="AU135" s="149"/>
      <c r="AV135" s="149"/>
      <c r="AW135" s="149"/>
      <c r="AX135" s="149"/>
      <c r="AY135" s="149"/>
      <c r="AZ135" s="149"/>
      <c r="BA135" s="149"/>
      <c r="BB135" s="149"/>
      <c r="BC135" s="149"/>
      <c r="BD135" s="149"/>
      <c r="BE135" s="149"/>
      <c r="BF135" s="149"/>
      <c r="BG135" s="149"/>
      <c r="BH135" s="149"/>
      <c r="BI135" s="149"/>
      <c r="BJ135" s="149"/>
      <c r="BK135" s="223" t="s">
        <v>781</v>
      </c>
      <c r="BL135" s="149" t="s">
        <v>88</v>
      </c>
      <c r="BM135" s="149"/>
      <c r="BN135" s="149"/>
      <c r="BO135" s="149"/>
      <c r="BP135" s="149"/>
      <c r="BQ135" s="149"/>
      <c r="BR135" s="149"/>
    </row>
    <row r="136" ht="32" customHeight="1" spans="1:70">
      <c r="A136" s="208">
        <v>134</v>
      </c>
      <c r="B136" s="149" t="s">
        <v>782</v>
      </c>
      <c r="C136" s="149" t="s">
        <v>467</v>
      </c>
      <c r="D136" s="149" t="s">
        <v>780</v>
      </c>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61"/>
      <c r="AF136" s="149"/>
      <c r="AG136" s="149"/>
      <c r="AH136" s="149"/>
      <c r="AI136" s="149"/>
      <c r="AJ136" s="149"/>
      <c r="AK136" s="149"/>
      <c r="AL136" s="149"/>
      <c r="AM136" s="149"/>
      <c r="AN136" s="149"/>
      <c r="AO136" s="149"/>
      <c r="AP136" s="149"/>
      <c r="AR136" s="149"/>
      <c r="AS136" s="149"/>
      <c r="AT136" s="149"/>
      <c r="AU136" s="149"/>
      <c r="AV136" s="149"/>
      <c r="AW136" s="149"/>
      <c r="AX136" s="149"/>
      <c r="AY136" s="149"/>
      <c r="AZ136" s="149"/>
      <c r="BA136" s="149"/>
      <c r="BB136" s="149"/>
      <c r="BC136" s="149"/>
      <c r="BD136" s="149"/>
      <c r="BE136" s="149"/>
      <c r="BF136" s="149"/>
      <c r="BG136" s="149"/>
      <c r="BH136" s="149"/>
      <c r="BI136" s="149"/>
      <c r="BJ136" s="149"/>
      <c r="BK136" s="223" t="s">
        <v>396</v>
      </c>
      <c r="BL136" s="149" t="s">
        <v>88</v>
      </c>
      <c r="BM136" s="149"/>
      <c r="BN136" s="149"/>
      <c r="BO136" s="149"/>
      <c r="BP136" s="149"/>
      <c r="BQ136" s="149"/>
      <c r="BR136" s="149"/>
    </row>
    <row r="137" ht="32" customHeight="1" spans="1:70">
      <c r="A137" s="189">
        <v>135</v>
      </c>
      <c r="B137" s="207" t="s">
        <v>783</v>
      </c>
      <c r="C137" s="207" t="s">
        <v>467</v>
      </c>
      <c r="D137" s="207" t="s">
        <v>780</v>
      </c>
      <c r="E137" s="207"/>
      <c r="F137" s="207" t="s">
        <v>156</v>
      </c>
      <c r="G137" s="207" t="s">
        <v>738</v>
      </c>
      <c r="H137" s="207"/>
      <c r="I137" s="207"/>
      <c r="J137" s="207" t="s">
        <v>784</v>
      </c>
      <c r="K137" s="207">
        <v>18051205299</v>
      </c>
      <c r="L137" s="207"/>
      <c r="M137" s="207" t="s">
        <v>785</v>
      </c>
      <c r="N137" s="207"/>
      <c r="O137" s="207"/>
      <c r="P137" s="207"/>
      <c r="Q137" s="207" t="s">
        <v>786</v>
      </c>
      <c r="R137" s="207"/>
      <c r="S137" s="207"/>
      <c r="T137" s="207"/>
      <c r="U137" s="207"/>
      <c r="V137" s="207"/>
      <c r="W137" s="207"/>
      <c r="X137" s="207"/>
      <c r="Y137" s="207"/>
      <c r="Z137" s="207"/>
      <c r="AA137" s="207"/>
      <c r="AB137" s="207"/>
      <c r="AC137" s="207"/>
      <c r="AD137" s="207"/>
      <c r="AE137" s="225"/>
      <c r="AF137" s="207"/>
      <c r="AG137" s="207"/>
      <c r="AH137" s="207"/>
      <c r="AI137" s="207"/>
      <c r="AJ137" s="207"/>
      <c r="AK137" s="207"/>
      <c r="AL137" s="207" t="s">
        <v>787</v>
      </c>
      <c r="AM137" s="207"/>
      <c r="AN137" s="207"/>
      <c r="AO137" s="207"/>
      <c r="AP137" s="207"/>
      <c r="AR137" s="207"/>
      <c r="AS137" s="207"/>
      <c r="AT137" s="207"/>
      <c r="AU137" s="207"/>
      <c r="AV137" s="207"/>
      <c r="AW137" s="207"/>
      <c r="AX137" s="207"/>
      <c r="AY137" s="207"/>
      <c r="AZ137" s="207"/>
      <c r="BA137" s="207"/>
      <c r="BB137" s="207"/>
      <c r="BC137" s="207"/>
      <c r="BD137" s="207"/>
      <c r="BE137" s="207"/>
      <c r="BF137" s="207"/>
      <c r="BG137" s="207"/>
      <c r="BH137" s="207"/>
      <c r="BI137" s="207"/>
      <c r="BJ137" s="207"/>
      <c r="BK137" s="221" t="s">
        <v>788</v>
      </c>
      <c r="BL137" s="207" t="s">
        <v>88</v>
      </c>
      <c r="BM137" s="207"/>
      <c r="BN137" s="207"/>
      <c r="BO137" s="207"/>
      <c r="BP137" s="207" t="s">
        <v>394</v>
      </c>
      <c r="BQ137" s="207"/>
      <c r="BR137" s="207"/>
    </row>
    <row r="138" ht="32" customHeight="1" spans="1:70">
      <c r="A138" s="189">
        <v>136</v>
      </c>
      <c r="B138" s="207" t="s">
        <v>789</v>
      </c>
      <c r="C138" s="207" t="s">
        <v>467</v>
      </c>
      <c r="D138" s="207" t="s">
        <v>780</v>
      </c>
      <c r="E138" s="207"/>
      <c r="F138" s="207" t="s">
        <v>310</v>
      </c>
      <c r="G138" s="207" t="s">
        <v>790</v>
      </c>
      <c r="H138" s="207"/>
      <c r="I138" s="207"/>
      <c r="J138" s="207" t="s">
        <v>389</v>
      </c>
      <c r="K138" s="207">
        <v>18136911292</v>
      </c>
      <c r="L138" s="207"/>
      <c r="M138" s="207" t="s">
        <v>791</v>
      </c>
      <c r="N138" s="207"/>
      <c r="O138" s="207"/>
      <c r="P138" s="207"/>
      <c r="Q138" s="207" t="s">
        <v>792</v>
      </c>
      <c r="R138" s="207"/>
      <c r="S138" s="207"/>
      <c r="T138" s="207"/>
      <c r="U138" s="207"/>
      <c r="V138" s="207"/>
      <c r="W138" s="207"/>
      <c r="X138" s="207"/>
      <c r="Y138" s="207"/>
      <c r="Z138" s="207"/>
      <c r="AA138" s="207"/>
      <c r="AB138" s="207"/>
      <c r="AC138" s="207"/>
      <c r="AD138" s="207"/>
      <c r="AE138" s="225"/>
      <c r="AF138" s="207"/>
      <c r="AG138" s="207"/>
      <c r="AH138" s="207"/>
      <c r="AI138" s="207"/>
      <c r="AJ138" s="207"/>
      <c r="AK138" s="207"/>
      <c r="AL138" s="207" t="s">
        <v>793</v>
      </c>
      <c r="AM138" s="207"/>
      <c r="AN138" s="207"/>
      <c r="AO138" s="207"/>
      <c r="AP138" s="207"/>
      <c r="AR138" s="207"/>
      <c r="AS138" s="207"/>
      <c r="AT138" s="207"/>
      <c r="AU138" s="207"/>
      <c r="AV138" s="207"/>
      <c r="AW138" s="207"/>
      <c r="AX138" s="207"/>
      <c r="AY138" s="207"/>
      <c r="AZ138" s="207"/>
      <c r="BA138" s="207"/>
      <c r="BB138" s="207"/>
      <c r="BC138" s="207"/>
      <c r="BD138" s="207"/>
      <c r="BE138" s="207"/>
      <c r="BF138" s="207"/>
      <c r="BG138" s="207"/>
      <c r="BH138" s="207"/>
      <c r="BI138" s="207"/>
      <c r="BJ138" s="207"/>
      <c r="BK138" s="221" t="s">
        <v>794</v>
      </c>
      <c r="BL138" s="207" t="s">
        <v>88</v>
      </c>
      <c r="BM138" s="207"/>
      <c r="BN138" s="207"/>
      <c r="BO138" s="207"/>
      <c r="BP138" s="207" t="s">
        <v>394</v>
      </c>
      <c r="BQ138" s="207" t="s">
        <v>795</v>
      </c>
      <c r="BR138" s="207"/>
    </row>
    <row r="139" ht="32" customHeight="1" spans="1:70">
      <c r="A139" s="204">
        <v>137</v>
      </c>
      <c r="B139" s="205" t="s">
        <v>796</v>
      </c>
      <c r="C139" s="205" t="s">
        <v>467</v>
      </c>
      <c r="D139" s="205" t="s">
        <v>780</v>
      </c>
      <c r="E139" s="205"/>
      <c r="F139" s="205"/>
      <c r="G139" s="205"/>
      <c r="H139" s="205"/>
      <c r="I139" s="205"/>
      <c r="J139" s="205"/>
      <c r="K139" s="205"/>
      <c r="L139" s="205"/>
      <c r="M139" s="205"/>
      <c r="N139" s="205"/>
      <c r="O139" s="205"/>
      <c r="P139" s="205"/>
      <c r="Q139" s="205"/>
      <c r="R139" s="205"/>
      <c r="S139" s="205"/>
      <c r="T139" s="205"/>
      <c r="U139" s="205"/>
      <c r="V139" s="205"/>
      <c r="W139" s="205"/>
      <c r="X139" s="205"/>
      <c r="Y139" s="205"/>
      <c r="Z139" s="205"/>
      <c r="AA139" s="205"/>
      <c r="AB139" s="205"/>
      <c r="AC139" s="205"/>
      <c r="AD139" s="205"/>
      <c r="AE139" s="161"/>
      <c r="AF139" s="205"/>
      <c r="AG139" s="205"/>
      <c r="AH139" s="205"/>
      <c r="AI139" s="205"/>
      <c r="AJ139" s="205"/>
      <c r="AK139" s="205"/>
      <c r="AL139" s="205"/>
      <c r="AM139" s="205"/>
      <c r="AN139" s="205"/>
      <c r="AO139" s="205"/>
      <c r="AP139" s="205"/>
      <c r="AR139" s="205"/>
      <c r="AS139" s="205"/>
      <c r="AT139" s="205"/>
      <c r="AU139" s="205"/>
      <c r="AV139" s="205"/>
      <c r="AW139" s="205"/>
      <c r="AX139" s="205"/>
      <c r="AY139" s="205"/>
      <c r="AZ139" s="205"/>
      <c r="BA139" s="205"/>
      <c r="BB139" s="205"/>
      <c r="BC139" s="205"/>
      <c r="BD139" s="205"/>
      <c r="BE139" s="205"/>
      <c r="BF139" s="205"/>
      <c r="BG139" s="205"/>
      <c r="BH139" s="205"/>
      <c r="BI139" s="205"/>
      <c r="BJ139" s="205"/>
      <c r="BK139" s="222" t="s">
        <v>794</v>
      </c>
      <c r="BL139" s="205" t="s">
        <v>88</v>
      </c>
      <c r="BM139" s="205"/>
      <c r="BN139" s="205"/>
      <c r="BO139" s="205"/>
      <c r="BP139" s="205"/>
      <c r="BQ139" s="205"/>
      <c r="BR139" s="205"/>
    </row>
    <row r="140" ht="32" customHeight="1" spans="1:70">
      <c r="A140" s="208">
        <v>138</v>
      </c>
      <c r="B140" s="149" t="s">
        <v>797</v>
      </c>
      <c r="C140" s="149" t="s">
        <v>467</v>
      </c>
      <c r="D140" s="149" t="s">
        <v>780</v>
      </c>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61"/>
      <c r="AF140" s="149"/>
      <c r="AG140" s="149"/>
      <c r="AH140" s="149"/>
      <c r="AI140" s="149"/>
      <c r="AJ140" s="149"/>
      <c r="AK140" s="149"/>
      <c r="AL140" s="149"/>
      <c r="AM140" s="149"/>
      <c r="AN140" s="149"/>
      <c r="AO140" s="149"/>
      <c r="AP140" s="149"/>
      <c r="AR140" s="149"/>
      <c r="AS140" s="149"/>
      <c r="AT140" s="149"/>
      <c r="AU140" s="149"/>
      <c r="AV140" s="149"/>
      <c r="AW140" s="149"/>
      <c r="AX140" s="149"/>
      <c r="AY140" s="149"/>
      <c r="AZ140" s="149"/>
      <c r="BA140" s="149"/>
      <c r="BB140" s="149"/>
      <c r="BC140" s="149"/>
      <c r="BD140" s="149"/>
      <c r="BE140" s="149"/>
      <c r="BF140" s="149"/>
      <c r="BG140" s="149"/>
      <c r="BH140" s="149"/>
      <c r="BI140" s="149"/>
      <c r="BJ140" s="149"/>
      <c r="BK140" s="223" t="s">
        <v>798</v>
      </c>
      <c r="BL140" s="149" t="s">
        <v>88</v>
      </c>
      <c r="BM140" s="149"/>
      <c r="BN140" s="149"/>
      <c r="BO140" s="149"/>
      <c r="BP140" s="149"/>
      <c r="BQ140" s="149"/>
      <c r="BR140" s="149"/>
    </row>
    <row r="141" ht="32" customHeight="1" spans="1:70">
      <c r="A141" s="208">
        <v>139</v>
      </c>
      <c r="B141" s="149" t="s">
        <v>659</v>
      </c>
      <c r="C141" s="149" t="s">
        <v>467</v>
      </c>
      <c r="D141" s="149" t="s">
        <v>780</v>
      </c>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61"/>
      <c r="AF141" s="149"/>
      <c r="AG141" s="149"/>
      <c r="AH141" s="149"/>
      <c r="AI141" s="149"/>
      <c r="AJ141" s="149"/>
      <c r="AK141" s="149"/>
      <c r="AL141" s="149"/>
      <c r="AM141" s="149"/>
      <c r="AN141" s="149"/>
      <c r="AO141" s="149"/>
      <c r="AP141" s="149"/>
      <c r="AR141" s="149"/>
      <c r="AS141" s="149"/>
      <c r="AT141" s="149"/>
      <c r="AU141" s="149"/>
      <c r="AV141" s="149"/>
      <c r="AW141" s="149"/>
      <c r="AX141" s="149"/>
      <c r="AY141" s="149"/>
      <c r="AZ141" s="149"/>
      <c r="BA141" s="149"/>
      <c r="BB141" s="149"/>
      <c r="BC141" s="149"/>
      <c r="BD141" s="149"/>
      <c r="BE141" s="149"/>
      <c r="BF141" s="149"/>
      <c r="BG141" s="149"/>
      <c r="BH141" s="149"/>
      <c r="BI141" s="149"/>
      <c r="BJ141" s="149"/>
      <c r="BK141" s="223" t="s">
        <v>398</v>
      </c>
      <c r="BL141" s="149" t="s">
        <v>88</v>
      </c>
      <c r="BM141" s="149"/>
      <c r="BN141" s="149"/>
      <c r="BO141" s="149"/>
      <c r="BP141" s="149"/>
      <c r="BQ141" s="149"/>
      <c r="BR141" s="149"/>
    </row>
    <row r="142" ht="32" customHeight="1" spans="1:70">
      <c r="A142" s="208">
        <v>140</v>
      </c>
      <c r="B142" s="149" t="s">
        <v>799</v>
      </c>
      <c r="C142" s="149" t="s">
        <v>467</v>
      </c>
      <c r="D142" s="149" t="s">
        <v>780</v>
      </c>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61"/>
      <c r="AF142" s="149"/>
      <c r="AG142" s="149"/>
      <c r="AH142" s="149"/>
      <c r="AI142" s="149"/>
      <c r="AJ142" s="149"/>
      <c r="AK142" s="149"/>
      <c r="AL142" s="149"/>
      <c r="AM142" s="149"/>
      <c r="AN142" s="149"/>
      <c r="AO142" s="149"/>
      <c r="AP142" s="149"/>
      <c r="AR142" s="149"/>
      <c r="AS142" s="149"/>
      <c r="AT142" s="149"/>
      <c r="AU142" s="149"/>
      <c r="AV142" s="149"/>
      <c r="AW142" s="149"/>
      <c r="AX142" s="149"/>
      <c r="AY142" s="149"/>
      <c r="AZ142" s="149"/>
      <c r="BA142" s="149"/>
      <c r="BB142" s="149"/>
      <c r="BC142" s="149"/>
      <c r="BD142" s="149"/>
      <c r="BE142" s="149"/>
      <c r="BF142" s="149"/>
      <c r="BG142" s="149"/>
      <c r="BH142" s="149"/>
      <c r="BI142" s="149"/>
      <c r="BJ142" s="149"/>
      <c r="BK142" s="223" t="s">
        <v>800</v>
      </c>
      <c r="BL142" s="149" t="s">
        <v>88</v>
      </c>
      <c r="BM142" s="149"/>
      <c r="BN142" s="149"/>
      <c r="BO142" s="149"/>
      <c r="BP142" s="149"/>
      <c r="BQ142" s="149"/>
      <c r="BR142" s="149"/>
    </row>
    <row r="143" ht="32" customHeight="1" spans="1:70">
      <c r="A143" s="208">
        <v>141</v>
      </c>
      <c r="B143" s="149" t="s">
        <v>801</v>
      </c>
      <c r="C143" s="149" t="s">
        <v>467</v>
      </c>
      <c r="D143" s="149" t="s">
        <v>780</v>
      </c>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61"/>
      <c r="AF143" s="149"/>
      <c r="AG143" s="149"/>
      <c r="AH143" s="149"/>
      <c r="AI143" s="149"/>
      <c r="AJ143" s="149"/>
      <c r="AK143" s="149"/>
      <c r="AL143" s="149"/>
      <c r="AM143" s="149"/>
      <c r="AN143" s="149"/>
      <c r="AO143" s="149"/>
      <c r="AP143" s="149"/>
      <c r="AR143" s="149"/>
      <c r="AS143" s="149"/>
      <c r="AT143" s="149"/>
      <c r="AU143" s="149"/>
      <c r="AV143" s="149"/>
      <c r="AW143" s="149"/>
      <c r="AX143" s="149"/>
      <c r="AY143" s="149"/>
      <c r="AZ143" s="149"/>
      <c r="BA143" s="149"/>
      <c r="BB143" s="149"/>
      <c r="BC143" s="149"/>
      <c r="BD143" s="149"/>
      <c r="BE143" s="149"/>
      <c r="BF143" s="149"/>
      <c r="BG143" s="149"/>
      <c r="BH143" s="149"/>
      <c r="BI143" s="149"/>
      <c r="BJ143" s="149"/>
      <c r="BK143" s="223" t="s">
        <v>802</v>
      </c>
      <c r="BL143" s="149" t="s">
        <v>88</v>
      </c>
      <c r="BM143" s="149"/>
      <c r="BN143" s="149"/>
      <c r="BO143" s="149"/>
      <c r="BP143" s="149"/>
      <c r="BQ143" s="149"/>
      <c r="BR143" s="149"/>
    </row>
    <row r="144" ht="32" customHeight="1" spans="1:70">
      <c r="A144" s="208">
        <v>142</v>
      </c>
      <c r="B144" s="149" t="s">
        <v>803</v>
      </c>
      <c r="C144" s="149" t="s">
        <v>467</v>
      </c>
      <c r="D144" s="149" t="s">
        <v>780</v>
      </c>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61"/>
      <c r="AF144" s="149"/>
      <c r="AG144" s="149"/>
      <c r="AH144" s="149"/>
      <c r="AI144" s="149"/>
      <c r="AJ144" s="149"/>
      <c r="AK144" s="149"/>
      <c r="AL144" s="149"/>
      <c r="AM144" s="149"/>
      <c r="AN144" s="149"/>
      <c r="AO144" s="149"/>
      <c r="AP144" s="149"/>
      <c r="AR144" s="149"/>
      <c r="AS144" s="149"/>
      <c r="AT144" s="149"/>
      <c r="AU144" s="149"/>
      <c r="AV144" s="149"/>
      <c r="AW144" s="149"/>
      <c r="AX144" s="149"/>
      <c r="AY144" s="149"/>
      <c r="AZ144" s="149"/>
      <c r="BA144" s="149"/>
      <c r="BB144" s="149"/>
      <c r="BC144" s="149"/>
      <c r="BD144" s="149"/>
      <c r="BE144" s="149"/>
      <c r="BF144" s="149"/>
      <c r="BG144" s="149"/>
      <c r="BH144" s="149"/>
      <c r="BI144" s="149"/>
      <c r="BJ144" s="149"/>
      <c r="BK144" s="223" t="s">
        <v>802</v>
      </c>
      <c r="BL144" s="149" t="s">
        <v>88</v>
      </c>
      <c r="BM144" s="149"/>
      <c r="BN144" s="149"/>
      <c r="BO144" s="149"/>
      <c r="BP144" s="149"/>
      <c r="BQ144" s="149"/>
      <c r="BR144" s="149"/>
    </row>
    <row r="145" ht="32" customHeight="1" spans="1:70">
      <c r="A145" s="208">
        <v>143</v>
      </c>
      <c r="B145" s="149" t="s">
        <v>804</v>
      </c>
      <c r="C145" s="149" t="s">
        <v>467</v>
      </c>
      <c r="D145" s="149" t="s">
        <v>780</v>
      </c>
      <c r="E145" s="149"/>
      <c r="F145" s="149" t="s">
        <v>80</v>
      </c>
      <c r="G145" s="149" t="s">
        <v>805</v>
      </c>
      <c r="H145" s="149"/>
      <c r="I145" s="149"/>
      <c r="J145" s="149" t="s">
        <v>806</v>
      </c>
      <c r="K145" s="149">
        <v>13775017164</v>
      </c>
      <c r="L145" s="149"/>
      <c r="M145" s="149" t="s">
        <v>805</v>
      </c>
      <c r="N145" s="149"/>
      <c r="O145" s="149"/>
      <c r="P145" s="149"/>
      <c r="Q145" s="149"/>
      <c r="R145" s="149"/>
      <c r="S145" s="149"/>
      <c r="T145" s="149"/>
      <c r="U145" s="149"/>
      <c r="V145" s="149"/>
      <c r="W145" s="149"/>
      <c r="X145" s="149"/>
      <c r="Y145" s="149"/>
      <c r="Z145" s="149"/>
      <c r="AA145" s="149"/>
      <c r="AB145" s="149"/>
      <c r="AC145" s="149"/>
      <c r="AD145" s="149"/>
      <c r="AE145" s="161"/>
      <c r="AF145" s="149"/>
      <c r="AG145" s="149"/>
      <c r="AH145" s="149"/>
      <c r="AI145" s="149"/>
      <c r="AJ145" s="149"/>
      <c r="AK145" s="149"/>
      <c r="AL145" s="149" t="s">
        <v>807</v>
      </c>
      <c r="AM145" s="149"/>
      <c r="AN145" s="149"/>
      <c r="AO145" s="149"/>
      <c r="AP145" s="149"/>
      <c r="AR145" s="149"/>
      <c r="AS145" s="149"/>
      <c r="AT145" s="149"/>
      <c r="AU145" s="149"/>
      <c r="AV145" s="149"/>
      <c r="AW145" s="149"/>
      <c r="AX145" s="149"/>
      <c r="AY145" s="149"/>
      <c r="AZ145" s="149"/>
      <c r="BA145" s="149"/>
      <c r="BB145" s="149"/>
      <c r="BC145" s="149"/>
      <c r="BD145" s="149"/>
      <c r="BE145" s="149"/>
      <c r="BF145" s="149"/>
      <c r="BG145" s="149"/>
      <c r="BH145" s="149"/>
      <c r="BI145" s="149"/>
      <c r="BJ145" s="149"/>
      <c r="BK145" s="223" t="s">
        <v>398</v>
      </c>
      <c r="BL145" s="149" t="s">
        <v>88</v>
      </c>
      <c r="BM145" s="149"/>
      <c r="BN145" s="149"/>
      <c r="BO145" s="149"/>
      <c r="BP145" s="149" t="s">
        <v>394</v>
      </c>
      <c r="BQ145" s="149"/>
      <c r="BR145" s="149"/>
    </row>
    <row r="146" ht="32" customHeight="1" spans="1:70">
      <c r="A146" s="208">
        <v>144</v>
      </c>
      <c r="B146" s="149" t="s">
        <v>808</v>
      </c>
      <c r="C146" s="149" t="s">
        <v>467</v>
      </c>
      <c r="D146" s="149" t="s">
        <v>780</v>
      </c>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61"/>
      <c r="AF146" s="149"/>
      <c r="AG146" s="149"/>
      <c r="AH146" s="149"/>
      <c r="AI146" s="149"/>
      <c r="AJ146" s="149"/>
      <c r="AK146" s="149"/>
      <c r="AL146" s="149"/>
      <c r="AM146" s="149"/>
      <c r="AN146" s="149"/>
      <c r="AO146" s="149"/>
      <c r="AP146" s="149"/>
      <c r="AR146" s="149"/>
      <c r="AS146" s="149"/>
      <c r="AT146" s="149"/>
      <c r="AU146" s="149"/>
      <c r="AV146" s="149"/>
      <c r="AW146" s="149"/>
      <c r="AX146" s="149"/>
      <c r="AY146" s="149"/>
      <c r="AZ146" s="149"/>
      <c r="BA146" s="149"/>
      <c r="BB146" s="149"/>
      <c r="BC146" s="149"/>
      <c r="BD146" s="149"/>
      <c r="BE146" s="149"/>
      <c r="BF146" s="149"/>
      <c r="BG146" s="149"/>
      <c r="BH146" s="149"/>
      <c r="BI146" s="149"/>
      <c r="BJ146" s="149"/>
      <c r="BK146" s="223" t="s">
        <v>802</v>
      </c>
      <c r="BL146" s="149" t="s">
        <v>88</v>
      </c>
      <c r="BM146" s="149"/>
      <c r="BN146" s="149"/>
      <c r="BO146" s="149"/>
      <c r="BP146" s="149"/>
      <c r="BQ146" s="149"/>
      <c r="BR146" s="149"/>
    </row>
    <row r="147" ht="32" customHeight="1" spans="1:70">
      <c r="A147" s="189">
        <v>145</v>
      </c>
      <c r="B147" s="207" t="s">
        <v>809</v>
      </c>
      <c r="C147" s="207" t="s">
        <v>467</v>
      </c>
      <c r="D147" s="207" t="s">
        <v>780</v>
      </c>
      <c r="E147" s="207"/>
      <c r="F147" s="207" t="s">
        <v>80</v>
      </c>
      <c r="G147" s="207" t="s">
        <v>810</v>
      </c>
      <c r="H147" s="207"/>
      <c r="I147" s="207"/>
      <c r="J147" s="207" t="s">
        <v>811</v>
      </c>
      <c r="K147" s="207">
        <v>15851978913</v>
      </c>
      <c r="L147" s="207"/>
      <c r="M147" s="207" t="s">
        <v>812</v>
      </c>
      <c r="N147" s="207"/>
      <c r="O147" s="207"/>
      <c r="P147" s="207"/>
      <c r="Q147" s="207" t="s">
        <v>813</v>
      </c>
      <c r="R147" s="207" t="s">
        <v>814</v>
      </c>
      <c r="S147" s="207"/>
      <c r="T147" s="207"/>
      <c r="U147" s="207"/>
      <c r="V147" s="207"/>
      <c r="W147" s="207"/>
      <c r="X147" s="207"/>
      <c r="Y147" s="207"/>
      <c r="Z147" s="207"/>
      <c r="AA147" s="207"/>
      <c r="AB147" s="207"/>
      <c r="AC147" s="207"/>
      <c r="AD147" s="207"/>
      <c r="AE147" s="225"/>
      <c r="AF147" s="207"/>
      <c r="AG147" s="207"/>
      <c r="AH147" s="207"/>
      <c r="AI147" s="207"/>
      <c r="AJ147" s="207"/>
      <c r="AK147" s="207"/>
      <c r="AL147" s="207" t="s">
        <v>815</v>
      </c>
      <c r="AM147" s="207"/>
      <c r="AN147" s="207"/>
      <c r="AO147" s="207"/>
      <c r="AP147" s="207"/>
      <c r="AR147" s="207"/>
      <c r="AS147" s="207"/>
      <c r="AT147" s="207"/>
      <c r="AU147" s="207"/>
      <c r="AV147" s="207"/>
      <c r="AW147" s="207"/>
      <c r="AX147" s="207"/>
      <c r="AY147" s="207"/>
      <c r="AZ147" s="207"/>
      <c r="BA147" s="207"/>
      <c r="BB147" s="207"/>
      <c r="BC147" s="207"/>
      <c r="BD147" s="207"/>
      <c r="BE147" s="207"/>
      <c r="BF147" s="207"/>
      <c r="BG147" s="207"/>
      <c r="BH147" s="207"/>
      <c r="BI147" s="207"/>
      <c r="BJ147" s="207"/>
      <c r="BK147" s="221" t="s">
        <v>400</v>
      </c>
      <c r="BL147" s="207" t="s">
        <v>88</v>
      </c>
      <c r="BM147" s="207"/>
      <c r="BN147" s="207"/>
      <c r="BO147" s="207"/>
      <c r="BP147" s="207" t="s">
        <v>394</v>
      </c>
      <c r="BQ147" s="207"/>
      <c r="BR147" s="207"/>
    </row>
    <row r="148" ht="32" customHeight="1" spans="1:70">
      <c r="A148" s="204">
        <v>146</v>
      </c>
      <c r="B148" s="205" t="s">
        <v>637</v>
      </c>
      <c r="C148" s="205" t="s">
        <v>467</v>
      </c>
      <c r="D148" s="205" t="s">
        <v>780</v>
      </c>
      <c r="E148" s="205"/>
      <c r="F148" s="205"/>
      <c r="G148" s="205"/>
      <c r="H148" s="205"/>
      <c r="I148" s="205"/>
      <c r="J148" s="205"/>
      <c r="K148" s="205"/>
      <c r="L148" s="205"/>
      <c r="M148" s="205"/>
      <c r="N148" s="205"/>
      <c r="O148" s="205"/>
      <c r="P148" s="205"/>
      <c r="Q148" s="205"/>
      <c r="R148" s="205"/>
      <c r="S148" s="205"/>
      <c r="T148" s="205"/>
      <c r="U148" s="205"/>
      <c r="V148" s="205"/>
      <c r="W148" s="205"/>
      <c r="X148" s="205"/>
      <c r="Y148" s="205"/>
      <c r="Z148" s="205"/>
      <c r="AA148" s="205"/>
      <c r="AB148" s="205"/>
      <c r="AC148" s="205"/>
      <c r="AD148" s="205"/>
      <c r="AE148" s="161"/>
      <c r="AF148" s="205"/>
      <c r="AG148" s="205"/>
      <c r="AH148" s="205"/>
      <c r="AI148" s="205"/>
      <c r="AJ148" s="205"/>
      <c r="AK148" s="205"/>
      <c r="AL148" s="205"/>
      <c r="AM148" s="205"/>
      <c r="AN148" s="205"/>
      <c r="AO148" s="205"/>
      <c r="AP148" s="205"/>
      <c r="AR148" s="205"/>
      <c r="AS148" s="205"/>
      <c r="AT148" s="205"/>
      <c r="AU148" s="205"/>
      <c r="AV148" s="205"/>
      <c r="AW148" s="205"/>
      <c r="AX148" s="205"/>
      <c r="AY148" s="205"/>
      <c r="AZ148" s="205"/>
      <c r="BA148" s="205"/>
      <c r="BB148" s="205"/>
      <c r="BC148" s="205"/>
      <c r="BD148" s="205"/>
      <c r="BE148" s="205"/>
      <c r="BF148" s="205"/>
      <c r="BG148" s="205"/>
      <c r="BH148" s="205"/>
      <c r="BI148" s="205"/>
      <c r="BJ148" s="205"/>
      <c r="BK148" s="222" t="s">
        <v>816</v>
      </c>
      <c r="BL148" s="205" t="s">
        <v>88</v>
      </c>
      <c r="BM148" s="205"/>
      <c r="BN148" s="205"/>
      <c r="BO148" s="205"/>
      <c r="BP148" s="205"/>
      <c r="BQ148" s="205"/>
      <c r="BR148" s="205"/>
    </row>
    <row r="149" ht="32" customHeight="1" spans="1:70">
      <c r="A149" s="208">
        <v>147</v>
      </c>
      <c r="B149" s="149" t="s">
        <v>817</v>
      </c>
      <c r="C149" s="149" t="s">
        <v>467</v>
      </c>
      <c r="D149" s="149" t="s">
        <v>780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61"/>
      <c r="AF149" s="149"/>
      <c r="AG149" s="149"/>
      <c r="AH149" s="149"/>
      <c r="AI149" s="149"/>
      <c r="AJ149" s="149"/>
      <c r="AK149" s="149"/>
      <c r="AL149" s="149"/>
      <c r="AM149" s="149"/>
      <c r="AN149" s="149"/>
      <c r="AO149" s="149"/>
      <c r="AP149" s="149"/>
      <c r="AR149" s="149"/>
      <c r="AS149" s="149"/>
      <c r="AT149" s="149"/>
      <c r="AU149" s="149"/>
      <c r="AV149" s="149"/>
      <c r="AW149" s="149"/>
      <c r="AX149" s="149"/>
      <c r="AY149" s="149"/>
      <c r="AZ149" s="149"/>
      <c r="BA149" s="149"/>
      <c r="BB149" s="149"/>
      <c r="BC149" s="149"/>
      <c r="BD149" s="149"/>
      <c r="BE149" s="149"/>
      <c r="BF149" s="149"/>
      <c r="BG149" s="149"/>
      <c r="BH149" s="149"/>
      <c r="BI149" s="149"/>
      <c r="BJ149" s="149"/>
      <c r="BK149" s="223" t="s">
        <v>818</v>
      </c>
      <c r="BL149" s="149" t="s">
        <v>88</v>
      </c>
      <c r="BM149" s="149"/>
      <c r="BN149" s="149"/>
      <c r="BO149" s="149"/>
      <c r="BP149" s="149"/>
      <c r="BQ149" s="149"/>
      <c r="BR149" s="149"/>
    </row>
    <row r="150" ht="32" customHeight="1" spans="1:70">
      <c r="A150" s="189">
        <v>148</v>
      </c>
      <c r="B150" s="207" t="s">
        <v>819</v>
      </c>
      <c r="C150" s="207" t="s">
        <v>467</v>
      </c>
      <c r="D150" s="207" t="s">
        <v>780</v>
      </c>
      <c r="E150" s="209" t="s">
        <v>175</v>
      </c>
      <c r="F150" s="207" t="s">
        <v>310</v>
      </c>
      <c r="G150" s="207" t="s">
        <v>520</v>
      </c>
      <c r="H150" s="189">
        <v>20</v>
      </c>
      <c r="I150" s="207">
        <v>3500</v>
      </c>
      <c r="J150" s="207" t="s">
        <v>820</v>
      </c>
      <c r="K150" s="207">
        <v>15851997635</v>
      </c>
      <c r="L150" s="207"/>
      <c r="M150" s="207" t="s">
        <v>821</v>
      </c>
      <c r="N150" s="207" t="s">
        <v>822</v>
      </c>
      <c r="O150" s="207"/>
      <c r="P150" s="207"/>
      <c r="Q150" s="207" t="s">
        <v>604</v>
      </c>
      <c r="R150" s="207" t="s">
        <v>116</v>
      </c>
      <c r="S150" s="207"/>
      <c r="T150" s="207"/>
      <c r="U150" s="207"/>
      <c r="V150" s="207"/>
      <c r="W150" s="207"/>
      <c r="X150" s="207"/>
      <c r="Y150" s="207"/>
      <c r="Z150" s="207"/>
      <c r="AA150" s="207"/>
      <c r="AB150" s="207"/>
      <c r="AC150" s="207" t="s">
        <v>96</v>
      </c>
      <c r="AD150" s="207"/>
      <c r="AE150" s="225"/>
      <c r="AF150" s="207"/>
      <c r="AG150" s="207"/>
      <c r="AH150" s="207"/>
      <c r="AI150" s="207"/>
      <c r="AJ150" s="207">
        <v>3</v>
      </c>
      <c r="AK150" s="207"/>
      <c r="AL150" s="207" t="s">
        <v>823</v>
      </c>
      <c r="AM150" s="207"/>
      <c r="AN150" s="207"/>
      <c r="AO150" s="207"/>
      <c r="AP150" s="207"/>
      <c r="AR150" s="207"/>
      <c r="AS150" s="207"/>
      <c r="AT150" s="207"/>
      <c r="AU150" s="207"/>
      <c r="AV150" s="207"/>
      <c r="AW150" s="207"/>
      <c r="AX150" s="207"/>
      <c r="AY150" s="207"/>
      <c r="AZ150" s="207"/>
      <c r="BA150" s="207"/>
      <c r="BB150" s="207"/>
      <c r="BC150" s="207"/>
      <c r="BD150" s="207"/>
      <c r="BE150" s="207"/>
      <c r="BF150" s="207"/>
      <c r="BG150" s="207"/>
      <c r="BH150" s="207"/>
      <c r="BI150" s="207"/>
      <c r="BJ150" s="207"/>
      <c r="BK150" s="221" t="s">
        <v>414</v>
      </c>
      <c r="BL150" s="207" t="s">
        <v>88</v>
      </c>
      <c r="BM150" s="207"/>
      <c r="BN150" s="207"/>
      <c r="BO150" s="207"/>
      <c r="BP150" s="207" t="s">
        <v>394</v>
      </c>
      <c r="BQ150" s="207" t="s">
        <v>824</v>
      </c>
      <c r="BR150" s="207"/>
    </row>
    <row r="151" ht="32" customHeight="1" spans="1:70">
      <c r="A151" s="204">
        <v>149</v>
      </c>
      <c r="B151" s="205" t="s">
        <v>825</v>
      </c>
      <c r="C151" s="205" t="s">
        <v>467</v>
      </c>
      <c r="D151" s="205" t="s">
        <v>826</v>
      </c>
      <c r="E151" s="205"/>
      <c r="F151" s="205" t="s">
        <v>291</v>
      </c>
      <c r="G151" s="205" t="s">
        <v>430</v>
      </c>
      <c r="H151" s="205">
        <v>20</v>
      </c>
      <c r="I151" s="205">
        <v>500</v>
      </c>
      <c r="J151" s="205" t="s">
        <v>827</v>
      </c>
      <c r="K151" s="205">
        <v>13813551939</v>
      </c>
      <c r="L151" s="205"/>
      <c r="M151" s="205"/>
      <c r="N151" s="205"/>
      <c r="O151" s="205"/>
      <c r="P151" s="205"/>
      <c r="Q151" s="205"/>
      <c r="R151" s="205"/>
      <c r="S151" s="205"/>
      <c r="T151" s="205"/>
      <c r="U151" s="205"/>
      <c r="V151" s="205"/>
      <c r="W151" s="205"/>
      <c r="X151" s="205"/>
      <c r="Y151" s="205"/>
      <c r="Z151" s="205"/>
      <c r="AA151" s="205"/>
      <c r="AB151" s="205"/>
      <c r="AC151" s="205"/>
      <c r="AD151" s="205"/>
      <c r="AE151" s="161"/>
      <c r="AF151" s="205"/>
      <c r="AG151" s="205"/>
      <c r="AH151" s="205"/>
      <c r="AI151" s="205"/>
      <c r="AJ151" s="205"/>
      <c r="AK151" s="205"/>
      <c r="AL151" s="205"/>
      <c r="AM151" s="205"/>
      <c r="AN151" s="205"/>
      <c r="AO151" s="205"/>
      <c r="AP151" s="205"/>
      <c r="AR151" s="205"/>
      <c r="AS151" s="205"/>
      <c r="AT151" s="205"/>
      <c r="AU151" s="205"/>
      <c r="AV151" s="205"/>
      <c r="AW151" s="205"/>
      <c r="AX151" s="205"/>
      <c r="AY151" s="205"/>
      <c r="AZ151" s="205"/>
      <c r="BA151" s="205"/>
      <c r="BB151" s="205"/>
      <c r="BC151" s="205"/>
      <c r="BD151" s="205"/>
      <c r="BE151" s="205"/>
      <c r="BF151" s="205"/>
      <c r="BG151" s="205"/>
      <c r="BH151" s="205"/>
      <c r="BI151" s="205"/>
      <c r="BJ151" s="205"/>
      <c r="BK151" s="205"/>
      <c r="BL151" s="205"/>
      <c r="BM151" s="205"/>
      <c r="BN151" s="205"/>
      <c r="BO151" s="205"/>
      <c r="BP151" s="205" t="s">
        <v>394</v>
      </c>
      <c r="BQ151" s="205"/>
      <c r="BR151" s="205"/>
    </row>
    <row r="152" ht="32" customHeight="1" spans="1:70">
      <c r="A152" s="208">
        <v>150</v>
      </c>
      <c r="B152" s="149" t="s">
        <v>828</v>
      </c>
      <c r="C152" s="149" t="s">
        <v>467</v>
      </c>
      <c r="D152" s="149" t="s">
        <v>829</v>
      </c>
      <c r="E152" s="149"/>
      <c r="F152" s="149" t="s">
        <v>124</v>
      </c>
      <c r="G152" s="149"/>
      <c r="H152" s="149"/>
      <c r="I152" s="149"/>
      <c r="J152" s="149" t="s">
        <v>830</v>
      </c>
      <c r="K152" s="149">
        <v>13813659490</v>
      </c>
      <c r="L152" s="149"/>
      <c r="M152" s="149" t="s">
        <v>831</v>
      </c>
      <c r="N152" s="149"/>
      <c r="O152" s="149"/>
      <c r="P152" s="149"/>
      <c r="Q152" s="149"/>
      <c r="R152" s="149"/>
      <c r="S152" s="149"/>
      <c r="T152" s="149"/>
      <c r="U152" s="149"/>
      <c r="V152" s="149"/>
      <c r="W152" s="149"/>
      <c r="X152" s="149"/>
      <c r="Y152" s="149"/>
      <c r="Z152" s="149"/>
      <c r="AA152" s="149"/>
      <c r="AB152" s="149"/>
      <c r="AC152" s="149"/>
      <c r="AD152" s="149"/>
      <c r="AE152" s="161"/>
      <c r="AF152" s="149"/>
      <c r="AG152" s="149"/>
      <c r="AH152" s="149"/>
      <c r="AI152" s="149"/>
      <c r="AJ152" s="149"/>
      <c r="AK152" s="149"/>
      <c r="AL152" s="149" t="s">
        <v>832</v>
      </c>
      <c r="AM152" s="149"/>
      <c r="AN152" s="149"/>
      <c r="AO152" s="149"/>
      <c r="AP152" s="149"/>
      <c r="AR152" s="149"/>
      <c r="AS152" s="149"/>
      <c r="AT152" s="149"/>
      <c r="AU152" s="149"/>
      <c r="AV152" s="149"/>
      <c r="AW152" s="149"/>
      <c r="AX152" s="149"/>
      <c r="AY152" s="149"/>
      <c r="AZ152" s="149"/>
      <c r="BA152" s="149"/>
      <c r="BB152" s="149"/>
      <c r="BC152" s="149"/>
      <c r="BD152" s="149"/>
      <c r="BE152" s="149"/>
      <c r="BF152" s="149"/>
      <c r="BG152" s="149"/>
      <c r="BH152" s="149"/>
      <c r="BI152" s="149"/>
      <c r="BJ152" s="149"/>
      <c r="BK152" s="149"/>
      <c r="BL152" s="149"/>
      <c r="BM152" s="149"/>
      <c r="BN152" s="149"/>
      <c r="BO152" s="149"/>
      <c r="BP152" s="149" t="s">
        <v>394</v>
      </c>
      <c r="BQ152" s="149"/>
      <c r="BR152" s="149"/>
    </row>
    <row r="153" ht="32" customHeight="1" spans="1:70">
      <c r="A153" s="189">
        <v>151</v>
      </c>
      <c r="B153" s="207" t="s">
        <v>833</v>
      </c>
      <c r="C153" s="207" t="s">
        <v>467</v>
      </c>
      <c r="D153" s="207" t="s">
        <v>834</v>
      </c>
      <c r="E153" s="207"/>
      <c r="F153" s="207" t="s">
        <v>156</v>
      </c>
      <c r="G153" s="207" t="s">
        <v>835</v>
      </c>
      <c r="H153" s="207"/>
      <c r="I153" s="207"/>
      <c r="J153" s="207" t="s">
        <v>836</v>
      </c>
      <c r="K153" s="207">
        <v>13861282953</v>
      </c>
      <c r="L153" s="207"/>
      <c r="M153" s="207" t="s">
        <v>837</v>
      </c>
      <c r="N153" s="207"/>
      <c r="O153" s="207"/>
      <c r="P153" s="207"/>
      <c r="Q153" s="207" t="s">
        <v>838</v>
      </c>
      <c r="R153" s="207"/>
      <c r="S153" s="207"/>
      <c r="T153" s="207"/>
      <c r="U153" s="207"/>
      <c r="V153" s="207"/>
      <c r="W153" s="207"/>
      <c r="X153" s="207"/>
      <c r="Y153" s="207"/>
      <c r="Z153" s="207"/>
      <c r="AA153" s="207"/>
      <c r="AB153" s="207"/>
      <c r="AC153" s="207"/>
      <c r="AD153" s="207"/>
      <c r="AE153" s="225"/>
      <c r="AF153" s="207"/>
      <c r="AG153" s="207"/>
      <c r="AH153" s="207"/>
      <c r="AI153" s="207"/>
      <c r="AJ153" s="207"/>
      <c r="AK153" s="207"/>
      <c r="AL153" s="207" t="s">
        <v>839</v>
      </c>
      <c r="AM153" s="207"/>
      <c r="AN153" s="207"/>
      <c r="AO153" s="207"/>
      <c r="AP153" s="207"/>
      <c r="AR153" s="207"/>
      <c r="AS153" s="207"/>
      <c r="AT153" s="207"/>
      <c r="AU153" s="207"/>
      <c r="AV153" s="207"/>
      <c r="AW153" s="207"/>
      <c r="AX153" s="207"/>
      <c r="AY153" s="207"/>
      <c r="AZ153" s="207"/>
      <c r="BA153" s="207"/>
      <c r="BB153" s="207"/>
      <c r="BC153" s="207"/>
      <c r="BD153" s="207"/>
      <c r="BE153" s="207"/>
      <c r="BF153" s="207"/>
      <c r="BG153" s="207"/>
      <c r="BH153" s="207"/>
      <c r="BI153" s="207"/>
      <c r="BJ153" s="207"/>
      <c r="BK153" s="207"/>
      <c r="BL153" s="207"/>
      <c r="BM153" s="207"/>
      <c r="BN153" s="207"/>
      <c r="BO153" s="207"/>
      <c r="BP153" s="207" t="s">
        <v>394</v>
      </c>
      <c r="BQ153" s="207" t="s">
        <v>840</v>
      </c>
      <c r="BR153" s="207"/>
    </row>
    <row r="154" ht="32" customHeight="1" spans="1:70">
      <c r="A154" s="189">
        <v>152</v>
      </c>
      <c r="B154" s="207" t="s">
        <v>841</v>
      </c>
      <c r="C154" s="207" t="s">
        <v>467</v>
      </c>
      <c r="D154" s="207" t="s">
        <v>842</v>
      </c>
      <c r="E154" s="209" t="s">
        <v>282</v>
      </c>
      <c r="F154" s="207" t="s">
        <v>156</v>
      </c>
      <c r="G154" s="207" t="s">
        <v>581</v>
      </c>
      <c r="H154" s="207">
        <v>11</v>
      </c>
      <c r="I154" s="207">
        <v>6500</v>
      </c>
      <c r="J154" s="207" t="s">
        <v>843</v>
      </c>
      <c r="K154" s="207">
        <v>13813650777</v>
      </c>
      <c r="L154" s="224" t="s">
        <v>844</v>
      </c>
      <c r="M154" s="207" t="s">
        <v>845</v>
      </c>
      <c r="N154" s="207" t="s">
        <v>586</v>
      </c>
      <c r="O154" s="207"/>
      <c r="P154" s="207"/>
      <c r="Q154" s="207" t="s">
        <v>838</v>
      </c>
      <c r="R154" s="207"/>
      <c r="S154" s="207"/>
      <c r="T154" s="207"/>
      <c r="U154" s="207"/>
      <c r="V154" s="207"/>
      <c r="W154" s="207"/>
      <c r="X154" s="207"/>
      <c r="Y154" s="286" t="s">
        <v>84</v>
      </c>
      <c r="Z154" s="207"/>
      <c r="AA154" s="207" t="s">
        <v>85</v>
      </c>
      <c r="AB154" s="207" t="s">
        <v>86</v>
      </c>
      <c r="AC154" s="207" t="s">
        <v>96</v>
      </c>
      <c r="AD154" s="209" t="s">
        <v>846</v>
      </c>
      <c r="AE154" s="225"/>
      <c r="AF154" s="207"/>
      <c r="AG154" s="211">
        <v>0.1</v>
      </c>
      <c r="AH154" s="207" t="s">
        <v>366</v>
      </c>
      <c r="AI154" s="207"/>
      <c r="AJ154" s="207" t="s">
        <v>369</v>
      </c>
      <c r="AK154" s="207" t="s">
        <v>97</v>
      </c>
      <c r="AL154" s="207" t="s">
        <v>847</v>
      </c>
      <c r="AM154" s="207" t="s">
        <v>848</v>
      </c>
      <c r="AN154" s="207"/>
      <c r="AO154" s="207"/>
      <c r="AP154" s="207" t="s">
        <v>849</v>
      </c>
      <c r="AR154" s="207"/>
      <c r="AS154" s="207"/>
      <c r="AT154" s="207"/>
      <c r="AU154" s="207"/>
      <c r="AV154" s="207"/>
      <c r="AW154" s="207"/>
      <c r="AX154" s="207"/>
      <c r="AY154" s="207"/>
      <c r="AZ154" s="207"/>
      <c r="BA154" s="207"/>
      <c r="BB154" s="207"/>
      <c r="BC154" s="207"/>
      <c r="BD154" s="207"/>
      <c r="BE154" s="207"/>
      <c r="BF154" s="207"/>
      <c r="BG154" s="207"/>
      <c r="BH154" s="207"/>
      <c r="BI154" s="207"/>
      <c r="BJ154" s="207"/>
      <c r="BK154" s="207" t="s">
        <v>850</v>
      </c>
      <c r="BL154" s="207" t="s">
        <v>88</v>
      </c>
      <c r="BM154" s="207"/>
      <c r="BN154" s="207"/>
      <c r="BO154" s="207"/>
      <c r="BP154" s="207" t="s">
        <v>394</v>
      </c>
      <c r="BQ154" s="207" t="s">
        <v>851</v>
      </c>
      <c r="BR154" s="207"/>
    </row>
    <row r="155" ht="32" customHeight="1" spans="1:70">
      <c r="A155" s="204">
        <v>153</v>
      </c>
      <c r="B155" s="205" t="s">
        <v>852</v>
      </c>
      <c r="C155" s="205" t="s">
        <v>467</v>
      </c>
      <c r="D155" s="205" t="s">
        <v>853</v>
      </c>
      <c r="E155" s="205"/>
      <c r="F155" s="205" t="s">
        <v>291</v>
      </c>
      <c r="G155" s="205" t="s">
        <v>854</v>
      </c>
      <c r="H155" s="205"/>
      <c r="I155" s="205"/>
      <c r="J155" s="205" t="s">
        <v>855</v>
      </c>
      <c r="K155" s="205">
        <v>13813687711</v>
      </c>
      <c r="L155" s="205"/>
      <c r="M155" s="205" t="s">
        <v>856</v>
      </c>
      <c r="N155" s="205"/>
      <c r="O155" s="205"/>
      <c r="P155" s="205"/>
      <c r="Q155" s="205"/>
      <c r="R155" s="205"/>
      <c r="S155" s="205"/>
      <c r="T155" s="205"/>
      <c r="U155" s="205"/>
      <c r="V155" s="205"/>
      <c r="W155" s="205"/>
      <c r="X155" s="205"/>
      <c r="Y155" s="205"/>
      <c r="Z155" s="205"/>
      <c r="AA155" s="205"/>
      <c r="AB155" s="205"/>
      <c r="AC155" s="205"/>
      <c r="AD155" s="205"/>
      <c r="AE155" s="161"/>
      <c r="AF155" s="205"/>
      <c r="AG155" s="205"/>
      <c r="AH155" s="205"/>
      <c r="AI155" s="205"/>
      <c r="AJ155" s="205"/>
      <c r="AK155" s="205"/>
      <c r="AL155" s="205"/>
      <c r="AM155" s="205"/>
      <c r="AN155" s="205"/>
      <c r="AO155" s="205"/>
      <c r="AP155" s="205"/>
      <c r="AR155" s="205"/>
      <c r="AS155" s="205"/>
      <c r="AT155" s="205"/>
      <c r="AU155" s="205"/>
      <c r="AV155" s="205"/>
      <c r="AW155" s="205"/>
      <c r="AX155" s="205"/>
      <c r="AY155" s="205"/>
      <c r="AZ155" s="205"/>
      <c r="BA155" s="205"/>
      <c r="BB155" s="205"/>
      <c r="BC155" s="205"/>
      <c r="BD155" s="205"/>
      <c r="BE155" s="205"/>
      <c r="BF155" s="205"/>
      <c r="BG155" s="205"/>
      <c r="BH155" s="205"/>
      <c r="BI155" s="205"/>
      <c r="BJ155" s="205"/>
      <c r="BK155" s="205"/>
      <c r="BL155" s="205"/>
      <c r="BM155" s="205"/>
      <c r="BN155" s="205"/>
      <c r="BO155" s="205"/>
      <c r="BP155" s="205" t="s">
        <v>394</v>
      </c>
      <c r="BQ155" s="205"/>
      <c r="BR155" s="205"/>
    </row>
    <row r="156" ht="32" customHeight="1" spans="1:70">
      <c r="A156" s="189">
        <v>154</v>
      </c>
      <c r="B156" s="207" t="s">
        <v>857</v>
      </c>
      <c r="C156" s="207" t="s">
        <v>467</v>
      </c>
      <c r="D156" s="207" t="s">
        <v>858</v>
      </c>
      <c r="E156" s="207"/>
      <c r="F156" s="207" t="s">
        <v>156</v>
      </c>
      <c r="G156" s="207" t="s">
        <v>581</v>
      </c>
      <c r="H156" s="207">
        <v>7</v>
      </c>
      <c r="I156" s="207" t="s">
        <v>859</v>
      </c>
      <c r="J156" s="207" t="s">
        <v>860</v>
      </c>
      <c r="K156" s="207">
        <v>13862697795</v>
      </c>
      <c r="L156" s="224" t="s">
        <v>861</v>
      </c>
      <c r="M156" s="207" t="s">
        <v>862</v>
      </c>
      <c r="N156" s="207" t="s">
        <v>863</v>
      </c>
      <c r="O156" s="207"/>
      <c r="P156" s="207"/>
      <c r="Q156" s="207" t="s">
        <v>576</v>
      </c>
      <c r="R156" s="207"/>
      <c r="S156" s="207"/>
      <c r="T156" s="207"/>
      <c r="U156" s="207"/>
      <c r="V156" s="207"/>
      <c r="W156" s="207"/>
      <c r="X156" s="207"/>
      <c r="Y156" s="286" t="s">
        <v>84</v>
      </c>
      <c r="Z156" s="207" t="s">
        <v>85</v>
      </c>
      <c r="AA156" s="207" t="s">
        <v>85</v>
      </c>
      <c r="AB156" s="207" t="s">
        <v>86</v>
      </c>
      <c r="AC156" s="207" t="s">
        <v>96</v>
      </c>
      <c r="AD156" s="209" t="s">
        <v>864</v>
      </c>
      <c r="AE156" s="225"/>
      <c r="AF156" s="207">
        <v>1688</v>
      </c>
      <c r="AG156" s="211">
        <v>0.7</v>
      </c>
      <c r="AH156" s="207" t="s">
        <v>366</v>
      </c>
      <c r="AI156" s="207" t="s">
        <v>865</v>
      </c>
      <c r="AJ156" s="207">
        <v>1</v>
      </c>
      <c r="AK156" s="207" t="s">
        <v>97</v>
      </c>
      <c r="AL156" s="207" t="s">
        <v>866</v>
      </c>
      <c r="AM156" s="207" t="s">
        <v>867</v>
      </c>
      <c r="AN156" s="207"/>
      <c r="AO156" s="207"/>
      <c r="AP156" s="207"/>
      <c r="AR156" s="207"/>
      <c r="AS156" s="207"/>
      <c r="AT156" s="207"/>
      <c r="AU156" s="207"/>
      <c r="AV156" s="207"/>
      <c r="AW156" s="207"/>
      <c r="AX156" s="207"/>
      <c r="AY156" s="207"/>
      <c r="AZ156" s="207"/>
      <c r="BA156" s="207"/>
      <c r="BB156" s="207"/>
      <c r="BC156" s="207"/>
      <c r="BD156" s="207"/>
      <c r="BE156" s="207"/>
      <c r="BF156" s="207"/>
      <c r="BG156" s="207"/>
      <c r="BH156" s="207"/>
      <c r="BI156" s="207"/>
      <c r="BJ156" s="207"/>
      <c r="BK156" s="207" t="s">
        <v>850</v>
      </c>
      <c r="BL156" s="207" t="s">
        <v>88</v>
      </c>
      <c r="BM156" s="207"/>
      <c r="BN156" s="207"/>
      <c r="BO156" s="207"/>
      <c r="BP156" s="207"/>
      <c r="BQ156" s="207" t="s">
        <v>868</v>
      </c>
      <c r="BR156" s="207"/>
    </row>
    <row r="157" ht="32" customHeight="1" spans="1:70">
      <c r="A157" s="189">
        <v>155</v>
      </c>
      <c r="B157" s="207" t="s">
        <v>869</v>
      </c>
      <c r="C157" s="207" t="s">
        <v>467</v>
      </c>
      <c r="D157" s="207" t="s">
        <v>870</v>
      </c>
      <c r="E157" s="207"/>
      <c r="F157" s="207" t="s">
        <v>156</v>
      </c>
      <c r="G157" s="207" t="s">
        <v>871</v>
      </c>
      <c r="H157" s="207">
        <v>5</v>
      </c>
      <c r="I157" s="207" t="s">
        <v>872</v>
      </c>
      <c r="J157" s="207" t="s">
        <v>873</v>
      </c>
      <c r="K157" s="207">
        <v>17798901278</v>
      </c>
      <c r="L157" s="207"/>
      <c r="M157" s="207" t="s">
        <v>874</v>
      </c>
      <c r="N157" s="207" t="s">
        <v>863</v>
      </c>
      <c r="O157" s="207"/>
      <c r="P157" s="207"/>
      <c r="Q157" s="207"/>
      <c r="R157" s="207" t="s">
        <v>875</v>
      </c>
      <c r="S157" s="207"/>
      <c r="T157" s="207"/>
      <c r="U157" s="207"/>
      <c r="V157" s="207"/>
      <c r="W157" s="207"/>
      <c r="X157" s="207"/>
      <c r="Y157" s="207"/>
      <c r="Z157" s="207"/>
      <c r="AA157" s="207"/>
      <c r="AB157" s="207"/>
      <c r="AC157" s="207"/>
      <c r="AD157" s="207"/>
      <c r="AE157" s="225"/>
      <c r="AF157" s="207"/>
      <c r="AG157" s="207"/>
      <c r="AH157" s="207"/>
      <c r="AI157" s="207"/>
      <c r="AJ157" s="207"/>
      <c r="AK157" s="207"/>
      <c r="AL157" s="207" t="s">
        <v>876</v>
      </c>
      <c r="AM157" s="207"/>
      <c r="AN157" s="207"/>
      <c r="AO157" s="207"/>
      <c r="AP157" s="207"/>
      <c r="AR157" s="207"/>
      <c r="AS157" s="207"/>
      <c r="AT157" s="207"/>
      <c r="AU157" s="207"/>
      <c r="AV157" s="207"/>
      <c r="AW157" s="207"/>
      <c r="AX157" s="207"/>
      <c r="AY157" s="207"/>
      <c r="AZ157" s="207"/>
      <c r="BA157" s="207"/>
      <c r="BB157" s="207"/>
      <c r="BC157" s="207"/>
      <c r="BD157" s="207"/>
      <c r="BE157" s="207"/>
      <c r="BF157" s="207"/>
      <c r="BG157" s="207"/>
      <c r="BH157" s="207"/>
      <c r="BI157" s="207"/>
      <c r="BJ157" s="207"/>
      <c r="BK157" s="207"/>
      <c r="BL157" s="207"/>
      <c r="BM157" s="207"/>
      <c r="BN157" s="207"/>
      <c r="BO157" s="207"/>
      <c r="BP157" s="207" t="s">
        <v>442</v>
      </c>
      <c r="BQ157" s="207"/>
      <c r="BR157" s="207"/>
    </row>
    <row r="158" ht="32" customHeight="1" spans="1:70">
      <c r="A158" s="189">
        <v>156</v>
      </c>
      <c r="B158" s="207" t="s">
        <v>877</v>
      </c>
      <c r="C158" s="207" t="s">
        <v>467</v>
      </c>
      <c r="D158" s="207" t="s">
        <v>878</v>
      </c>
      <c r="E158" s="207"/>
      <c r="F158" s="207" t="s">
        <v>156</v>
      </c>
      <c r="G158" s="207" t="s">
        <v>879</v>
      </c>
      <c r="H158" s="207">
        <v>5</v>
      </c>
      <c r="I158" s="207">
        <v>350</v>
      </c>
      <c r="J158" s="239" t="s">
        <v>880</v>
      </c>
      <c r="K158" s="239">
        <v>13861213990</v>
      </c>
      <c r="L158" s="207"/>
      <c r="M158" s="207" t="s">
        <v>881</v>
      </c>
      <c r="N158" s="207"/>
      <c r="O158" s="207"/>
      <c r="P158" s="207"/>
      <c r="Q158" s="207"/>
      <c r="R158" s="207" t="s">
        <v>882</v>
      </c>
      <c r="S158" s="207"/>
      <c r="T158" s="207"/>
      <c r="U158" s="207"/>
      <c r="V158" s="207"/>
      <c r="W158" s="207"/>
      <c r="X158" s="207"/>
      <c r="Y158" s="207"/>
      <c r="Z158" s="207"/>
      <c r="AA158" s="207"/>
      <c r="AB158" s="207"/>
      <c r="AC158" s="207"/>
      <c r="AD158" s="207"/>
      <c r="AE158" s="225"/>
      <c r="AF158" s="207"/>
      <c r="AG158" s="207"/>
      <c r="AH158" s="207"/>
      <c r="AI158" s="207"/>
      <c r="AJ158" s="207"/>
      <c r="AK158" s="207"/>
      <c r="AL158" s="207" t="s">
        <v>883</v>
      </c>
      <c r="AM158" s="207"/>
      <c r="AN158" s="207"/>
      <c r="AO158" s="207"/>
      <c r="AP158" s="207"/>
      <c r="AR158" s="207"/>
      <c r="AS158" s="207"/>
      <c r="AT158" s="207"/>
      <c r="AU158" s="207"/>
      <c r="AV158" s="207"/>
      <c r="AW158" s="207"/>
      <c r="AX158" s="207"/>
      <c r="AY158" s="207"/>
      <c r="AZ158" s="207"/>
      <c r="BA158" s="207"/>
      <c r="BB158" s="207"/>
      <c r="BC158" s="207"/>
      <c r="BD158" s="207"/>
      <c r="BE158" s="207"/>
      <c r="BF158" s="207"/>
      <c r="BG158" s="207"/>
      <c r="BH158" s="207"/>
      <c r="BI158" s="207"/>
      <c r="BJ158" s="207"/>
      <c r="BK158" s="207"/>
      <c r="BL158" s="207"/>
      <c r="BM158" s="207"/>
      <c r="BN158" s="207"/>
      <c r="BO158" s="207"/>
      <c r="BP158" s="207" t="s">
        <v>442</v>
      </c>
      <c r="BQ158" s="207" t="s">
        <v>884</v>
      </c>
      <c r="BR158" s="207"/>
    </row>
    <row r="159" ht="32" customHeight="1" spans="1:70">
      <c r="A159" s="189">
        <v>157</v>
      </c>
      <c r="B159" s="207" t="s">
        <v>885</v>
      </c>
      <c r="C159" s="207" t="s">
        <v>467</v>
      </c>
      <c r="D159" s="207" t="s">
        <v>886</v>
      </c>
      <c r="E159" s="209"/>
      <c r="F159" s="207" t="s">
        <v>80</v>
      </c>
      <c r="G159" s="207" t="s">
        <v>887</v>
      </c>
      <c r="H159" s="207">
        <v>130</v>
      </c>
      <c r="I159" s="207" t="s">
        <v>888</v>
      </c>
      <c r="J159" s="239" t="s">
        <v>889</v>
      </c>
      <c r="K159" s="239">
        <v>18796960868</v>
      </c>
      <c r="L159" s="224" t="s">
        <v>890</v>
      </c>
      <c r="M159" s="207" t="s">
        <v>891</v>
      </c>
      <c r="N159" s="207" t="s">
        <v>892</v>
      </c>
      <c r="O159" s="207" t="s">
        <v>893</v>
      </c>
      <c r="P159" s="207"/>
      <c r="Q159" s="207" t="s">
        <v>894</v>
      </c>
      <c r="R159" s="207"/>
      <c r="S159" s="207"/>
      <c r="T159" s="207"/>
      <c r="U159" s="207"/>
      <c r="V159" s="207"/>
      <c r="W159" s="207"/>
      <c r="X159" s="207"/>
      <c r="Y159" s="286" t="s">
        <v>84</v>
      </c>
      <c r="Z159" s="207"/>
      <c r="AA159" s="207" t="s">
        <v>85</v>
      </c>
      <c r="AB159" s="207" t="s">
        <v>86</v>
      </c>
      <c r="AC159" s="207" t="s">
        <v>96</v>
      </c>
      <c r="AD159" s="209" t="s">
        <v>895</v>
      </c>
      <c r="AE159" s="225"/>
      <c r="AF159" s="207"/>
      <c r="AG159" s="211">
        <v>0.9</v>
      </c>
      <c r="AH159" s="207"/>
      <c r="AI159" s="207"/>
      <c r="AJ159" s="207"/>
      <c r="AK159" s="207"/>
      <c r="AL159" s="207" t="s">
        <v>896</v>
      </c>
      <c r="AM159" s="207" t="s">
        <v>897</v>
      </c>
      <c r="AN159" s="207"/>
      <c r="AO159" s="207"/>
      <c r="AP159" s="207"/>
      <c r="AR159" s="207"/>
      <c r="AS159" s="207"/>
      <c r="AT159" s="207"/>
      <c r="AU159" s="207"/>
      <c r="AV159" s="207"/>
      <c r="AW159" s="207"/>
      <c r="AX159" s="207"/>
      <c r="AY159" s="207"/>
      <c r="AZ159" s="207"/>
      <c r="BA159" s="207"/>
      <c r="BB159" s="207"/>
      <c r="BC159" s="207"/>
      <c r="BD159" s="207"/>
      <c r="BE159" s="207"/>
      <c r="BF159" s="207"/>
      <c r="BG159" s="207"/>
      <c r="BH159" s="207"/>
      <c r="BI159" s="207"/>
      <c r="BJ159" s="207"/>
      <c r="BK159" s="221" t="s">
        <v>898</v>
      </c>
      <c r="BL159" s="207" t="s">
        <v>88</v>
      </c>
      <c r="BM159" s="207" t="s">
        <v>899</v>
      </c>
      <c r="BN159" s="207"/>
      <c r="BO159" s="207"/>
      <c r="BP159" s="207" t="s">
        <v>442</v>
      </c>
      <c r="BQ159" s="207" t="s">
        <v>900</v>
      </c>
      <c r="BR159" s="207"/>
    </row>
    <row r="160" ht="32" customHeight="1" spans="1:70">
      <c r="A160" s="189">
        <v>158</v>
      </c>
      <c r="B160" s="207" t="s">
        <v>901</v>
      </c>
      <c r="C160" s="207" t="s">
        <v>467</v>
      </c>
      <c r="D160" s="207" t="s">
        <v>902</v>
      </c>
      <c r="E160" s="207"/>
      <c r="F160" s="207" t="s">
        <v>156</v>
      </c>
      <c r="G160" s="207" t="s">
        <v>384</v>
      </c>
      <c r="H160" s="207"/>
      <c r="I160" s="207"/>
      <c r="J160" s="239" t="s">
        <v>903</v>
      </c>
      <c r="K160" s="239">
        <v>13585352188</v>
      </c>
      <c r="L160" s="207"/>
      <c r="M160" s="207" t="s">
        <v>904</v>
      </c>
      <c r="N160" s="207"/>
      <c r="O160" s="207"/>
      <c r="P160" s="207"/>
      <c r="Q160" s="207"/>
      <c r="R160" s="207"/>
      <c r="S160" s="207"/>
      <c r="T160" s="207"/>
      <c r="U160" s="207"/>
      <c r="V160" s="207"/>
      <c r="W160" s="207"/>
      <c r="X160" s="207"/>
      <c r="Y160" s="207"/>
      <c r="Z160" s="207"/>
      <c r="AA160" s="207"/>
      <c r="AB160" s="207"/>
      <c r="AC160" s="207"/>
      <c r="AD160" s="207"/>
      <c r="AE160" s="225"/>
      <c r="AF160" s="207"/>
      <c r="AG160" s="207"/>
      <c r="AH160" s="207"/>
      <c r="AI160" s="207"/>
      <c r="AJ160" s="207"/>
      <c r="AK160" s="207"/>
      <c r="AL160" s="207" t="s">
        <v>905</v>
      </c>
      <c r="AM160" s="207"/>
      <c r="AN160" s="207"/>
      <c r="AO160" s="207"/>
      <c r="AP160" s="207"/>
      <c r="AR160" s="207"/>
      <c r="AS160" s="207"/>
      <c r="AT160" s="207"/>
      <c r="AU160" s="207"/>
      <c r="AV160" s="207"/>
      <c r="AW160" s="207"/>
      <c r="AX160" s="207"/>
      <c r="AY160" s="207"/>
      <c r="AZ160" s="207"/>
      <c r="BA160" s="207"/>
      <c r="BB160" s="207"/>
      <c r="BC160" s="207"/>
      <c r="BD160" s="207"/>
      <c r="BE160" s="207"/>
      <c r="BF160" s="207"/>
      <c r="BG160" s="207"/>
      <c r="BH160" s="207"/>
      <c r="BI160" s="207"/>
      <c r="BJ160" s="207"/>
      <c r="BK160" s="207"/>
      <c r="BL160" s="207"/>
      <c r="BM160" s="207"/>
      <c r="BN160" s="207"/>
      <c r="BO160" s="207"/>
      <c r="BP160" s="207" t="s">
        <v>442</v>
      </c>
      <c r="BQ160" s="207"/>
      <c r="BR160" s="207"/>
    </row>
    <row r="161" ht="32" customHeight="1" spans="1:70">
      <c r="A161" s="189">
        <v>159</v>
      </c>
      <c r="B161" s="207" t="s">
        <v>906</v>
      </c>
      <c r="C161" s="207" t="s">
        <v>467</v>
      </c>
      <c r="D161" s="207" t="s">
        <v>744</v>
      </c>
      <c r="E161" s="207"/>
      <c r="F161" s="207" t="s">
        <v>156</v>
      </c>
      <c r="G161" s="207" t="s">
        <v>907</v>
      </c>
      <c r="H161" s="207"/>
      <c r="I161" s="207"/>
      <c r="J161" s="239" t="s">
        <v>746</v>
      </c>
      <c r="K161" s="239">
        <v>18921062313</v>
      </c>
      <c r="L161" s="207"/>
      <c r="M161" s="207" t="s">
        <v>908</v>
      </c>
      <c r="N161" s="207"/>
      <c r="O161" s="207"/>
      <c r="P161" s="207"/>
      <c r="Q161" s="207" t="s">
        <v>792</v>
      </c>
      <c r="R161" s="207" t="s">
        <v>146</v>
      </c>
      <c r="S161" s="207"/>
      <c r="T161" s="207"/>
      <c r="U161" s="207"/>
      <c r="V161" s="207"/>
      <c r="W161" s="207"/>
      <c r="X161" s="207"/>
      <c r="Y161" s="207"/>
      <c r="Z161" s="207"/>
      <c r="AA161" s="207"/>
      <c r="AB161" s="207"/>
      <c r="AC161" s="207"/>
      <c r="AD161" s="207"/>
      <c r="AE161" s="225"/>
      <c r="AF161" s="207"/>
      <c r="AG161" s="207"/>
      <c r="AH161" s="207"/>
      <c r="AI161" s="207"/>
      <c r="AJ161" s="207"/>
      <c r="AK161" s="207"/>
      <c r="AL161" s="207" t="s">
        <v>909</v>
      </c>
      <c r="AM161" s="207"/>
      <c r="AN161" s="207"/>
      <c r="AO161" s="207"/>
      <c r="AP161" s="207"/>
      <c r="AR161" s="207"/>
      <c r="AS161" s="207"/>
      <c r="AT161" s="207"/>
      <c r="AU161" s="207"/>
      <c r="AV161" s="207"/>
      <c r="AW161" s="207"/>
      <c r="AX161" s="207"/>
      <c r="AY161" s="207"/>
      <c r="AZ161" s="207"/>
      <c r="BA161" s="207"/>
      <c r="BB161" s="207"/>
      <c r="BC161" s="207"/>
      <c r="BD161" s="207"/>
      <c r="BE161" s="207"/>
      <c r="BF161" s="207"/>
      <c r="BG161" s="207"/>
      <c r="BH161" s="207"/>
      <c r="BI161" s="207"/>
      <c r="BJ161" s="207"/>
      <c r="BK161" s="207"/>
      <c r="BL161" s="207"/>
      <c r="BM161" s="207"/>
      <c r="BN161" s="207"/>
      <c r="BO161" s="207"/>
      <c r="BP161" s="207" t="s">
        <v>442</v>
      </c>
      <c r="BQ161" s="207" t="s">
        <v>910</v>
      </c>
      <c r="BR161" s="207"/>
    </row>
    <row r="162" ht="32" customHeight="1" spans="1:70">
      <c r="A162" s="189">
        <v>160</v>
      </c>
      <c r="B162" s="207" t="s">
        <v>911</v>
      </c>
      <c r="C162" s="207" t="s">
        <v>467</v>
      </c>
      <c r="D162" s="207" t="s">
        <v>912</v>
      </c>
      <c r="E162" s="207"/>
      <c r="F162" s="207"/>
      <c r="G162" s="207" t="s">
        <v>790</v>
      </c>
      <c r="H162" s="207">
        <v>200</v>
      </c>
      <c r="I162" s="207" t="s">
        <v>913</v>
      </c>
      <c r="J162" s="207" t="s">
        <v>914</v>
      </c>
      <c r="K162" s="207">
        <v>18915077917</v>
      </c>
      <c r="L162" s="207"/>
      <c r="M162" s="207" t="s">
        <v>915</v>
      </c>
      <c r="N162" s="207"/>
      <c r="O162" s="207"/>
      <c r="P162" s="207"/>
      <c r="Q162" s="207" t="s">
        <v>140</v>
      </c>
      <c r="R162" s="207"/>
      <c r="S162" s="207"/>
      <c r="T162" s="207"/>
      <c r="U162" s="207"/>
      <c r="V162" s="207"/>
      <c r="W162" s="207"/>
      <c r="X162" s="207"/>
      <c r="Y162" s="207"/>
      <c r="Z162" s="207"/>
      <c r="AA162" s="207"/>
      <c r="AB162" s="207"/>
      <c r="AC162" s="207"/>
      <c r="AD162" s="207"/>
      <c r="AE162" s="225"/>
      <c r="AF162" s="207"/>
      <c r="AG162" s="207"/>
      <c r="AH162" s="207"/>
      <c r="AI162" s="207"/>
      <c r="AJ162" s="207"/>
      <c r="AK162" s="207"/>
      <c r="AL162" s="207"/>
      <c r="AM162" s="207"/>
      <c r="AN162" s="207"/>
      <c r="AO162" s="207"/>
      <c r="AP162" s="207"/>
      <c r="AR162" s="207"/>
      <c r="AS162" s="207"/>
      <c r="AT162" s="207"/>
      <c r="AU162" s="207"/>
      <c r="AV162" s="207"/>
      <c r="AW162" s="207"/>
      <c r="AX162" s="207"/>
      <c r="AY162" s="207"/>
      <c r="AZ162" s="207"/>
      <c r="BA162" s="207"/>
      <c r="BB162" s="207"/>
      <c r="BC162" s="207"/>
      <c r="BD162" s="207"/>
      <c r="BE162" s="207"/>
      <c r="BF162" s="207"/>
      <c r="BG162" s="207"/>
      <c r="BH162" s="207"/>
      <c r="BI162" s="207"/>
      <c r="BJ162" s="207"/>
      <c r="BK162" s="207"/>
      <c r="BL162" s="207"/>
      <c r="BM162" s="207"/>
      <c r="BN162" s="207"/>
      <c r="BO162" s="207"/>
      <c r="BP162" s="207" t="s">
        <v>442</v>
      </c>
      <c r="BQ162" s="207" t="s">
        <v>916</v>
      </c>
      <c r="BR162" s="207"/>
    </row>
    <row r="163" ht="32" customHeight="1" spans="1:70">
      <c r="A163" s="189">
        <v>161</v>
      </c>
      <c r="B163" s="207" t="s">
        <v>917</v>
      </c>
      <c r="C163" s="207" t="s">
        <v>467</v>
      </c>
      <c r="D163" s="207" t="s">
        <v>918</v>
      </c>
      <c r="E163" s="207"/>
      <c r="F163" s="207" t="s">
        <v>156</v>
      </c>
      <c r="G163" s="207"/>
      <c r="H163" s="207">
        <v>150</v>
      </c>
      <c r="I163" s="207" t="s">
        <v>919</v>
      </c>
      <c r="J163" s="207" t="s">
        <v>920</v>
      </c>
      <c r="K163" s="207">
        <v>13861226618</v>
      </c>
      <c r="L163" s="207"/>
      <c r="M163" s="207" t="s">
        <v>921</v>
      </c>
      <c r="N163" s="207"/>
      <c r="O163" s="207"/>
      <c r="P163" s="207"/>
      <c r="Q163" s="207" t="s">
        <v>922</v>
      </c>
      <c r="R163" s="207"/>
      <c r="S163" s="207"/>
      <c r="T163" s="207"/>
      <c r="U163" s="207"/>
      <c r="V163" s="207"/>
      <c r="W163" s="207"/>
      <c r="X163" s="207"/>
      <c r="Y163" s="207"/>
      <c r="Z163" s="207"/>
      <c r="AA163" s="207"/>
      <c r="AB163" s="207"/>
      <c r="AC163" s="207"/>
      <c r="AD163" s="207"/>
      <c r="AE163" s="225"/>
      <c r="AF163" s="207"/>
      <c r="AG163" s="207"/>
      <c r="AH163" s="207"/>
      <c r="AI163" s="207"/>
      <c r="AJ163" s="207"/>
      <c r="AK163" s="207"/>
      <c r="AL163" s="207"/>
      <c r="AM163" s="207"/>
      <c r="AN163" s="207"/>
      <c r="AO163" s="207"/>
      <c r="AP163" s="207"/>
      <c r="AR163" s="207"/>
      <c r="AS163" s="207"/>
      <c r="AT163" s="207"/>
      <c r="AU163" s="207"/>
      <c r="AV163" s="207"/>
      <c r="AW163" s="207"/>
      <c r="AX163" s="207"/>
      <c r="AY163" s="207"/>
      <c r="AZ163" s="207"/>
      <c r="BA163" s="207"/>
      <c r="BB163" s="207"/>
      <c r="BC163" s="207"/>
      <c r="BD163" s="207"/>
      <c r="BE163" s="207"/>
      <c r="BF163" s="207"/>
      <c r="BG163" s="207"/>
      <c r="BH163" s="207"/>
      <c r="BI163" s="207"/>
      <c r="BJ163" s="207"/>
      <c r="BK163" s="207"/>
      <c r="BL163" s="207"/>
      <c r="BM163" s="207"/>
      <c r="BN163" s="207"/>
      <c r="BO163" s="207"/>
      <c r="BP163" s="207" t="s">
        <v>442</v>
      </c>
      <c r="BQ163" s="207" t="s">
        <v>923</v>
      </c>
      <c r="BR163" s="207"/>
    </row>
    <row r="164" ht="32" customHeight="1" spans="1:70">
      <c r="A164" s="204">
        <v>162</v>
      </c>
      <c r="B164" s="205" t="s">
        <v>924</v>
      </c>
      <c r="C164" s="205" t="s">
        <v>467</v>
      </c>
      <c r="D164" s="205" t="s">
        <v>925</v>
      </c>
      <c r="E164" s="205"/>
      <c r="F164" s="205"/>
      <c r="G164" s="205"/>
      <c r="H164" s="205"/>
      <c r="I164" s="205"/>
      <c r="J164" s="205" t="s">
        <v>926</v>
      </c>
      <c r="K164" s="205">
        <v>18362281607</v>
      </c>
      <c r="L164" s="205"/>
      <c r="M164" s="205" t="s">
        <v>927</v>
      </c>
      <c r="N164" s="205"/>
      <c r="O164" s="205"/>
      <c r="P164" s="205"/>
      <c r="Q164" s="205"/>
      <c r="R164" s="205"/>
      <c r="S164" s="205"/>
      <c r="T164" s="205"/>
      <c r="U164" s="205"/>
      <c r="V164" s="205"/>
      <c r="W164" s="205"/>
      <c r="X164" s="205"/>
      <c r="Y164" s="205"/>
      <c r="Z164" s="205"/>
      <c r="AA164" s="205"/>
      <c r="AB164" s="205"/>
      <c r="AC164" s="205"/>
      <c r="AD164" s="205"/>
      <c r="AE164" s="161"/>
      <c r="AF164" s="205"/>
      <c r="AG164" s="205"/>
      <c r="AH164" s="205"/>
      <c r="AI164" s="205"/>
      <c r="AJ164" s="205"/>
      <c r="AK164" s="205"/>
      <c r="AL164" s="205"/>
      <c r="AM164" s="205"/>
      <c r="AN164" s="205"/>
      <c r="AO164" s="205"/>
      <c r="AP164" s="205"/>
      <c r="AR164" s="205"/>
      <c r="AS164" s="205"/>
      <c r="AT164" s="205"/>
      <c r="AU164" s="205"/>
      <c r="AV164" s="205"/>
      <c r="AW164" s="205"/>
      <c r="AX164" s="205"/>
      <c r="AY164" s="205"/>
      <c r="AZ164" s="205"/>
      <c r="BA164" s="205"/>
      <c r="BB164" s="205"/>
      <c r="BC164" s="205"/>
      <c r="BD164" s="205"/>
      <c r="BE164" s="205"/>
      <c r="BF164" s="205"/>
      <c r="BG164" s="205"/>
      <c r="BH164" s="205"/>
      <c r="BI164" s="205"/>
      <c r="BJ164" s="205"/>
      <c r="BK164" s="205"/>
      <c r="BL164" s="205"/>
      <c r="BM164" s="205"/>
      <c r="BN164" s="205"/>
      <c r="BO164" s="205"/>
      <c r="BP164" s="205" t="s">
        <v>442</v>
      </c>
      <c r="BQ164" s="205"/>
      <c r="BR164" s="205"/>
    </row>
    <row r="165" ht="32" customHeight="1" spans="1:70">
      <c r="A165" s="208">
        <v>163</v>
      </c>
      <c r="B165" s="149" t="s">
        <v>928</v>
      </c>
      <c r="C165" s="149" t="s">
        <v>467</v>
      </c>
      <c r="D165" s="149" t="s">
        <v>929</v>
      </c>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61"/>
      <c r="AF165" s="149"/>
      <c r="AG165" s="149"/>
      <c r="AH165" s="149"/>
      <c r="AI165" s="149"/>
      <c r="AJ165" s="149"/>
      <c r="AK165" s="149"/>
      <c r="AL165" s="149"/>
      <c r="AM165" s="149"/>
      <c r="AN165" s="149"/>
      <c r="AO165" s="149"/>
      <c r="AP165" s="149"/>
      <c r="AR165" s="149"/>
      <c r="AS165" s="149"/>
      <c r="AT165" s="149"/>
      <c r="AU165" s="149"/>
      <c r="AV165" s="149"/>
      <c r="AW165" s="149"/>
      <c r="AX165" s="149"/>
      <c r="AY165" s="149"/>
      <c r="AZ165" s="149"/>
      <c r="BA165" s="149"/>
      <c r="BB165" s="149"/>
      <c r="BC165" s="149"/>
      <c r="BD165" s="149"/>
      <c r="BE165" s="149"/>
      <c r="BF165" s="149"/>
      <c r="BG165" s="149"/>
      <c r="BH165" s="149"/>
      <c r="BI165" s="149"/>
      <c r="BJ165" s="149"/>
      <c r="BK165" s="149"/>
      <c r="BL165" s="149"/>
      <c r="BM165" s="149"/>
      <c r="BN165" s="149"/>
      <c r="BO165" s="149"/>
      <c r="BP165" s="149" t="s">
        <v>442</v>
      </c>
      <c r="BQ165" s="149" t="s">
        <v>930</v>
      </c>
      <c r="BR165" s="149"/>
    </row>
    <row r="166" ht="32" customHeight="1" spans="1:70">
      <c r="A166" s="189">
        <v>164</v>
      </c>
      <c r="B166" s="207" t="s">
        <v>931</v>
      </c>
      <c r="C166" s="207" t="s">
        <v>467</v>
      </c>
      <c r="D166" s="207" t="s">
        <v>932</v>
      </c>
      <c r="E166" s="209" t="s">
        <v>179</v>
      </c>
      <c r="F166" s="207" t="s">
        <v>310</v>
      </c>
      <c r="G166" s="207" t="s">
        <v>520</v>
      </c>
      <c r="H166" s="207">
        <v>70</v>
      </c>
      <c r="I166" s="207">
        <v>4</v>
      </c>
      <c r="J166" s="207" t="s">
        <v>933</v>
      </c>
      <c r="K166" s="207">
        <v>13401308483</v>
      </c>
      <c r="L166" s="207"/>
      <c r="M166" s="207" t="s">
        <v>934</v>
      </c>
      <c r="N166" s="207" t="s">
        <v>935</v>
      </c>
      <c r="O166" s="207"/>
      <c r="P166" s="207"/>
      <c r="Q166" s="207" t="s">
        <v>668</v>
      </c>
      <c r="R166" s="207" t="s">
        <v>936</v>
      </c>
      <c r="S166" s="207"/>
      <c r="T166" s="207"/>
      <c r="U166" s="207"/>
      <c r="V166" s="207"/>
      <c r="W166" s="207"/>
      <c r="X166" s="207"/>
      <c r="Y166" s="286" t="s">
        <v>84</v>
      </c>
      <c r="Z166" s="207"/>
      <c r="AA166" s="207" t="s">
        <v>85</v>
      </c>
      <c r="AB166" s="207" t="s">
        <v>86</v>
      </c>
      <c r="AC166" s="207" t="s">
        <v>96</v>
      </c>
      <c r="AD166" s="209" t="s">
        <v>627</v>
      </c>
      <c r="AE166" s="225"/>
      <c r="AF166" s="207"/>
      <c r="AG166" s="211">
        <v>0.3</v>
      </c>
      <c r="AH166" s="240" t="s">
        <v>937</v>
      </c>
      <c r="AI166" s="207"/>
      <c r="AJ166" s="207" t="s">
        <v>369</v>
      </c>
      <c r="AK166" s="207"/>
      <c r="AL166" s="207" t="s">
        <v>938</v>
      </c>
      <c r="AM166" s="207"/>
      <c r="AN166" s="207"/>
      <c r="AO166" s="207"/>
      <c r="AP166" s="207"/>
      <c r="AR166" s="207"/>
      <c r="AS166" s="207"/>
      <c r="AT166" s="207"/>
      <c r="AU166" s="207"/>
      <c r="AV166" s="207"/>
      <c r="AW166" s="207"/>
      <c r="AX166" s="207"/>
      <c r="AY166" s="207"/>
      <c r="AZ166" s="207"/>
      <c r="BA166" s="207"/>
      <c r="BB166" s="207"/>
      <c r="BC166" s="207"/>
      <c r="BD166" s="207"/>
      <c r="BE166" s="207"/>
      <c r="BF166" s="207"/>
      <c r="BG166" s="207"/>
      <c r="BH166" s="207"/>
      <c r="BI166" s="207"/>
      <c r="BJ166" s="207"/>
      <c r="BK166" s="221" t="s">
        <v>939</v>
      </c>
      <c r="BL166" s="207" t="s">
        <v>88</v>
      </c>
      <c r="BM166" s="207" t="s">
        <v>413</v>
      </c>
      <c r="BN166" s="207"/>
      <c r="BO166" s="207"/>
      <c r="BP166" s="207" t="s">
        <v>940</v>
      </c>
      <c r="BQ166" s="207" t="s">
        <v>941</v>
      </c>
      <c r="BR166" s="207"/>
    </row>
    <row r="167" ht="32" customHeight="1" spans="1:70">
      <c r="A167" s="189">
        <v>165</v>
      </c>
      <c r="B167" s="207" t="s">
        <v>942</v>
      </c>
      <c r="C167" s="207" t="s">
        <v>467</v>
      </c>
      <c r="D167" s="207" t="s">
        <v>943</v>
      </c>
      <c r="E167" s="207"/>
      <c r="F167" s="207" t="s">
        <v>156</v>
      </c>
      <c r="G167" s="207" t="s">
        <v>944</v>
      </c>
      <c r="H167" s="189">
        <v>100</v>
      </c>
      <c r="I167" s="207" t="s">
        <v>945</v>
      </c>
      <c r="J167" s="207" t="s">
        <v>946</v>
      </c>
      <c r="K167" s="207">
        <v>13401361025</v>
      </c>
      <c r="L167" s="207"/>
      <c r="M167" s="207" t="s">
        <v>947</v>
      </c>
      <c r="N167" s="207" t="s">
        <v>944</v>
      </c>
      <c r="O167" s="207" t="s">
        <v>474</v>
      </c>
      <c r="P167" s="207"/>
      <c r="Q167" s="207" t="s">
        <v>948</v>
      </c>
      <c r="R167" s="207" t="s">
        <v>949</v>
      </c>
      <c r="S167" s="207"/>
      <c r="T167" s="207"/>
      <c r="U167" s="207"/>
      <c r="V167" s="207"/>
      <c r="W167" s="207"/>
      <c r="X167" s="207"/>
      <c r="Y167" s="286" t="s">
        <v>84</v>
      </c>
      <c r="Z167" s="207"/>
      <c r="AA167" s="207" t="s">
        <v>85</v>
      </c>
      <c r="AB167" s="207" t="s">
        <v>86</v>
      </c>
      <c r="AC167" s="207" t="s">
        <v>96</v>
      </c>
      <c r="AD167" s="209" t="s">
        <v>950</v>
      </c>
      <c r="AE167" s="225"/>
      <c r="AF167" s="207"/>
      <c r="AG167" s="211">
        <v>1</v>
      </c>
      <c r="AH167" s="207" t="s">
        <v>366</v>
      </c>
      <c r="AI167" s="207"/>
      <c r="AJ167" s="207">
        <v>2</v>
      </c>
      <c r="AK167" s="207"/>
      <c r="AL167" s="207" t="s">
        <v>951</v>
      </c>
      <c r="AM167" s="207" t="s">
        <v>952</v>
      </c>
      <c r="AN167" s="207"/>
      <c r="AO167" s="207"/>
      <c r="AP167" s="207"/>
      <c r="AR167" s="207"/>
      <c r="AS167" s="207"/>
      <c r="AT167" s="207"/>
      <c r="AU167" s="207"/>
      <c r="AV167" s="207"/>
      <c r="AW167" s="207"/>
      <c r="AX167" s="207"/>
      <c r="AY167" s="207"/>
      <c r="AZ167" s="207"/>
      <c r="BA167" s="207"/>
      <c r="BB167" s="207"/>
      <c r="BC167" s="207"/>
      <c r="BD167" s="207"/>
      <c r="BE167" s="207"/>
      <c r="BF167" s="207"/>
      <c r="BG167" s="207"/>
      <c r="BH167" s="207"/>
      <c r="BI167" s="207"/>
      <c r="BJ167" s="207"/>
      <c r="BK167" s="221" t="s">
        <v>953</v>
      </c>
      <c r="BL167" s="207" t="s">
        <v>88</v>
      </c>
      <c r="BM167" s="207"/>
      <c r="BN167" s="207"/>
      <c r="BO167" s="207"/>
      <c r="BP167" s="207"/>
      <c r="BQ167" s="207" t="s">
        <v>954</v>
      </c>
      <c r="BR167" s="207"/>
    </row>
    <row r="168" ht="32" customHeight="1" spans="1:70">
      <c r="A168" s="204">
        <v>166</v>
      </c>
      <c r="B168" s="210" t="s">
        <v>955</v>
      </c>
      <c r="C168" s="210" t="s">
        <v>956</v>
      </c>
      <c r="D168" s="210" t="s">
        <v>957</v>
      </c>
      <c r="E168" s="210"/>
      <c r="F168" s="210"/>
      <c r="G168" s="210"/>
      <c r="H168" s="210"/>
      <c r="I168" s="210"/>
      <c r="J168" s="210" t="s">
        <v>958</v>
      </c>
      <c r="K168" s="210">
        <v>13775138155</v>
      </c>
      <c r="L168" s="210"/>
      <c r="M168" s="210"/>
      <c r="N168" s="210"/>
      <c r="O168" s="210"/>
      <c r="P168" s="210"/>
      <c r="Q168" s="210"/>
      <c r="R168" s="210"/>
      <c r="S168" s="205"/>
      <c r="T168" s="210"/>
      <c r="U168" s="210"/>
      <c r="V168" s="210"/>
      <c r="W168" s="210"/>
      <c r="X168" s="210"/>
      <c r="Y168" s="210"/>
      <c r="Z168" s="210"/>
      <c r="AA168" s="210"/>
      <c r="AB168" s="210"/>
      <c r="AC168" s="210"/>
      <c r="AD168" s="210"/>
      <c r="AE168" s="161"/>
      <c r="AF168" s="210"/>
      <c r="AG168" s="210"/>
      <c r="AH168" s="210"/>
      <c r="AI168" s="210"/>
      <c r="AJ168" s="210"/>
      <c r="AK168" s="210"/>
      <c r="AL168" s="210"/>
      <c r="AM168" s="210"/>
      <c r="AN168" s="210"/>
      <c r="AO168" s="210"/>
      <c r="AP168" s="210"/>
      <c r="AR168" s="210"/>
      <c r="AS168" s="210"/>
      <c r="AT168" s="210"/>
      <c r="AU168" s="210"/>
      <c r="AV168" s="210"/>
      <c r="AW168" s="210"/>
      <c r="AX168" s="210"/>
      <c r="AY168" s="210"/>
      <c r="AZ168" s="210"/>
      <c r="BA168" s="210"/>
      <c r="BB168" s="210"/>
      <c r="BC168" s="210"/>
      <c r="BD168" s="210"/>
      <c r="BE168" s="210"/>
      <c r="BF168" s="210"/>
      <c r="BG168" s="210"/>
      <c r="BH168" s="210"/>
      <c r="BI168" s="210"/>
      <c r="BJ168" s="210"/>
      <c r="BK168" s="210"/>
      <c r="BL168" s="210"/>
      <c r="BM168" s="210"/>
      <c r="BN168" s="210"/>
      <c r="BO168" s="210"/>
      <c r="BP168" s="210"/>
      <c r="BQ168" s="210"/>
      <c r="BR168" s="210"/>
    </row>
    <row r="169" ht="32" customHeight="1" spans="1:70">
      <c r="A169" s="208">
        <v>167</v>
      </c>
      <c r="B169" s="212" t="s">
        <v>959</v>
      </c>
      <c r="C169" s="212" t="s">
        <v>956</v>
      </c>
      <c r="D169" s="212" t="s">
        <v>960</v>
      </c>
      <c r="E169" s="212"/>
      <c r="F169" s="212"/>
      <c r="G169" s="212"/>
      <c r="H169" s="212"/>
      <c r="I169" s="212"/>
      <c r="J169" s="212" t="s">
        <v>961</v>
      </c>
      <c r="K169" s="212">
        <v>15106124783</v>
      </c>
      <c r="L169" s="212"/>
      <c r="M169" s="212"/>
      <c r="N169" s="212"/>
      <c r="O169" s="212"/>
      <c r="P169" s="212"/>
      <c r="Q169" s="212"/>
      <c r="R169" s="212"/>
      <c r="S169" s="149"/>
      <c r="T169" s="212"/>
      <c r="U169" s="212"/>
      <c r="V169" s="212"/>
      <c r="W169" s="212"/>
      <c r="X169" s="212"/>
      <c r="Y169" s="212"/>
      <c r="Z169" s="212"/>
      <c r="AA169" s="212"/>
      <c r="AB169" s="212"/>
      <c r="AC169" s="212"/>
      <c r="AD169" s="212"/>
      <c r="AE169" s="161"/>
      <c r="AF169" s="212"/>
      <c r="AG169" s="212"/>
      <c r="AH169" s="212"/>
      <c r="AI169" s="212"/>
      <c r="AJ169" s="212"/>
      <c r="AK169" s="212"/>
      <c r="AL169" s="212"/>
      <c r="AM169" s="212"/>
      <c r="AN169" s="212"/>
      <c r="AO169" s="212"/>
      <c r="AP169" s="212"/>
      <c r="AR169" s="212"/>
      <c r="AS169" s="212"/>
      <c r="AT169" s="212"/>
      <c r="AU169" s="212"/>
      <c r="AV169" s="212"/>
      <c r="AW169" s="212"/>
      <c r="AX169" s="212"/>
      <c r="AY169" s="212"/>
      <c r="AZ169" s="212"/>
      <c r="BA169" s="212"/>
      <c r="BB169" s="212"/>
      <c r="BC169" s="212"/>
      <c r="BD169" s="212"/>
      <c r="BE169" s="212"/>
      <c r="BF169" s="212"/>
      <c r="BG169" s="212"/>
      <c r="BH169" s="212"/>
      <c r="BI169" s="212"/>
      <c r="BJ169" s="212"/>
      <c r="BK169" s="212"/>
      <c r="BL169" s="212"/>
      <c r="BM169" s="212"/>
      <c r="BN169" s="212"/>
      <c r="BO169" s="212"/>
      <c r="BP169" s="212"/>
      <c r="BQ169" s="212"/>
      <c r="BR169" s="212"/>
    </row>
    <row r="170" ht="32" customHeight="1" spans="1:70">
      <c r="A170" s="208">
        <v>168</v>
      </c>
      <c r="B170" s="212" t="s">
        <v>962</v>
      </c>
      <c r="C170" s="212" t="s">
        <v>956</v>
      </c>
      <c r="D170" s="212" t="s">
        <v>963</v>
      </c>
      <c r="E170" s="212"/>
      <c r="F170" s="212"/>
      <c r="G170" s="212"/>
      <c r="H170" s="212"/>
      <c r="I170" s="212"/>
      <c r="J170" s="212" t="s">
        <v>964</v>
      </c>
      <c r="K170" s="212">
        <v>18837789575</v>
      </c>
      <c r="L170" s="212"/>
      <c r="M170" s="212"/>
      <c r="N170" s="212"/>
      <c r="O170" s="212"/>
      <c r="P170" s="212"/>
      <c r="Q170" s="212"/>
      <c r="R170" s="212"/>
      <c r="S170" s="149"/>
      <c r="T170" s="212"/>
      <c r="U170" s="212"/>
      <c r="V170" s="212"/>
      <c r="W170" s="212"/>
      <c r="X170" s="212"/>
      <c r="Y170" s="212"/>
      <c r="Z170" s="212"/>
      <c r="AA170" s="212"/>
      <c r="AB170" s="212"/>
      <c r="AC170" s="212"/>
      <c r="AD170" s="212"/>
      <c r="AE170" s="161"/>
      <c r="AF170" s="212"/>
      <c r="AG170" s="212"/>
      <c r="AH170" s="212"/>
      <c r="AI170" s="212"/>
      <c r="AJ170" s="212"/>
      <c r="AK170" s="212"/>
      <c r="AL170" s="212"/>
      <c r="AM170" s="212"/>
      <c r="AN170" s="212"/>
      <c r="AO170" s="212"/>
      <c r="AP170" s="212"/>
      <c r="AR170" s="212"/>
      <c r="AS170" s="212"/>
      <c r="AT170" s="212"/>
      <c r="AU170" s="212"/>
      <c r="AV170" s="212"/>
      <c r="AW170" s="212"/>
      <c r="AX170" s="212"/>
      <c r="AY170" s="212"/>
      <c r="AZ170" s="212"/>
      <c r="BA170" s="212"/>
      <c r="BB170" s="212"/>
      <c r="BC170" s="212"/>
      <c r="BD170" s="212"/>
      <c r="BE170" s="212"/>
      <c r="BF170" s="212"/>
      <c r="BG170" s="212"/>
      <c r="BH170" s="212"/>
      <c r="BI170" s="212"/>
      <c r="BJ170" s="212"/>
      <c r="BK170" s="212"/>
      <c r="BL170" s="212"/>
      <c r="BM170" s="212"/>
      <c r="BN170" s="212"/>
      <c r="BO170" s="212"/>
      <c r="BP170" s="212"/>
      <c r="BQ170" s="212"/>
      <c r="BR170" s="212"/>
    </row>
    <row r="171" ht="32" customHeight="1" spans="1:70">
      <c r="A171" s="208">
        <v>169</v>
      </c>
      <c r="B171" s="212" t="s">
        <v>965</v>
      </c>
      <c r="C171" s="212" t="s">
        <v>956</v>
      </c>
      <c r="D171" s="212" t="s">
        <v>966</v>
      </c>
      <c r="E171" s="212"/>
      <c r="F171" s="212"/>
      <c r="G171" s="212" t="s">
        <v>967</v>
      </c>
      <c r="H171" s="212"/>
      <c r="I171" s="212"/>
      <c r="J171" s="212" t="s">
        <v>968</v>
      </c>
      <c r="K171" s="212">
        <v>18262298375</v>
      </c>
      <c r="L171" s="212"/>
      <c r="M171" s="212"/>
      <c r="N171" s="212"/>
      <c r="O171" s="212"/>
      <c r="P171" s="212"/>
      <c r="Q171" s="212"/>
      <c r="R171" s="212"/>
      <c r="S171" s="149"/>
      <c r="T171" s="212"/>
      <c r="U171" s="212"/>
      <c r="V171" s="212"/>
      <c r="W171" s="212"/>
      <c r="X171" s="212"/>
      <c r="Y171" s="212"/>
      <c r="Z171" s="212"/>
      <c r="AA171" s="212"/>
      <c r="AB171" s="212"/>
      <c r="AC171" s="212"/>
      <c r="AD171" s="212"/>
      <c r="AE171" s="161"/>
      <c r="AF171" s="212"/>
      <c r="AG171" s="212"/>
      <c r="AH171" s="212"/>
      <c r="AI171" s="212"/>
      <c r="AJ171" s="212"/>
      <c r="AK171" s="212"/>
      <c r="AL171" s="212"/>
      <c r="AM171" s="212"/>
      <c r="AN171" s="212"/>
      <c r="AO171" s="212"/>
      <c r="AP171" s="212"/>
      <c r="AR171" s="212"/>
      <c r="AS171" s="207" t="s">
        <v>85</v>
      </c>
      <c r="AT171" s="212"/>
      <c r="AU171" s="212"/>
      <c r="AV171" s="212"/>
      <c r="AW171" s="212"/>
      <c r="AX171" s="212"/>
      <c r="AY171" s="212"/>
      <c r="AZ171" s="212"/>
      <c r="BA171" s="212"/>
      <c r="BB171" s="212"/>
      <c r="BC171" s="212" t="s">
        <v>969</v>
      </c>
      <c r="BD171" s="212"/>
      <c r="BE171" s="212" t="s">
        <v>970</v>
      </c>
      <c r="BF171" s="212"/>
      <c r="BG171" s="212"/>
      <c r="BH171" s="212"/>
      <c r="BI171" s="212"/>
      <c r="BJ171" s="212"/>
      <c r="BK171" s="212"/>
      <c r="BL171" s="212"/>
      <c r="BM171" s="212"/>
      <c r="BN171" s="212"/>
      <c r="BO171" s="212"/>
      <c r="BP171" s="212"/>
      <c r="BQ171" s="212"/>
      <c r="BR171" s="207" t="s">
        <v>52</v>
      </c>
    </row>
    <row r="172" ht="32" customHeight="1" spans="1:70">
      <c r="A172" s="208">
        <v>170</v>
      </c>
      <c r="B172" s="212" t="s">
        <v>971</v>
      </c>
      <c r="C172" s="212" t="s">
        <v>956</v>
      </c>
      <c r="D172" s="212" t="s">
        <v>972</v>
      </c>
      <c r="E172" s="212"/>
      <c r="F172" s="212"/>
      <c r="G172" s="212"/>
      <c r="H172" s="212">
        <v>300</v>
      </c>
      <c r="I172" s="212"/>
      <c r="J172" s="212"/>
      <c r="K172" s="212">
        <v>13861133947</v>
      </c>
      <c r="L172" s="212"/>
      <c r="M172" s="212"/>
      <c r="N172" s="212"/>
      <c r="O172" s="212"/>
      <c r="P172" s="212"/>
      <c r="Q172" s="212"/>
      <c r="R172" s="212"/>
      <c r="S172" s="149"/>
      <c r="T172" s="212"/>
      <c r="U172" s="212"/>
      <c r="V172" s="212"/>
      <c r="W172" s="212"/>
      <c r="X172" s="212"/>
      <c r="Y172" s="212"/>
      <c r="Z172" s="212"/>
      <c r="AA172" s="212"/>
      <c r="AB172" s="212"/>
      <c r="AC172" s="212"/>
      <c r="AD172" s="212"/>
      <c r="AE172" s="161"/>
      <c r="AF172" s="212"/>
      <c r="AG172" s="212"/>
      <c r="AH172" s="212"/>
      <c r="AI172" s="212"/>
      <c r="AJ172" s="212"/>
      <c r="AK172" s="212"/>
      <c r="AL172" s="212"/>
      <c r="AM172" s="212"/>
      <c r="AN172" s="212"/>
      <c r="AO172" s="212"/>
      <c r="AP172" s="212"/>
      <c r="AR172" s="212"/>
      <c r="AS172" s="212"/>
      <c r="AT172" s="212"/>
      <c r="AU172" s="212"/>
      <c r="AV172" s="212"/>
      <c r="AW172" s="212"/>
      <c r="AX172" s="212"/>
      <c r="AY172" s="212"/>
      <c r="AZ172" s="212"/>
      <c r="BA172" s="212"/>
      <c r="BB172" s="212"/>
      <c r="BC172" s="212"/>
      <c r="BD172" s="212"/>
      <c r="BE172" s="212"/>
      <c r="BF172" s="212"/>
      <c r="BG172" s="212"/>
      <c r="BH172" s="212"/>
      <c r="BI172" s="212"/>
      <c r="BJ172" s="212"/>
      <c r="BK172" s="212"/>
      <c r="BL172" s="212"/>
      <c r="BM172" s="212"/>
      <c r="BN172" s="212"/>
      <c r="BO172" s="212"/>
      <c r="BP172" s="212"/>
      <c r="BQ172" s="212"/>
      <c r="BR172" s="212"/>
    </row>
    <row r="173" ht="32" customHeight="1" spans="1:70">
      <c r="A173" s="208">
        <v>171</v>
      </c>
      <c r="B173" s="212" t="s">
        <v>973</v>
      </c>
      <c r="C173" s="212" t="s">
        <v>956</v>
      </c>
      <c r="D173" s="212" t="s">
        <v>974</v>
      </c>
      <c r="E173" s="212" t="s">
        <v>198</v>
      </c>
      <c r="F173" s="212"/>
      <c r="G173" s="212"/>
      <c r="H173" s="212">
        <v>40</v>
      </c>
      <c r="I173" s="212">
        <v>900</v>
      </c>
      <c r="J173" s="212" t="s">
        <v>975</v>
      </c>
      <c r="K173" s="212">
        <v>15895002188</v>
      </c>
      <c r="L173" s="212"/>
      <c r="M173" s="212"/>
      <c r="N173" s="212"/>
      <c r="O173" s="212"/>
      <c r="P173" s="212"/>
      <c r="Q173" s="212"/>
      <c r="R173" s="212"/>
      <c r="S173" s="149"/>
      <c r="T173" s="212"/>
      <c r="U173" s="212"/>
      <c r="V173" s="212"/>
      <c r="W173" s="212"/>
      <c r="X173" s="212"/>
      <c r="Y173" s="212"/>
      <c r="Z173" s="212"/>
      <c r="AA173" s="212"/>
      <c r="AB173" s="212"/>
      <c r="AC173" s="212"/>
      <c r="AD173" s="212"/>
      <c r="AE173" s="161"/>
      <c r="AF173" s="212"/>
      <c r="AG173" s="212"/>
      <c r="AH173" s="212"/>
      <c r="AI173" s="212"/>
      <c r="AJ173" s="212"/>
      <c r="AK173" s="212"/>
      <c r="AL173" s="212"/>
      <c r="AM173" s="212"/>
      <c r="AN173" s="212"/>
      <c r="AO173" s="212"/>
      <c r="AP173" s="212"/>
      <c r="AR173" s="212"/>
      <c r="AS173" s="212"/>
      <c r="AT173" s="212"/>
      <c r="AU173" s="212"/>
      <c r="AV173" s="212"/>
      <c r="AW173" s="212"/>
      <c r="AX173" s="212"/>
      <c r="AY173" s="212"/>
      <c r="AZ173" s="212"/>
      <c r="BA173" s="212"/>
      <c r="BB173" s="212"/>
      <c r="BC173" s="212"/>
      <c r="BD173" s="212"/>
      <c r="BE173" s="212"/>
      <c r="BF173" s="212"/>
      <c r="BG173" s="212"/>
      <c r="BH173" s="212"/>
      <c r="BI173" s="212"/>
      <c r="BJ173" s="212"/>
      <c r="BK173" s="212"/>
      <c r="BL173" s="212"/>
      <c r="BM173" s="212"/>
      <c r="BN173" s="212"/>
      <c r="BO173" s="212"/>
      <c r="BP173" s="212"/>
      <c r="BQ173" s="212"/>
      <c r="BR173" s="212"/>
    </row>
    <row r="174" ht="32" customHeight="1" spans="1:70">
      <c r="A174" s="208">
        <v>172</v>
      </c>
      <c r="B174" s="212" t="s">
        <v>976</v>
      </c>
      <c r="C174" s="212" t="s">
        <v>956</v>
      </c>
      <c r="D174" s="212" t="s">
        <v>977</v>
      </c>
      <c r="E174" s="212" t="s">
        <v>233</v>
      </c>
      <c r="F174" s="212"/>
      <c r="G174" s="212"/>
      <c r="H174" s="212">
        <v>30</v>
      </c>
      <c r="I174" s="212">
        <v>800</v>
      </c>
      <c r="J174" s="212" t="s">
        <v>978</v>
      </c>
      <c r="K174" s="212">
        <v>13906120058</v>
      </c>
      <c r="L174" s="212"/>
      <c r="M174" s="212"/>
      <c r="N174" s="212"/>
      <c r="O174" s="212"/>
      <c r="P174" s="212"/>
      <c r="Q174" s="212"/>
      <c r="R174" s="212"/>
      <c r="S174" s="149"/>
      <c r="T174" s="212"/>
      <c r="U174" s="212"/>
      <c r="V174" s="212"/>
      <c r="W174" s="212"/>
      <c r="X174" s="212"/>
      <c r="Y174" s="212"/>
      <c r="Z174" s="212"/>
      <c r="AA174" s="212"/>
      <c r="AB174" s="212"/>
      <c r="AC174" s="212"/>
      <c r="AD174" s="212"/>
      <c r="AE174" s="161"/>
      <c r="AF174" s="212"/>
      <c r="AG174" s="212"/>
      <c r="AH174" s="212"/>
      <c r="AI174" s="212"/>
      <c r="AJ174" s="212"/>
      <c r="AK174" s="212"/>
      <c r="AL174" s="212"/>
      <c r="AM174" s="212"/>
      <c r="AN174" s="212"/>
      <c r="AO174" s="212"/>
      <c r="AP174" s="212"/>
      <c r="AR174" s="212"/>
      <c r="AS174" s="212"/>
      <c r="AT174" s="212"/>
      <c r="AU174" s="212"/>
      <c r="AV174" s="212"/>
      <c r="AW174" s="212"/>
      <c r="AX174" s="212"/>
      <c r="AY174" s="212"/>
      <c r="AZ174" s="212"/>
      <c r="BA174" s="212"/>
      <c r="BB174" s="212"/>
      <c r="BC174" s="212"/>
      <c r="BD174" s="212"/>
      <c r="BE174" s="212"/>
      <c r="BF174" s="212"/>
      <c r="BG174" s="212"/>
      <c r="BH174" s="212"/>
      <c r="BI174" s="212"/>
      <c r="BJ174" s="212"/>
      <c r="BK174" s="212"/>
      <c r="BL174" s="212"/>
      <c r="BM174" s="212"/>
      <c r="BN174" s="212"/>
      <c r="BO174" s="212"/>
      <c r="BP174" s="212"/>
      <c r="BQ174" s="212"/>
      <c r="BR174" s="212"/>
    </row>
    <row r="175" ht="32" customHeight="1" spans="1:70">
      <c r="A175" s="208">
        <v>173</v>
      </c>
      <c r="B175" s="212" t="s">
        <v>979</v>
      </c>
      <c r="C175" s="212" t="s">
        <v>956</v>
      </c>
      <c r="D175" s="212" t="s">
        <v>980</v>
      </c>
      <c r="E175" s="212" t="s">
        <v>237</v>
      </c>
      <c r="F175" s="212"/>
      <c r="G175" s="212"/>
      <c r="H175" s="212"/>
      <c r="I175" s="212"/>
      <c r="J175" s="212" t="s">
        <v>981</v>
      </c>
      <c r="K175" s="212">
        <v>15195017415</v>
      </c>
      <c r="L175" s="212"/>
      <c r="M175" s="212"/>
      <c r="N175" s="212"/>
      <c r="O175" s="212"/>
      <c r="P175" s="212"/>
      <c r="Q175" s="212"/>
      <c r="R175" s="212"/>
      <c r="S175" s="149"/>
      <c r="T175" s="212"/>
      <c r="U175" s="212"/>
      <c r="V175" s="212"/>
      <c r="W175" s="212"/>
      <c r="X175" s="212"/>
      <c r="Y175" s="212"/>
      <c r="Z175" s="212"/>
      <c r="AA175" s="212"/>
      <c r="AB175" s="212"/>
      <c r="AC175" s="212"/>
      <c r="AD175" s="212"/>
      <c r="AE175" s="161"/>
      <c r="AF175" s="212"/>
      <c r="AG175" s="212"/>
      <c r="AH175" s="212"/>
      <c r="AI175" s="212"/>
      <c r="AJ175" s="212"/>
      <c r="AK175" s="212"/>
      <c r="AL175" s="212"/>
      <c r="AM175" s="212"/>
      <c r="AN175" s="212"/>
      <c r="AO175" s="212"/>
      <c r="AP175" s="212"/>
      <c r="AR175" s="212"/>
      <c r="AS175" s="212"/>
      <c r="AT175" s="212"/>
      <c r="AU175" s="212"/>
      <c r="AV175" s="212"/>
      <c r="AW175" s="212"/>
      <c r="AX175" s="212"/>
      <c r="AY175" s="212"/>
      <c r="AZ175" s="212"/>
      <c r="BA175" s="212"/>
      <c r="BB175" s="212"/>
      <c r="BC175" s="212"/>
      <c r="BD175" s="212"/>
      <c r="BE175" s="212"/>
      <c r="BF175" s="212"/>
      <c r="BG175" s="212"/>
      <c r="BH175" s="212"/>
      <c r="BI175" s="212"/>
      <c r="BJ175" s="212"/>
      <c r="BK175" s="212"/>
      <c r="BL175" s="212"/>
      <c r="BM175" s="212"/>
      <c r="BN175" s="212"/>
      <c r="BO175" s="212"/>
      <c r="BP175" s="212"/>
      <c r="BQ175" s="212"/>
      <c r="BR175" s="212"/>
    </row>
    <row r="176" ht="32" customHeight="1" spans="1:70">
      <c r="A176" s="208">
        <v>174</v>
      </c>
      <c r="B176" s="212" t="s">
        <v>982</v>
      </c>
      <c r="C176" s="212" t="s">
        <v>956</v>
      </c>
      <c r="D176" s="212" t="s">
        <v>983</v>
      </c>
      <c r="E176" s="212" t="s">
        <v>300</v>
      </c>
      <c r="F176" s="212"/>
      <c r="G176" s="212"/>
      <c r="H176" s="212"/>
      <c r="I176" s="212"/>
      <c r="J176" s="212" t="s">
        <v>984</v>
      </c>
      <c r="K176" s="212">
        <v>13182808857</v>
      </c>
      <c r="L176" s="212"/>
      <c r="M176" s="212"/>
      <c r="N176" s="212"/>
      <c r="O176" s="212"/>
      <c r="P176" s="212"/>
      <c r="Q176" s="212"/>
      <c r="R176" s="212"/>
      <c r="S176" s="149"/>
      <c r="T176" s="212"/>
      <c r="U176" s="212"/>
      <c r="V176" s="212"/>
      <c r="W176" s="212"/>
      <c r="X176" s="212"/>
      <c r="Y176" s="212"/>
      <c r="Z176" s="212"/>
      <c r="AA176" s="212"/>
      <c r="AB176" s="212"/>
      <c r="AC176" s="212"/>
      <c r="AD176" s="212"/>
      <c r="AE176" s="161"/>
      <c r="AF176" s="212"/>
      <c r="AG176" s="212"/>
      <c r="AH176" s="212"/>
      <c r="AI176" s="212"/>
      <c r="AJ176" s="212"/>
      <c r="AK176" s="212"/>
      <c r="AL176" s="212"/>
      <c r="AM176" s="212"/>
      <c r="AN176" s="212"/>
      <c r="AO176" s="212"/>
      <c r="AP176" s="212"/>
      <c r="AR176" s="212"/>
      <c r="AS176" s="212"/>
      <c r="AT176" s="212"/>
      <c r="AU176" s="212"/>
      <c r="AV176" s="212"/>
      <c r="AW176" s="212"/>
      <c r="AX176" s="212"/>
      <c r="AY176" s="212"/>
      <c r="AZ176" s="212"/>
      <c r="BA176" s="212"/>
      <c r="BB176" s="212"/>
      <c r="BC176" s="212"/>
      <c r="BD176" s="212"/>
      <c r="BE176" s="212"/>
      <c r="BF176" s="212"/>
      <c r="BG176" s="212"/>
      <c r="BH176" s="212"/>
      <c r="BI176" s="212"/>
      <c r="BJ176" s="212"/>
      <c r="BK176" s="212"/>
      <c r="BL176" s="212"/>
      <c r="BM176" s="212"/>
      <c r="BN176" s="212"/>
      <c r="BO176" s="212"/>
      <c r="BP176" s="212"/>
      <c r="BQ176" s="212"/>
      <c r="BR176" s="212"/>
    </row>
    <row r="177" ht="32" customHeight="1" spans="1:70">
      <c r="A177" s="208">
        <v>175</v>
      </c>
      <c r="B177" s="212" t="s">
        <v>985</v>
      </c>
      <c r="C177" s="212" t="s">
        <v>956</v>
      </c>
      <c r="D177" s="212" t="s">
        <v>986</v>
      </c>
      <c r="E177" s="212" t="s">
        <v>210</v>
      </c>
      <c r="F177" s="212"/>
      <c r="G177" s="212"/>
      <c r="H177" s="212"/>
      <c r="I177" s="212"/>
      <c r="J177" s="212"/>
      <c r="K177" s="212">
        <v>13861098221</v>
      </c>
      <c r="L177" s="212"/>
      <c r="M177" s="212"/>
      <c r="N177" s="212"/>
      <c r="O177" s="212"/>
      <c r="P177" s="212"/>
      <c r="Q177" s="212"/>
      <c r="R177" s="212"/>
      <c r="S177" s="149"/>
      <c r="T177" s="212"/>
      <c r="U177" s="212"/>
      <c r="V177" s="212"/>
      <c r="W177" s="212"/>
      <c r="X177" s="212"/>
      <c r="Y177" s="212"/>
      <c r="Z177" s="212"/>
      <c r="AA177" s="212"/>
      <c r="AB177" s="212"/>
      <c r="AC177" s="212"/>
      <c r="AD177" s="212"/>
      <c r="AE177" s="161"/>
      <c r="AF177" s="212"/>
      <c r="AG177" s="212"/>
      <c r="AH177" s="212"/>
      <c r="AI177" s="212"/>
      <c r="AJ177" s="212"/>
      <c r="AK177" s="212"/>
      <c r="AL177" s="212"/>
      <c r="AM177" s="212"/>
      <c r="AN177" s="212"/>
      <c r="AO177" s="212"/>
      <c r="AP177" s="212"/>
      <c r="AR177" s="212"/>
      <c r="AS177" s="212"/>
      <c r="AT177" s="212"/>
      <c r="AU177" s="212"/>
      <c r="AV177" s="212"/>
      <c r="AW177" s="212"/>
      <c r="AX177" s="212"/>
      <c r="AY177" s="212"/>
      <c r="AZ177" s="212"/>
      <c r="BA177" s="212"/>
      <c r="BB177" s="212"/>
      <c r="BC177" s="212"/>
      <c r="BD177" s="212"/>
      <c r="BE177" s="212"/>
      <c r="BF177" s="212"/>
      <c r="BG177" s="212"/>
      <c r="BH177" s="212"/>
      <c r="BI177" s="212"/>
      <c r="BJ177" s="212"/>
      <c r="BK177" s="212"/>
      <c r="BL177" s="212"/>
      <c r="BM177" s="212"/>
      <c r="BN177" s="212"/>
      <c r="BO177" s="212"/>
      <c r="BP177" s="212"/>
      <c r="BQ177" s="212"/>
      <c r="BR177" s="212"/>
    </row>
    <row r="178" ht="32" customHeight="1" spans="1:70">
      <c r="A178" s="189">
        <v>176</v>
      </c>
      <c r="B178" s="209" t="s">
        <v>987</v>
      </c>
      <c r="C178" s="209" t="s">
        <v>956</v>
      </c>
      <c r="D178" s="209" t="s">
        <v>988</v>
      </c>
      <c r="E178" s="209" t="s">
        <v>223</v>
      </c>
      <c r="F178" s="209" t="s">
        <v>310</v>
      </c>
      <c r="G178" s="209" t="s">
        <v>989</v>
      </c>
      <c r="H178" s="209">
        <v>1500</v>
      </c>
      <c r="I178" s="207">
        <v>5000</v>
      </c>
      <c r="J178" s="209" t="s">
        <v>990</v>
      </c>
      <c r="K178" s="209">
        <v>13776855909</v>
      </c>
      <c r="L178" s="241" t="s">
        <v>991</v>
      </c>
      <c r="M178" s="209" t="s">
        <v>992</v>
      </c>
      <c r="N178" s="209" t="s">
        <v>993</v>
      </c>
      <c r="O178" s="209" t="s">
        <v>994</v>
      </c>
      <c r="P178" s="209" t="s">
        <v>995</v>
      </c>
      <c r="Q178" s="209" t="s">
        <v>996</v>
      </c>
      <c r="R178" s="209" t="s">
        <v>997</v>
      </c>
      <c r="S178" s="207"/>
      <c r="T178" s="209"/>
      <c r="U178" s="209"/>
      <c r="V178" s="209"/>
      <c r="W178" s="209"/>
      <c r="X178" s="209"/>
      <c r="Y178" s="209" t="s">
        <v>84</v>
      </c>
      <c r="Z178" s="207" t="s">
        <v>85</v>
      </c>
      <c r="AA178" s="207" t="s">
        <v>85</v>
      </c>
      <c r="AB178" s="207" t="s">
        <v>86</v>
      </c>
      <c r="AC178" s="209" t="s">
        <v>96</v>
      </c>
      <c r="AD178" s="209" t="s">
        <v>502</v>
      </c>
      <c r="AE178" s="225"/>
      <c r="AF178" s="209"/>
      <c r="AG178" s="209"/>
      <c r="AH178" s="209"/>
      <c r="AI178" s="209"/>
      <c r="AJ178" s="209"/>
      <c r="AK178" s="209"/>
      <c r="AL178" s="209" t="s">
        <v>998</v>
      </c>
      <c r="AM178" s="209" t="s">
        <v>85</v>
      </c>
      <c r="AN178" s="209" t="s">
        <v>999</v>
      </c>
      <c r="AO178" s="209" t="s">
        <v>1000</v>
      </c>
      <c r="AP178" s="209" t="s">
        <v>1001</v>
      </c>
      <c r="AR178" s="209"/>
      <c r="AS178" s="209"/>
      <c r="AT178" s="207" t="s">
        <v>85</v>
      </c>
      <c r="AU178" s="209"/>
      <c r="AV178" s="209"/>
      <c r="AW178" s="209"/>
      <c r="AX178" s="207" t="s">
        <v>85</v>
      </c>
      <c r="AY178" s="209"/>
      <c r="AZ178" s="209" t="s">
        <v>85</v>
      </c>
      <c r="BA178" s="209"/>
      <c r="BB178" s="225"/>
      <c r="BC178" s="225"/>
      <c r="BD178" s="225"/>
      <c r="BE178" s="209"/>
      <c r="BF178" s="209"/>
      <c r="BG178" s="209"/>
      <c r="BH178" s="209"/>
      <c r="BI178" s="209"/>
      <c r="BJ178" s="209"/>
      <c r="BK178" s="209"/>
      <c r="BL178" s="209"/>
      <c r="BM178" s="209"/>
      <c r="BN178" s="209"/>
      <c r="BO178" s="209"/>
      <c r="BP178" s="209"/>
      <c r="BQ178" s="209"/>
      <c r="BR178" s="209" t="s">
        <v>1002</v>
      </c>
    </row>
    <row r="179" ht="32" customHeight="1" spans="1:70">
      <c r="A179" s="189">
        <v>177</v>
      </c>
      <c r="B179" s="209" t="s">
        <v>1003</v>
      </c>
      <c r="C179" s="209" t="s">
        <v>956</v>
      </c>
      <c r="D179" s="209" t="s">
        <v>1004</v>
      </c>
      <c r="E179" s="209"/>
      <c r="F179" s="209" t="s">
        <v>310</v>
      </c>
      <c r="G179" s="209" t="s">
        <v>1005</v>
      </c>
      <c r="H179" s="242" t="s">
        <v>1006</v>
      </c>
      <c r="I179" s="209" t="s">
        <v>479</v>
      </c>
      <c r="J179" s="209" t="s">
        <v>1007</v>
      </c>
      <c r="K179" s="209">
        <v>13382852012</v>
      </c>
      <c r="L179" s="241" t="s">
        <v>1008</v>
      </c>
      <c r="M179" s="209" t="s">
        <v>1009</v>
      </c>
      <c r="N179" s="209" t="s">
        <v>1010</v>
      </c>
      <c r="O179" s="209" t="s">
        <v>1011</v>
      </c>
      <c r="P179" s="209" t="s">
        <v>1012</v>
      </c>
      <c r="Q179" s="209" t="s">
        <v>1013</v>
      </c>
      <c r="R179" s="209" t="s">
        <v>486</v>
      </c>
      <c r="S179" s="207"/>
      <c r="T179" s="209"/>
      <c r="U179" s="209"/>
      <c r="V179" s="209"/>
      <c r="W179" s="209"/>
      <c r="X179" s="209"/>
      <c r="Y179" s="209" t="s">
        <v>84</v>
      </c>
      <c r="Z179" s="207" t="s">
        <v>85</v>
      </c>
      <c r="AA179" s="207" t="s">
        <v>85</v>
      </c>
      <c r="AB179" s="207" t="s">
        <v>86</v>
      </c>
      <c r="AC179" s="209" t="s">
        <v>96</v>
      </c>
      <c r="AD179" s="209" t="s">
        <v>1014</v>
      </c>
      <c r="AE179" s="225"/>
      <c r="AF179" s="209"/>
      <c r="AG179" s="209"/>
      <c r="AH179" s="209"/>
      <c r="AI179" s="209" t="s">
        <v>538</v>
      </c>
      <c r="AJ179" s="209"/>
      <c r="AK179" s="209"/>
      <c r="AL179" s="209" t="s">
        <v>1015</v>
      </c>
      <c r="AM179" s="209" t="s">
        <v>97</v>
      </c>
      <c r="AN179" s="209" t="s">
        <v>1016</v>
      </c>
      <c r="AO179" s="209" t="s">
        <v>645</v>
      </c>
      <c r="AP179" s="209" t="s">
        <v>97</v>
      </c>
      <c r="AR179" s="209"/>
      <c r="AS179" s="209"/>
      <c r="AT179" s="209"/>
      <c r="AU179" s="209"/>
      <c r="AV179" s="209"/>
      <c r="AW179" s="209"/>
      <c r="AX179" s="209"/>
      <c r="AY179" s="209"/>
      <c r="AZ179" s="209"/>
      <c r="BA179" s="209"/>
      <c r="BB179" s="225"/>
      <c r="BC179" s="225"/>
      <c r="BD179" s="225"/>
      <c r="BE179" s="209"/>
      <c r="BF179" s="209"/>
      <c r="BG179" s="209"/>
      <c r="BH179" s="209"/>
      <c r="BI179" s="209"/>
      <c r="BJ179" s="209"/>
      <c r="BK179" s="209"/>
      <c r="BL179" s="209"/>
      <c r="BM179" s="209"/>
      <c r="BN179" s="209"/>
      <c r="BO179" s="209"/>
      <c r="BP179" s="209"/>
      <c r="BQ179" s="225"/>
      <c r="BR179" s="209"/>
    </row>
    <row r="180" ht="32" customHeight="1" spans="1:70">
      <c r="A180" s="189">
        <v>178</v>
      </c>
      <c r="B180" s="209" t="s">
        <v>1017</v>
      </c>
      <c r="C180" s="209" t="s">
        <v>956</v>
      </c>
      <c r="D180" s="209" t="s">
        <v>1018</v>
      </c>
      <c r="E180" s="209" t="s">
        <v>228</v>
      </c>
      <c r="F180" s="207" t="s">
        <v>80</v>
      </c>
      <c r="G180" s="209"/>
      <c r="H180" s="242" t="s">
        <v>1019</v>
      </c>
      <c r="I180" s="207">
        <v>5000</v>
      </c>
      <c r="J180" s="209" t="s">
        <v>1020</v>
      </c>
      <c r="K180" s="209">
        <v>13776892081</v>
      </c>
      <c r="L180" s="209" t="s">
        <v>1021</v>
      </c>
      <c r="M180" s="209" t="s">
        <v>1022</v>
      </c>
      <c r="N180" s="209"/>
      <c r="O180" s="209" t="s">
        <v>1023</v>
      </c>
      <c r="P180" s="209" t="s">
        <v>1024</v>
      </c>
      <c r="Q180" s="209" t="s">
        <v>1025</v>
      </c>
      <c r="R180" s="209" t="s">
        <v>116</v>
      </c>
      <c r="S180" s="207"/>
      <c r="T180" s="209"/>
      <c r="U180" s="209"/>
      <c r="V180" s="209"/>
      <c r="W180" s="209"/>
      <c r="X180" s="209"/>
      <c r="Y180" s="209" t="s">
        <v>84</v>
      </c>
      <c r="Z180" s="207" t="s">
        <v>85</v>
      </c>
      <c r="AA180" s="207" t="s">
        <v>85</v>
      </c>
      <c r="AB180" s="207" t="s">
        <v>86</v>
      </c>
      <c r="AC180" s="209" t="s">
        <v>96</v>
      </c>
      <c r="AD180" s="209" t="s">
        <v>1026</v>
      </c>
      <c r="AE180" s="225"/>
      <c r="AF180" s="209"/>
      <c r="AG180" s="209"/>
      <c r="AH180" s="209"/>
      <c r="AI180" s="209" t="s">
        <v>1027</v>
      </c>
      <c r="AJ180" s="209"/>
      <c r="AK180" s="209"/>
      <c r="AL180" s="209" t="s">
        <v>369</v>
      </c>
      <c r="AM180" s="209" t="s">
        <v>369</v>
      </c>
      <c r="AN180" s="209" t="s">
        <v>1028</v>
      </c>
      <c r="AO180" s="209" t="s">
        <v>97</v>
      </c>
      <c r="AP180" s="209" t="s">
        <v>1029</v>
      </c>
      <c r="AR180" s="209"/>
      <c r="AS180" s="209"/>
      <c r="AT180" s="209"/>
      <c r="AU180" s="209"/>
      <c r="AV180" s="209"/>
      <c r="AW180" s="209"/>
      <c r="AX180" s="209"/>
      <c r="AY180" s="209"/>
      <c r="AZ180" s="209"/>
      <c r="BA180" s="209" t="s">
        <v>369</v>
      </c>
      <c r="BB180" s="225"/>
      <c r="BC180" s="225"/>
      <c r="BD180" s="225"/>
      <c r="BE180" s="209"/>
      <c r="BF180" s="209"/>
      <c r="BG180" s="209"/>
      <c r="BH180" s="209"/>
      <c r="BI180" s="209"/>
      <c r="BJ180" s="209"/>
      <c r="BK180" s="209"/>
      <c r="BL180" s="209"/>
      <c r="BM180" s="209"/>
      <c r="BN180" s="209"/>
      <c r="BO180" s="209"/>
      <c r="BP180" s="209"/>
      <c r="BQ180" s="225"/>
      <c r="BR180" s="209"/>
    </row>
    <row r="181" ht="32" customHeight="1" spans="1:70">
      <c r="A181" s="189">
        <v>179</v>
      </c>
      <c r="B181" s="209" t="s">
        <v>1030</v>
      </c>
      <c r="C181" s="209" t="s">
        <v>956</v>
      </c>
      <c r="D181" s="209" t="s">
        <v>1031</v>
      </c>
      <c r="E181" s="209">
        <v>2006</v>
      </c>
      <c r="F181" s="209" t="s">
        <v>310</v>
      </c>
      <c r="G181" s="209" t="s">
        <v>1032</v>
      </c>
      <c r="H181" s="209">
        <v>500</v>
      </c>
      <c r="I181" s="207">
        <v>2500</v>
      </c>
      <c r="J181" s="209" t="s">
        <v>1033</v>
      </c>
      <c r="K181" s="209">
        <v>15195011180</v>
      </c>
      <c r="L181" s="241" t="s">
        <v>1034</v>
      </c>
      <c r="M181" s="209" t="s">
        <v>1035</v>
      </c>
      <c r="N181" s="209" t="s">
        <v>1036</v>
      </c>
      <c r="O181" s="209" t="s">
        <v>1037</v>
      </c>
      <c r="P181" s="209"/>
      <c r="Q181" s="207" t="s">
        <v>224</v>
      </c>
      <c r="R181" s="209" t="s">
        <v>146</v>
      </c>
      <c r="S181" s="207"/>
      <c r="T181" s="209"/>
      <c r="U181" s="209"/>
      <c r="V181" s="209"/>
      <c r="W181" s="209"/>
      <c r="X181" s="209"/>
      <c r="Y181" s="209" t="s">
        <v>84</v>
      </c>
      <c r="Z181" s="209"/>
      <c r="AA181" s="207" t="s">
        <v>85</v>
      </c>
      <c r="AB181" s="207" t="s">
        <v>86</v>
      </c>
      <c r="AC181" s="209" t="s">
        <v>96</v>
      </c>
      <c r="AD181" s="209" t="s">
        <v>1026</v>
      </c>
      <c r="AE181" s="225"/>
      <c r="AF181" s="209"/>
      <c r="AG181" s="209"/>
      <c r="AH181" s="209"/>
      <c r="AI181" s="209" t="s">
        <v>369</v>
      </c>
      <c r="AJ181" s="209"/>
      <c r="AK181" s="209"/>
      <c r="AL181" s="209" t="s">
        <v>369</v>
      </c>
      <c r="AM181" s="209" t="s">
        <v>369</v>
      </c>
      <c r="AN181" s="209" t="s">
        <v>369</v>
      </c>
      <c r="AO181" s="209" t="s">
        <v>369</v>
      </c>
      <c r="AP181" s="209" t="s">
        <v>369</v>
      </c>
      <c r="AR181" s="209"/>
      <c r="AS181" s="209"/>
      <c r="AT181" s="209"/>
      <c r="AU181" s="209"/>
      <c r="AV181" s="209"/>
      <c r="AW181" s="209"/>
      <c r="AX181" s="209"/>
      <c r="AY181" s="209"/>
      <c r="AZ181" s="209"/>
      <c r="BA181" s="209" t="s">
        <v>369</v>
      </c>
      <c r="BB181" s="225"/>
      <c r="BC181" s="225"/>
      <c r="BD181" s="225"/>
      <c r="BE181" s="209"/>
      <c r="BF181" s="209"/>
      <c r="BG181" s="209"/>
      <c r="BH181" s="209"/>
      <c r="BI181" s="209"/>
      <c r="BJ181" s="209"/>
      <c r="BK181" s="209"/>
      <c r="BL181" s="209"/>
      <c r="BM181" s="209"/>
      <c r="BN181" s="209"/>
      <c r="BO181" s="209"/>
      <c r="BP181" s="209"/>
      <c r="BQ181" s="225"/>
      <c r="BR181" s="209"/>
    </row>
    <row r="182" ht="32" customHeight="1" spans="1:70">
      <c r="A182" s="189">
        <v>180</v>
      </c>
      <c r="B182" s="209" t="s">
        <v>1038</v>
      </c>
      <c r="C182" s="209" t="s">
        <v>956</v>
      </c>
      <c r="D182" s="209" t="s">
        <v>1039</v>
      </c>
      <c r="E182" s="209"/>
      <c r="F182" s="207" t="s">
        <v>80</v>
      </c>
      <c r="G182" s="209" t="s">
        <v>1040</v>
      </c>
      <c r="H182" s="209">
        <v>59</v>
      </c>
      <c r="I182" s="209" t="s">
        <v>479</v>
      </c>
      <c r="J182" s="209" t="s">
        <v>1041</v>
      </c>
      <c r="K182" s="209">
        <v>15806110590</v>
      </c>
      <c r="L182" s="241" t="s">
        <v>1042</v>
      </c>
      <c r="M182" s="209" t="s">
        <v>1043</v>
      </c>
      <c r="N182" s="209" t="s">
        <v>470</v>
      </c>
      <c r="O182" s="209" t="s">
        <v>474</v>
      </c>
      <c r="P182" s="209"/>
      <c r="Q182" s="209" t="s">
        <v>595</v>
      </c>
      <c r="R182" s="209" t="s">
        <v>116</v>
      </c>
      <c r="S182" s="207"/>
      <c r="T182" s="209"/>
      <c r="U182" s="209"/>
      <c r="V182" s="209"/>
      <c r="W182" s="209"/>
      <c r="X182" s="209"/>
      <c r="Y182" s="209" t="s">
        <v>84</v>
      </c>
      <c r="Z182" s="209"/>
      <c r="AA182" s="207" t="s">
        <v>85</v>
      </c>
      <c r="AB182" s="207" t="s">
        <v>86</v>
      </c>
      <c r="AC182" s="209" t="s">
        <v>1044</v>
      </c>
      <c r="AD182" s="209" t="s">
        <v>1045</v>
      </c>
      <c r="AE182" s="225"/>
      <c r="AF182" s="209"/>
      <c r="AG182" s="209"/>
      <c r="AH182" s="209"/>
      <c r="AI182" s="209" t="s">
        <v>369</v>
      </c>
      <c r="AJ182" s="209"/>
      <c r="AK182" s="209"/>
      <c r="AL182" s="209" t="s">
        <v>369</v>
      </c>
      <c r="AM182" s="209" t="s">
        <v>369</v>
      </c>
      <c r="AN182" s="209" t="s">
        <v>369</v>
      </c>
      <c r="AO182" s="209" t="s">
        <v>369</v>
      </c>
      <c r="AP182" s="209" t="s">
        <v>369</v>
      </c>
      <c r="AR182" s="209"/>
      <c r="AS182" s="209"/>
      <c r="AT182" s="209"/>
      <c r="AU182" s="209"/>
      <c r="AV182" s="209"/>
      <c r="AW182" s="209"/>
      <c r="AX182" s="209"/>
      <c r="AY182" s="209"/>
      <c r="AZ182" s="209"/>
      <c r="BA182" s="209" t="s">
        <v>369</v>
      </c>
      <c r="BB182" s="225"/>
      <c r="BC182" s="225"/>
      <c r="BD182" s="225"/>
      <c r="BE182" s="209"/>
      <c r="BF182" s="209"/>
      <c r="BG182" s="209"/>
      <c r="BH182" s="209"/>
      <c r="BI182" s="209"/>
      <c r="BJ182" s="209"/>
      <c r="BK182" s="209"/>
      <c r="BL182" s="209"/>
      <c r="BM182" s="209"/>
      <c r="BN182" s="209"/>
      <c r="BO182" s="209"/>
      <c r="BP182" s="209"/>
      <c r="BQ182" s="225"/>
      <c r="BR182" s="209"/>
    </row>
    <row r="183" ht="32" customHeight="1" spans="1:70">
      <c r="A183" s="189">
        <v>181</v>
      </c>
      <c r="B183" s="209" t="s">
        <v>1046</v>
      </c>
      <c r="C183" s="209" t="s">
        <v>956</v>
      </c>
      <c r="D183" s="209" t="s">
        <v>1047</v>
      </c>
      <c r="E183" s="209" t="s">
        <v>563</v>
      </c>
      <c r="F183" s="207" t="s">
        <v>80</v>
      </c>
      <c r="G183" s="209" t="s">
        <v>1048</v>
      </c>
      <c r="H183" s="209">
        <v>249</v>
      </c>
      <c r="I183" s="207">
        <v>5000</v>
      </c>
      <c r="J183" s="209" t="s">
        <v>1049</v>
      </c>
      <c r="K183" s="209">
        <v>13951223393</v>
      </c>
      <c r="L183" s="209" t="s">
        <v>1050</v>
      </c>
      <c r="M183" s="209" t="s">
        <v>1051</v>
      </c>
      <c r="N183" s="209" t="s">
        <v>1052</v>
      </c>
      <c r="O183" s="209" t="s">
        <v>1053</v>
      </c>
      <c r="P183" s="209" t="s">
        <v>1054</v>
      </c>
      <c r="Q183" s="209" t="s">
        <v>1055</v>
      </c>
      <c r="R183" s="209" t="s">
        <v>116</v>
      </c>
      <c r="S183" s="207"/>
      <c r="T183" s="209"/>
      <c r="U183" s="209"/>
      <c r="V183" s="209"/>
      <c r="W183" s="209"/>
      <c r="X183" s="209"/>
      <c r="Y183" s="209" t="s">
        <v>84</v>
      </c>
      <c r="Z183" s="207" t="s">
        <v>85</v>
      </c>
      <c r="AA183" s="209"/>
      <c r="AB183" s="207" t="s">
        <v>86</v>
      </c>
      <c r="AC183" s="209" t="s">
        <v>96</v>
      </c>
      <c r="AD183" s="209" t="s">
        <v>1056</v>
      </c>
      <c r="AE183" s="225"/>
      <c r="AF183" s="209"/>
      <c r="AG183" s="209"/>
      <c r="AH183" s="209"/>
      <c r="AI183" s="209" t="s">
        <v>369</v>
      </c>
      <c r="AJ183" s="209"/>
      <c r="AK183" s="209"/>
      <c r="AL183" s="209" t="s">
        <v>369</v>
      </c>
      <c r="AM183" s="209" t="s">
        <v>369</v>
      </c>
      <c r="AN183" s="209" t="s">
        <v>369</v>
      </c>
      <c r="AO183" s="209" t="s">
        <v>97</v>
      </c>
      <c r="AP183" s="209" t="s">
        <v>369</v>
      </c>
      <c r="AR183" s="209"/>
      <c r="AS183" s="209"/>
      <c r="AT183" s="209"/>
      <c r="AU183" s="209"/>
      <c r="AV183" s="209"/>
      <c r="AW183" s="209"/>
      <c r="AX183" s="209"/>
      <c r="AY183" s="209"/>
      <c r="AZ183" s="209"/>
      <c r="BA183" s="209" t="s">
        <v>97</v>
      </c>
      <c r="BB183" s="225"/>
      <c r="BC183" s="225"/>
      <c r="BD183" s="225"/>
      <c r="BE183" s="209"/>
      <c r="BF183" s="209"/>
      <c r="BG183" s="209"/>
      <c r="BH183" s="209"/>
      <c r="BI183" s="209"/>
      <c r="BJ183" s="209"/>
      <c r="BK183" s="209"/>
      <c r="BL183" s="209"/>
      <c r="BM183" s="209"/>
      <c r="BN183" s="209"/>
      <c r="BO183" s="209"/>
      <c r="BP183" s="209"/>
      <c r="BQ183" s="225"/>
      <c r="BR183" s="209"/>
    </row>
    <row r="184" ht="32" customHeight="1" spans="1:70">
      <c r="A184" s="189">
        <v>182</v>
      </c>
      <c r="B184" s="209" t="s">
        <v>1057</v>
      </c>
      <c r="C184" s="209" t="s">
        <v>956</v>
      </c>
      <c r="D184" s="209" t="s">
        <v>1058</v>
      </c>
      <c r="E184" s="209" t="s">
        <v>205</v>
      </c>
      <c r="F184" s="207" t="s">
        <v>80</v>
      </c>
      <c r="G184" s="209"/>
      <c r="H184" s="209"/>
      <c r="I184" s="207">
        <v>5000</v>
      </c>
      <c r="J184" s="209" t="s">
        <v>1059</v>
      </c>
      <c r="K184" s="209">
        <v>18651209181</v>
      </c>
      <c r="L184" s="209"/>
      <c r="M184" s="209" t="s">
        <v>1060</v>
      </c>
      <c r="N184" s="209"/>
      <c r="O184" s="209" t="s">
        <v>1061</v>
      </c>
      <c r="P184" s="209"/>
      <c r="Q184" s="209"/>
      <c r="R184" s="209" t="s">
        <v>1062</v>
      </c>
      <c r="S184" s="207"/>
      <c r="T184" s="209"/>
      <c r="U184" s="209"/>
      <c r="V184" s="209"/>
      <c r="W184" s="209"/>
      <c r="X184" s="209"/>
      <c r="Y184" s="209" t="s">
        <v>84</v>
      </c>
      <c r="Z184" s="209"/>
      <c r="AA184" s="207" t="s">
        <v>85</v>
      </c>
      <c r="AB184" s="207" t="s">
        <v>86</v>
      </c>
      <c r="AC184" s="209" t="s">
        <v>96</v>
      </c>
      <c r="AD184" s="209" t="s">
        <v>502</v>
      </c>
      <c r="AE184" s="225"/>
      <c r="AF184" s="209"/>
      <c r="AG184" s="209"/>
      <c r="AH184" s="209"/>
      <c r="AI184" s="209" t="s">
        <v>369</v>
      </c>
      <c r="AJ184" s="209"/>
      <c r="AK184" s="209"/>
      <c r="AL184" s="209" t="s">
        <v>369</v>
      </c>
      <c r="AM184" s="209" t="s">
        <v>369</v>
      </c>
      <c r="AN184" s="209" t="s">
        <v>369</v>
      </c>
      <c r="AO184" s="209" t="s">
        <v>97</v>
      </c>
      <c r="AP184" s="209" t="s">
        <v>369</v>
      </c>
      <c r="AR184" s="209"/>
      <c r="AS184" s="209"/>
      <c r="AT184" s="209"/>
      <c r="AU184" s="209"/>
      <c r="AV184" s="209"/>
      <c r="AW184" s="209"/>
      <c r="AX184" s="209"/>
      <c r="AY184" s="209"/>
      <c r="AZ184" s="209"/>
      <c r="BA184" s="209" t="s">
        <v>97</v>
      </c>
      <c r="BB184" s="225"/>
      <c r="BC184" s="225"/>
      <c r="BD184" s="225"/>
      <c r="BE184" s="209"/>
      <c r="BF184" s="209"/>
      <c r="BG184" s="209"/>
      <c r="BH184" s="209"/>
      <c r="BI184" s="209"/>
      <c r="BJ184" s="209"/>
      <c r="BK184" s="209"/>
      <c r="BL184" s="209"/>
      <c r="BM184" s="209"/>
      <c r="BN184" s="209"/>
      <c r="BO184" s="209"/>
      <c r="BP184" s="209"/>
      <c r="BQ184" s="225"/>
      <c r="BR184" s="209"/>
    </row>
    <row r="185" ht="32" customHeight="1" spans="1:70">
      <c r="A185" s="189">
        <v>183</v>
      </c>
      <c r="B185" s="209" t="s">
        <v>1063</v>
      </c>
      <c r="C185" s="209" t="s">
        <v>956</v>
      </c>
      <c r="D185" s="209" t="s">
        <v>1064</v>
      </c>
      <c r="E185" s="209"/>
      <c r="F185" s="207" t="s">
        <v>80</v>
      </c>
      <c r="G185" s="209" t="s">
        <v>1065</v>
      </c>
      <c r="H185" s="209">
        <v>1369</v>
      </c>
      <c r="I185" s="209" t="s">
        <v>479</v>
      </c>
      <c r="J185" s="209" t="s">
        <v>1066</v>
      </c>
      <c r="K185" s="209">
        <v>13961487696</v>
      </c>
      <c r="L185" s="241" t="s">
        <v>1067</v>
      </c>
      <c r="M185" s="209" t="s">
        <v>1068</v>
      </c>
      <c r="N185" s="209"/>
      <c r="O185" s="209" t="s">
        <v>1069</v>
      </c>
      <c r="P185" s="209" t="s">
        <v>1070</v>
      </c>
      <c r="Q185" s="209" t="s">
        <v>95</v>
      </c>
      <c r="R185" s="209" t="s">
        <v>1071</v>
      </c>
      <c r="S185" s="207"/>
      <c r="T185" s="209"/>
      <c r="U185" s="209"/>
      <c r="V185" s="209"/>
      <c r="W185" s="209"/>
      <c r="X185" s="209"/>
      <c r="Y185" s="209" t="s">
        <v>84</v>
      </c>
      <c r="Z185" s="209"/>
      <c r="AA185" s="207" t="s">
        <v>85</v>
      </c>
      <c r="AB185" s="207" t="s">
        <v>86</v>
      </c>
      <c r="AC185" s="209" t="s">
        <v>96</v>
      </c>
      <c r="AD185" s="209" t="s">
        <v>1072</v>
      </c>
      <c r="AE185" s="225"/>
      <c r="AF185" s="209"/>
      <c r="AG185" s="209"/>
      <c r="AH185" s="209"/>
      <c r="AI185" s="209"/>
      <c r="AJ185" s="209"/>
      <c r="AK185" s="209"/>
      <c r="AL185" s="209" t="s">
        <v>504</v>
      </c>
      <c r="AM185" s="209" t="s">
        <v>504</v>
      </c>
      <c r="AN185" s="209" t="s">
        <v>1073</v>
      </c>
      <c r="AO185" s="209" t="s">
        <v>1074</v>
      </c>
      <c r="AP185" s="209" t="s">
        <v>85</v>
      </c>
      <c r="AR185" s="209"/>
      <c r="AS185" s="207" t="s">
        <v>85</v>
      </c>
      <c r="AT185" s="207" t="s">
        <v>85</v>
      </c>
      <c r="AU185" s="205" t="s">
        <v>85</v>
      </c>
      <c r="AV185" s="207" t="s">
        <v>85</v>
      </c>
      <c r="AW185" s="205" t="s">
        <v>85</v>
      </c>
      <c r="AX185" s="207" t="s">
        <v>85</v>
      </c>
      <c r="AY185" s="209"/>
      <c r="AZ185" s="209" t="s">
        <v>85</v>
      </c>
      <c r="BA185" s="209" t="s">
        <v>369</v>
      </c>
      <c r="BB185" s="225"/>
      <c r="BC185" s="225"/>
      <c r="BD185" s="225"/>
      <c r="BE185" s="209"/>
      <c r="BF185" s="209"/>
      <c r="BG185" s="209"/>
      <c r="BH185" s="209"/>
      <c r="BI185" s="209"/>
      <c r="BJ185" s="209"/>
      <c r="BK185" s="209"/>
      <c r="BL185" s="209"/>
      <c r="BM185" s="209"/>
      <c r="BN185" s="209"/>
      <c r="BO185" s="209"/>
      <c r="BP185" s="209"/>
      <c r="BQ185" s="225"/>
      <c r="BR185" s="207" t="s">
        <v>100</v>
      </c>
    </row>
    <row r="186" ht="32" customHeight="1" spans="1:70">
      <c r="A186" s="189">
        <v>184</v>
      </c>
      <c r="B186" s="209" t="s">
        <v>1075</v>
      </c>
      <c r="C186" s="209" t="s">
        <v>956</v>
      </c>
      <c r="D186" s="209" t="s">
        <v>1076</v>
      </c>
      <c r="E186" s="209" t="s">
        <v>282</v>
      </c>
      <c r="F186" s="207" t="s">
        <v>80</v>
      </c>
      <c r="G186" s="209" t="s">
        <v>1077</v>
      </c>
      <c r="H186" s="242" t="s">
        <v>1006</v>
      </c>
      <c r="I186" s="207">
        <v>5000</v>
      </c>
      <c r="J186" s="209" t="s">
        <v>1078</v>
      </c>
      <c r="K186" s="209">
        <v>18015035688</v>
      </c>
      <c r="L186" s="209"/>
      <c r="M186" s="209" t="s">
        <v>1079</v>
      </c>
      <c r="N186" s="209"/>
      <c r="O186" s="209" t="s">
        <v>1080</v>
      </c>
      <c r="P186" s="209" t="s">
        <v>1081</v>
      </c>
      <c r="Q186" s="209" t="s">
        <v>1082</v>
      </c>
      <c r="R186" s="209" t="s">
        <v>116</v>
      </c>
      <c r="S186" s="207"/>
      <c r="T186" s="209"/>
      <c r="U186" s="209"/>
      <c r="V186" s="209"/>
      <c r="W186" s="209"/>
      <c r="X186" s="209"/>
      <c r="Y186" s="209"/>
      <c r="Z186" s="209"/>
      <c r="AA186" s="207" t="s">
        <v>85</v>
      </c>
      <c r="AB186" s="207" t="s">
        <v>86</v>
      </c>
      <c r="AC186" s="207" t="s">
        <v>96</v>
      </c>
      <c r="AD186" s="209" t="s">
        <v>1083</v>
      </c>
      <c r="AE186" s="225"/>
      <c r="AF186" s="209"/>
      <c r="AG186" s="209"/>
      <c r="AH186" s="209"/>
      <c r="AI186" s="209"/>
      <c r="AJ186" s="209"/>
      <c r="AK186" s="209"/>
      <c r="AL186" s="209"/>
      <c r="AM186" s="209"/>
      <c r="AN186" s="209"/>
      <c r="AO186" s="209" t="s">
        <v>369</v>
      </c>
      <c r="AP186" s="209" t="s">
        <v>369</v>
      </c>
      <c r="AR186" s="209"/>
      <c r="AS186" s="209"/>
      <c r="AT186" s="209"/>
      <c r="AU186" s="209"/>
      <c r="AV186" s="209"/>
      <c r="AW186" s="209"/>
      <c r="AX186" s="209"/>
      <c r="AY186" s="209"/>
      <c r="AZ186" s="209"/>
      <c r="BA186" s="209" t="s">
        <v>369</v>
      </c>
      <c r="BB186" s="225"/>
      <c r="BC186" s="225"/>
      <c r="BD186" s="225"/>
      <c r="BE186" s="209"/>
      <c r="BF186" s="209"/>
      <c r="BG186" s="209"/>
      <c r="BH186" s="209"/>
      <c r="BI186" s="209"/>
      <c r="BJ186" s="209"/>
      <c r="BK186" s="209"/>
      <c r="BL186" s="209"/>
      <c r="BM186" s="209"/>
      <c r="BN186" s="209"/>
      <c r="BO186" s="209"/>
      <c r="BP186" s="209"/>
      <c r="BQ186" s="225"/>
      <c r="BR186" s="209"/>
    </row>
    <row r="187" ht="32" customHeight="1" spans="1:70">
      <c r="A187" s="189">
        <v>185</v>
      </c>
      <c r="B187" s="209" t="s">
        <v>1084</v>
      </c>
      <c r="C187" s="209" t="s">
        <v>956</v>
      </c>
      <c r="D187" s="209" t="s">
        <v>1085</v>
      </c>
      <c r="E187" s="209" t="s">
        <v>223</v>
      </c>
      <c r="F187" s="209" t="s">
        <v>310</v>
      </c>
      <c r="G187" s="209" t="s">
        <v>520</v>
      </c>
      <c r="H187" s="209">
        <v>250</v>
      </c>
      <c r="I187" s="207">
        <v>5000</v>
      </c>
      <c r="J187" s="209" t="s">
        <v>1086</v>
      </c>
      <c r="K187" s="209">
        <v>13357898855</v>
      </c>
      <c r="L187" s="209" t="s">
        <v>1087</v>
      </c>
      <c r="M187" s="209" t="s">
        <v>1088</v>
      </c>
      <c r="N187" s="209" t="s">
        <v>1089</v>
      </c>
      <c r="O187" s="209" t="s">
        <v>1090</v>
      </c>
      <c r="P187" s="209"/>
      <c r="Q187" s="209" t="s">
        <v>1091</v>
      </c>
      <c r="R187" s="209" t="s">
        <v>116</v>
      </c>
      <c r="S187" s="207"/>
      <c r="T187" s="209"/>
      <c r="U187" s="209"/>
      <c r="V187" s="209"/>
      <c r="W187" s="209"/>
      <c r="X187" s="209"/>
      <c r="Y187" s="209"/>
      <c r="Z187" s="209"/>
      <c r="AA187" s="207" t="s">
        <v>85</v>
      </c>
      <c r="AB187" s="207" t="s">
        <v>86</v>
      </c>
      <c r="AC187" s="207" t="s">
        <v>96</v>
      </c>
      <c r="AD187" s="209">
        <v>26000</v>
      </c>
      <c r="AE187" s="225"/>
      <c r="AF187" s="209"/>
      <c r="AG187" s="209"/>
      <c r="AH187" s="209"/>
      <c r="AI187" s="209" t="s">
        <v>1027</v>
      </c>
      <c r="AJ187" s="209"/>
      <c r="AK187" s="209"/>
      <c r="AL187" s="209">
        <v>8</v>
      </c>
      <c r="AM187" s="209" t="s">
        <v>85</v>
      </c>
      <c r="AN187" s="209" t="s">
        <v>369</v>
      </c>
      <c r="AO187" s="209" t="s">
        <v>97</v>
      </c>
      <c r="AP187" s="209" t="s">
        <v>97</v>
      </c>
      <c r="AR187" s="209"/>
      <c r="AS187" s="209"/>
      <c r="AT187" s="209"/>
      <c r="AU187" s="209"/>
      <c r="AV187" s="209"/>
      <c r="AW187" s="209"/>
      <c r="AX187" s="207" t="s">
        <v>85</v>
      </c>
      <c r="AY187" s="209"/>
      <c r="AZ187" s="209" t="s">
        <v>85</v>
      </c>
      <c r="BA187" s="209" t="s">
        <v>369</v>
      </c>
      <c r="BB187" s="225"/>
      <c r="BC187" s="225"/>
      <c r="BD187" s="225"/>
      <c r="BE187" s="209"/>
      <c r="BF187" s="209"/>
      <c r="BG187" s="209"/>
      <c r="BH187" s="209"/>
      <c r="BI187" s="209"/>
      <c r="BJ187" s="209"/>
      <c r="BK187" s="209"/>
      <c r="BL187" s="209"/>
      <c r="BM187" s="209"/>
      <c r="BN187" s="209"/>
      <c r="BO187" s="209"/>
      <c r="BP187" s="209"/>
      <c r="BQ187" s="225"/>
      <c r="BR187" s="209" t="s">
        <v>1092</v>
      </c>
    </row>
    <row r="188" ht="32" customHeight="1" spans="1:70">
      <c r="A188" s="189">
        <v>186</v>
      </c>
      <c r="B188" s="209" t="s">
        <v>1093</v>
      </c>
      <c r="C188" s="209" t="s">
        <v>956</v>
      </c>
      <c r="D188" s="209" t="s">
        <v>1094</v>
      </c>
      <c r="E188" s="209" t="s">
        <v>348</v>
      </c>
      <c r="F188" s="207" t="s">
        <v>80</v>
      </c>
      <c r="G188" s="209" t="s">
        <v>1095</v>
      </c>
      <c r="H188" s="209"/>
      <c r="I188" s="207">
        <v>5000</v>
      </c>
      <c r="J188" s="209" t="s">
        <v>1096</v>
      </c>
      <c r="K188" s="209">
        <v>15161139261</v>
      </c>
      <c r="L188" s="209" t="s">
        <v>1097</v>
      </c>
      <c r="M188" s="209" t="s">
        <v>1098</v>
      </c>
      <c r="N188" s="209"/>
      <c r="O188" s="209"/>
      <c r="P188" s="209" t="s">
        <v>1099</v>
      </c>
      <c r="Q188" s="209"/>
      <c r="R188" s="209" t="s">
        <v>116</v>
      </c>
      <c r="S188" s="207"/>
      <c r="T188" s="209"/>
      <c r="U188" s="209"/>
      <c r="V188" s="209"/>
      <c r="W188" s="209"/>
      <c r="X188" s="209"/>
      <c r="Y188" s="209"/>
      <c r="Z188" s="209"/>
      <c r="AA188" s="207" t="s">
        <v>85</v>
      </c>
      <c r="AB188" s="207" t="s">
        <v>86</v>
      </c>
      <c r="AC188" s="207" t="s">
        <v>96</v>
      </c>
      <c r="AD188" s="209" t="s">
        <v>1100</v>
      </c>
      <c r="AE188" s="225"/>
      <c r="AF188" s="209"/>
      <c r="AG188" s="209"/>
      <c r="AH188" s="209"/>
      <c r="AI188" s="209"/>
      <c r="AJ188" s="209"/>
      <c r="AK188" s="209"/>
      <c r="AL188" s="209"/>
      <c r="AM188" s="209"/>
      <c r="AN188" s="209"/>
      <c r="AO188" s="209"/>
      <c r="AP188" s="209"/>
      <c r="AR188" s="209"/>
      <c r="AS188" s="209"/>
      <c r="AT188" s="209"/>
      <c r="AU188" s="209"/>
      <c r="AV188" s="209"/>
      <c r="AW188" s="209"/>
      <c r="AX188" s="209"/>
      <c r="AY188" s="209"/>
      <c r="AZ188" s="209"/>
      <c r="BA188" s="209"/>
      <c r="BB188" s="225"/>
      <c r="BC188" s="225"/>
      <c r="BD188" s="225"/>
      <c r="BE188" s="209"/>
      <c r="BF188" s="209"/>
      <c r="BG188" s="209"/>
      <c r="BH188" s="209"/>
      <c r="BI188" s="209"/>
      <c r="BJ188" s="209"/>
      <c r="BK188" s="209"/>
      <c r="BL188" s="209"/>
      <c r="BM188" s="209"/>
      <c r="BN188" s="209"/>
      <c r="BO188" s="209"/>
      <c r="BP188" s="209"/>
      <c r="BQ188" s="225"/>
      <c r="BR188" s="209"/>
    </row>
    <row r="189" ht="32" customHeight="1" spans="1:70">
      <c r="A189" s="189">
        <v>187</v>
      </c>
      <c r="B189" s="209" t="s">
        <v>1101</v>
      </c>
      <c r="C189" s="209" t="s">
        <v>956</v>
      </c>
      <c r="D189" s="209" t="s">
        <v>1102</v>
      </c>
      <c r="E189" s="209" t="s">
        <v>1103</v>
      </c>
      <c r="F189" s="207" t="s">
        <v>80</v>
      </c>
      <c r="G189" s="209" t="s">
        <v>790</v>
      </c>
      <c r="H189" s="242" t="s">
        <v>1104</v>
      </c>
      <c r="I189" s="207">
        <v>5000</v>
      </c>
      <c r="J189" s="209" t="s">
        <v>1105</v>
      </c>
      <c r="K189" s="209">
        <v>13961129289</v>
      </c>
      <c r="L189" s="209"/>
      <c r="M189" s="209" t="s">
        <v>745</v>
      </c>
      <c r="N189" s="209" t="s">
        <v>1106</v>
      </c>
      <c r="O189" s="209" t="s">
        <v>1107</v>
      </c>
      <c r="P189" s="209"/>
      <c r="Q189" s="209"/>
      <c r="R189" s="209" t="s">
        <v>116</v>
      </c>
      <c r="S189" s="207"/>
      <c r="T189" s="209"/>
      <c r="U189" s="209"/>
      <c r="V189" s="209"/>
      <c r="W189" s="209"/>
      <c r="X189" s="209"/>
      <c r="Y189" s="209" t="s">
        <v>84</v>
      </c>
      <c r="Z189" s="209"/>
      <c r="AA189" s="207" t="s">
        <v>85</v>
      </c>
      <c r="AB189" s="207" t="s">
        <v>86</v>
      </c>
      <c r="AC189" s="207" t="s">
        <v>96</v>
      </c>
      <c r="AD189" s="209" t="s">
        <v>502</v>
      </c>
      <c r="AE189" s="225"/>
      <c r="AF189" s="209"/>
      <c r="AG189" s="209"/>
      <c r="AH189" s="209"/>
      <c r="AI189" s="209" t="s">
        <v>538</v>
      </c>
      <c r="AJ189" s="209"/>
      <c r="AK189" s="209"/>
      <c r="AL189" s="209"/>
      <c r="AM189" s="209"/>
      <c r="AN189" s="209"/>
      <c r="AO189" s="209"/>
      <c r="AP189" s="209"/>
      <c r="AR189" s="209"/>
      <c r="AS189" s="209"/>
      <c r="AT189" s="209"/>
      <c r="AU189" s="209"/>
      <c r="AV189" s="209"/>
      <c r="AW189" s="209"/>
      <c r="AX189" s="209"/>
      <c r="AY189" s="209"/>
      <c r="AZ189" s="209"/>
      <c r="BA189" s="209"/>
      <c r="BB189" s="225"/>
      <c r="BC189" s="225"/>
      <c r="BD189" s="225"/>
      <c r="BE189" s="209"/>
      <c r="BF189" s="209"/>
      <c r="BG189" s="209"/>
      <c r="BH189" s="209"/>
      <c r="BI189" s="209"/>
      <c r="BJ189" s="209"/>
      <c r="BK189" s="209"/>
      <c r="BL189" s="209"/>
      <c r="BM189" s="209"/>
      <c r="BN189" s="209"/>
      <c r="BO189" s="209"/>
      <c r="BP189" s="209"/>
      <c r="BQ189" s="225"/>
      <c r="BR189" s="209"/>
    </row>
    <row r="190" ht="32" customHeight="1" spans="1:70">
      <c r="A190" s="189">
        <v>188</v>
      </c>
      <c r="B190" s="209" t="s">
        <v>1108</v>
      </c>
      <c r="C190" s="209" t="s">
        <v>956</v>
      </c>
      <c r="D190" s="209" t="s">
        <v>1109</v>
      </c>
      <c r="E190" s="209"/>
      <c r="F190" s="209"/>
      <c r="G190" s="209" t="s">
        <v>1110</v>
      </c>
      <c r="H190" s="209">
        <v>170</v>
      </c>
      <c r="I190" s="209" t="s">
        <v>479</v>
      </c>
      <c r="J190" s="209" t="s">
        <v>1111</v>
      </c>
      <c r="K190" s="209"/>
      <c r="L190" s="209" t="s">
        <v>1112</v>
      </c>
      <c r="M190" s="209" t="s">
        <v>1113</v>
      </c>
      <c r="N190" s="209" t="s">
        <v>1114</v>
      </c>
      <c r="O190" s="209" t="s">
        <v>1115</v>
      </c>
      <c r="P190" s="209" t="s">
        <v>1116</v>
      </c>
      <c r="Q190" s="209" t="s">
        <v>448</v>
      </c>
      <c r="R190" s="209"/>
      <c r="S190" s="207"/>
      <c r="T190" s="209"/>
      <c r="U190" s="209"/>
      <c r="V190" s="209"/>
      <c r="W190" s="209"/>
      <c r="X190" s="209"/>
      <c r="Y190" s="209"/>
      <c r="Z190" s="209"/>
      <c r="AA190" s="209"/>
      <c r="AB190" s="209"/>
      <c r="AC190" s="209" t="s">
        <v>96</v>
      </c>
      <c r="AD190" s="209"/>
      <c r="AE190" s="225"/>
      <c r="AF190" s="209"/>
      <c r="AG190" s="209"/>
      <c r="AH190" s="209"/>
      <c r="AI190" s="209" t="s">
        <v>1117</v>
      </c>
      <c r="AJ190" s="209"/>
      <c r="AK190" s="209"/>
      <c r="AL190" s="209" t="s">
        <v>369</v>
      </c>
      <c r="AM190" s="209" t="s">
        <v>97</v>
      </c>
      <c r="AN190" s="209" t="s">
        <v>369</v>
      </c>
      <c r="AO190" s="209" t="s">
        <v>97</v>
      </c>
      <c r="AP190" s="209" t="s">
        <v>97</v>
      </c>
      <c r="AR190" s="209"/>
      <c r="AS190" s="209"/>
      <c r="AT190" s="209"/>
      <c r="AU190" s="209"/>
      <c r="AV190" s="209"/>
      <c r="AW190" s="209"/>
      <c r="AX190" s="209"/>
      <c r="AY190" s="209"/>
      <c r="AZ190" s="209"/>
      <c r="BA190" s="209" t="s">
        <v>369</v>
      </c>
      <c r="BB190" s="225"/>
      <c r="BC190" s="225"/>
      <c r="BD190" s="225"/>
      <c r="BE190" s="209"/>
      <c r="BF190" s="209"/>
      <c r="BG190" s="209"/>
      <c r="BH190" s="209"/>
      <c r="BI190" s="209"/>
      <c r="BJ190" s="209"/>
      <c r="BK190" s="209"/>
      <c r="BL190" s="209"/>
      <c r="BM190" s="209"/>
      <c r="BN190" s="209"/>
      <c r="BO190" s="209"/>
      <c r="BP190" s="209"/>
      <c r="BQ190" s="225"/>
      <c r="BR190" s="209"/>
    </row>
    <row r="191" ht="32" customHeight="1" spans="1:70">
      <c r="A191" s="189">
        <v>189</v>
      </c>
      <c r="B191" s="209" t="s">
        <v>1118</v>
      </c>
      <c r="C191" s="209" t="s">
        <v>956</v>
      </c>
      <c r="D191" s="209" t="s">
        <v>1119</v>
      </c>
      <c r="E191" s="209" t="s">
        <v>348</v>
      </c>
      <c r="F191" s="209" t="s">
        <v>310</v>
      </c>
      <c r="G191" s="209"/>
      <c r="H191" s="209">
        <v>70</v>
      </c>
      <c r="I191" s="207">
        <v>5000</v>
      </c>
      <c r="J191" s="209" t="s">
        <v>1120</v>
      </c>
      <c r="K191" s="209">
        <v>18068505395</v>
      </c>
      <c r="L191" s="209"/>
      <c r="M191" s="209" t="s">
        <v>1121</v>
      </c>
      <c r="N191" s="209"/>
      <c r="O191" s="209"/>
      <c r="P191" s="209"/>
      <c r="Q191" s="209"/>
      <c r="R191" s="209" t="s">
        <v>116</v>
      </c>
      <c r="S191" s="207"/>
      <c r="T191" s="209"/>
      <c r="U191" s="209"/>
      <c r="V191" s="209"/>
      <c r="W191" s="209"/>
      <c r="X191" s="209"/>
      <c r="Y191" s="209" t="s">
        <v>1122</v>
      </c>
      <c r="Z191" s="207" t="s">
        <v>85</v>
      </c>
      <c r="AA191" s="207" t="s">
        <v>85</v>
      </c>
      <c r="AB191" s="209"/>
      <c r="AC191" s="209" t="s">
        <v>96</v>
      </c>
      <c r="AD191" s="209" t="s">
        <v>1123</v>
      </c>
      <c r="AE191" s="225"/>
      <c r="AF191" s="209"/>
      <c r="AG191" s="209"/>
      <c r="AH191" s="209"/>
      <c r="AI191" s="209" t="s">
        <v>538</v>
      </c>
      <c r="AJ191" s="209"/>
      <c r="AK191" s="209"/>
      <c r="AL191" s="209">
        <v>30</v>
      </c>
      <c r="AM191" s="209" t="s">
        <v>97</v>
      </c>
      <c r="AN191" s="209" t="s">
        <v>1124</v>
      </c>
      <c r="AO191" s="209"/>
      <c r="AP191" s="209"/>
      <c r="AR191" s="209"/>
      <c r="AS191" s="209"/>
      <c r="AT191" s="209"/>
      <c r="AU191" s="205" t="s">
        <v>85</v>
      </c>
      <c r="AV191" s="209"/>
      <c r="AW191" s="209"/>
      <c r="AX191" s="209"/>
      <c r="AY191" s="209"/>
      <c r="AZ191" s="209"/>
      <c r="BA191" s="209" t="s">
        <v>369</v>
      </c>
      <c r="BB191" s="225"/>
      <c r="BC191" s="225"/>
      <c r="BD191" s="225"/>
      <c r="BE191" s="209"/>
      <c r="BF191" s="209"/>
      <c r="BG191" s="209"/>
      <c r="BH191" s="209"/>
      <c r="BI191" s="209"/>
      <c r="BJ191" s="209"/>
      <c r="BK191" s="209"/>
      <c r="BL191" s="209"/>
      <c r="BM191" s="209"/>
      <c r="BN191" s="209"/>
      <c r="BO191" s="209"/>
      <c r="BP191" s="209"/>
      <c r="BQ191" s="225"/>
      <c r="BR191" s="209"/>
    </row>
    <row r="192" ht="32" customHeight="1" spans="1:70">
      <c r="A192" s="189">
        <v>190</v>
      </c>
      <c r="B192" s="209" t="s">
        <v>1125</v>
      </c>
      <c r="C192" s="209" t="s">
        <v>956</v>
      </c>
      <c r="D192" s="209" t="s">
        <v>1126</v>
      </c>
      <c r="E192" s="209">
        <v>1989</v>
      </c>
      <c r="F192" s="207" t="s">
        <v>80</v>
      </c>
      <c r="G192" s="209" t="s">
        <v>520</v>
      </c>
      <c r="H192" s="209">
        <v>80</v>
      </c>
      <c r="I192" s="207">
        <v>5000</v>
      </c>
      <c r="J192" s="209" t="s">
        <v>1127</v>
      </c>
      <c r="K192" s="209">
        <v>13401641464</v>
      </c>
      <c r="L192" s="209" t="s">
        <v>1128</v>
      </c>
      <c r="M192" s="209" t="s">
        <v>1129</v>
      </c>
      <c r="N192" s="209"/>
      <c r="O192" s="209" t="s">
        <v>1130</v>
      </c>
      <c r="P192" s="209" t="s">
        <v>1131</v>
      </c>
      <c r="Q192" s="209" t="s">
        <v>448</v>
      </c>
      <c r="R192" s="209" t="s">
        <v>116</v>
      </c>
      <c r="S192" s="207"/>
      <c r="T192" s="209"/>
      <c r="U192" s="209"/>
      <c r="V192" s="209"/>
      <c r="W192" s="209"/>
      <c r="X192" s="209"/>
      <c r="Y192" s="209" t="s">
        <v>84</v>
      </c>
      <c r="Z192" s="209"/>
      <c r="AA192" s="207" t="s">
        <v>85</v>
      </c>
      <c r="AB192" s="207" t="s">
        <v>128</v>
      </c>
      <c r="AC192" s="207" t="s">
        <v>96</v>
      </c>
      <c r="AD192" s="209" t="s">
        <v>255</v>
      </c>
      <c r="AE192" s="225"/>
      <c r="AF192" s="209"/>
      <c r="AG192" s="209"/>
      <c r="AH192" s="209"/>
      <c r="AI192" s="209"/>
      <c r="AJ192" s="209"/>
      <c r="AK192" s="209"/>
      <c r="AL192" s="209"/>
      <c r="AM192" s="209"/>
      <c r="AN192" s="209"/>
      <c r="AO192" s="209"/>
      <c r="AP192" s="209"/>
      <c r="AR192" s="209"/>
      <c r="AS192" s="209"/>
      <c r="AT192" s="209"/>
      <c r="AU192" s="209"/>
      <c r="AV192" s="209"/>
      <c r="AW192" s="209"/>
      <c r="AX192" s="209"/>
      <c r="AY192" s="209"/>
      <c r="AZ192" s="209"/>
      <c r="BA192" s="209"/>
      <c r="BB192" s="225"/>
      <c r="BC192" s="225"/>
      <c r="BD192" s="225"/>
      <c r="BE192" s="209"/>
      <c r="BF192" s="209"/>
      <c r="BG192" s="209"/>
      <c r="BH192" s="209"/>
      <c r="BI192" s="209"/>
      <c r="BJ192" s="209"/>
      <c r="BK192" s="209"/>
      <c r="BL192" s="209"/>
      <c r="BM192" s="209"/>
      <c r="BN192" s="209"/>
      <c r="BO192" s="209"/>
      <c r="BP192" s="209"/>
      <c r="BQ192" s="225"/>
      <c r="BR192" s="209"/>
    </row>
    <row r="193" ht="32" customHeight="1" spans="1:70">
      <c r="A193" s="189">
        <v>191</v>
      </c>
      <c r="B193" s="209" t="s">
        <v>1132</v>
      </c>
      <c r="C193" s="209" t="s">
        <v>956</v>
      </c>
      <c r="D193" s="209" t="s">
        <v>1126</v>
      </c>
      <c r="E193" s="209">
        <v>2000</v>
      </c>
      <c r="F193" s="207" t="s">
        <v>80</v>
      </c>
      <c r="G193" s="209" t="s">
        <v>520</v>
      </c>
      <c r="H193" s="209">
        <v>50</v>
      </c>
      <c r="I193" s="207">
        <v>2500</v>
      </c>
      <c r="J193" s="209" t="s">
        <v>1127</v>
      </c>
      <c r="K193" s="209">
        <v>13401641464</v>
      </c>
      <c r="L193" s="209" t="s">
        <v>1128</v>
      </c>
      <c r="M193" s="209" t="s">
        <v>1133</v>
      </c>
      <c r="N193" s="209"/>
      <c r="O193" s="209" t="s">
        <v>666</v>
      </c>
      <c r="P193" s="209" t="s">
        <v>1131</v>
      </c>
      <c r="Q193" s="207"/>
      <c r="R193" s="209" t="s">
        <v>146</v>
      </c>
      <c r="S193" s="207"/>
      <c r="T193" s="209"/>
      <c r="U193" s="209"/>
      <c r="V193" s="209"/>
      <c r="W193" s="209"/>
      <c r="X193" s="209"/>
      <c r="Y193" s="209" t="s">
        <v>84</v>
      </c>
      <c r="Z193" s="209"/>
      <c r="AA193" s="207" t="s">
        <v>85</v>
      </c>
      <c r="AB193" s="207" t="s">
        <v>128</v>
      </c>
      <c r="AC193" s="207" t="s">
        <v>96</v>
      </c>
      <c r="AD193" s="209" t="s">
        <v>527</v>
      </c>
      <c r="AE193" s="225"/>
      <c r="AF193" s="209"/>
      <c r="AG193" s="209"/>
      <c r="AH193" s="209"/>
      <c r="AI193" s="209"/>
      <c r="AJ193" s="209"/>
      <c r="AK193" s="209"/>
      <c r="AL193" s="209"/>
      <c r="AM193" s="209"/>
      <c r="AN193" s="209"/>
      <c r="AO193" s="209"/>
      <c r="AP193" s="209"/>
      <c r="AR193" s="209"/>
      <c r="AS193" s="209"/>
      <c r="AT193" s="209"/>
      <c r="AU193" s="209"/>
      <c r="AV193" s="209"/>
      <c r="AW193" s="209"/>
      <c r="AX193" s="209"/>
      <c r="AY193" s="209"/>
      <c r="AZ193" s="209"/>
      <c r="BA193" s="209"/>
      <c r="BB193" s="225"/>
      <c r="BC193" s="225"/>
      <c r="BD193" s="225"/>
      <c r="BE193" s="209"/>
      <c r="BF193" s="209"/>
      <c r="BG193" s="209"/>
      <c r="BH193" s="209"/>
      <c r="BI193" s="209"/>
      <c r="BJ193" s="209"/>
      <c r="BK193" s="209"/>
      <c r="BL193" s="209"/>
      <c r="BM193" s="209"/>
      <c r="BN193" s="209"/>
      <c r="BO193" s="209"/>
      <c r="BP193" s="209"/>
      <c r="BQ193" s="225"/>
      <c r="BR193" s="209"/>
    </row>
    <row r="194" ht="32" customHeight="1" spans="1:70">
      <c r="A194" s="189">
        <v>192</v>
      </c>
      <c r="B194" s="209" t="s">
        <v>1134</v>
      </c>
      <c r="C194" s="209" t="s">
        <v>956</v>
      </c>
      <c r="D194" s="209" t="s">
        <v>1135</v>
      </c>
      <c r="E194" s="209" t="s">
        <v>348</v>
      </c>
      <c r="F194" s="209"/>
      <c r="G194" s="209" t="s">
        <v>520</v>
      </c>
      <c r="H194" s="209">
        <v>23</v>
      </c>
      <c r="I194" s="207">
        <v>2500</v>
      </c>
      <c r="J194" s="209" t="s">
        <v>1136</v>
      </c>
      <c r="K194" s="209">
        <v>13914343991</v>
      </c>
      <c r="L194" s="209"/>
      <c r="M194" s="209" t="s">
        <v>1137</v>
      </c>
      <c r="N194" s="209" t="s">
        <v>1138</v>
      </c>
      <c r="O194" s="209"/>
      <c r="P194" s="209"/>
      <c r="Q194" s="209" t="s">
        <v>448</v>
      </c>
      <c r="R194" s="209"/>
      <c r="S194" s="207"/>
      <c r="T194" s="209"/>
      <c r="U194" s="209"/>
      <c r="V194" s="209"/>
      <c r="W194" s="209"/>
      <c r="X194" s="209"/>
      <c r="Y194" s="209" t="s">
        <v>84</v>
      </c>
      <c r="Z194" s="209"/>
      <c r="AA194" s="207" t="s">
        <v>85</v>
      </c>
      <c r="AB194" s="207" t="s">
        <v>128</v>
      </c>
      <c r="AC194" s="207" t="s">
        <v>96</v>
      </c>
      <c r="AD194" s="209" t="s">
        <v>632</v>
      </c>
      <c r="AE194" s="225"/>
      <c r="AF194" s="209"/>
      <c r="AG194" s="209"/>
      <c r="AH194" s="209"/>
      <c r="AI194" s="209" t="s">
        <v>369</v>
      </c>
      <c r="AJ194" s="209"/>
      <c r="AK194" s="209"/>
      <c r="AL194" s="209" t="s">
        <v>369</v>
      </c>
      <c r="AM194" s="209" t="s">
        <v>369</v>
      </c>
      <c r="AN194" s="209"/>
      <c r="AO194" s="209"/>
      <c r="AP194" s="209"/>
      <c r="AR194" s="209"/>
      <c r="AS194" s="209"/>
      <c r="AT194" s="209"/>
      <c r="AU194" s="209"/>
      <c r="AV194" s="209"/>
      <c r="AW194" s="209"/>
      <c r="AX194" s="209"/>
      <c r="AY194" s="209"/>
      <c r="AZ194" s="209"/>
      <c r="BA194" s="209"/>
      <c r="BB194" s="225"/>
      <c r="BC194" s="225"/>
      <c r="BD194" s="225"/>
      <c r="BE194" s="209"/>
      <c r="BF194" s="209"/>
      <c r="BG194" s="209"/>
      <c r="BH194" s="209"/>
      <c r="BI194" s="209"/>
      <c r="BJ194" s="209"/>
      <c r="BK194" s="209"/>
      <c r="BL194" s="209"/>
      <c r="BM194" s="209"/>
      <c r="BN194" s="209"/>
      <c r="BO194" s="209"/>
      <c r="BP194" s="209"/>
      <c r="BQ194" s="225"/>
      <c r="BR194" s="209"/>
    </row>
    <row r="195" ht="32" customHeight="1" spans="1:70">
      <c r="A195" s="189">
        <v>193</v>
      </c>
      <c r="B195" s="209" t="s">
        <v>1139</v>
      </c>
      <c r="C195" s="209" t="s">
        <v>956</v>
      </c>
      <c r="D195" s="209" t="s">
        <v>1140</v>
      </c>
      <c r="E195" s="209"/>
      <c r="F195" s="207" t="s">
        <v>80</v>
      </c>
      <c r="G195" s="209" t="s">
        <v>520</v>
      </c>
      <c r="H195" s="209">
        <v>570</v>
      </c>
      <c r="I195" s="209" t="s">
        <v>479</v>
      </c>
      <c r="J195" s="209" t="s">
        <v>1141</v>
      </c>
      <c r="K195" s="209">
        <v>15995011898</v>
      </c>
      <c r="L195" s="209"/>
      <c r="M195" s="209" t="s">
        <v>1142</v>
      </c>
      <c r="N195" s="209" t="s">
        <v>1138</v>
      </c>
      <c r="O195" s="209"/>
      <c r="P195" s="209" t="s">
        <v>1143</v>
      </c>
      <c r="Q195" s="209" t="s">
        <v>1144</v>
      </c>
      <c r="R195" s="209" t="s">
        <v>116</v>
      </c>
      <c r="S195" s="207"/>
      <c r="T195" s="209"/>
      <c r="U195" s="209"/>
      <c r="V195" s="209"/>
      <c r="W195" s="209"/>
      <c r="X195" s="209"/>
      <c r="Y195" s="209" t="s">
        <v>84</v>
      </c>
      <c r="Z195" s="209"/>
      <c r="AA195" s="207" t="s">
        <v>85</v>
      </c>
      <c r="AB195" s="207" t="s">
        <v>128</v>
      </c>
      <c r="AC195" s="207" t="s">
        <v>96</v>
      </c>
      <c r="AD195" s="209" t="s">
        <v>1145</v>
      </c>
      <c r="AE195" s="225"/>
      <c r="AF195" s="209"/>
      <c r="AG195" s="209"/>
      <c r="AH195" s="209"/>
      <c r="AI195" s="209" t="s">
        <v>369</v>
      </c>
      <c r="AJ195" s="209"/>
      <c r="AK195" s="209"/>
      <c r="AL195" s="209" t="s">
        <v>369</v>
      </c>
      <c r="AM195" s="209" t="s">
        <v>369</v>
      </c>
      <c r="AN195" s="209" t="s">
        <v>369</v>
      </c>
      <c r="AO195" s="209" t="s">
        <v>369</v>
      </c>
      <c r="AP195" s="209" t="s">
        <v>369</v>
      </c>
      <c r="AR195" s="209"/>
      <c r="AS195" s="209"/>
      <c r="AT195" s="209"/>
      <c r="AU195" s="209"/>
      <c r="AV195" s="209"/>
      <c r="AW195" s="209"/>
      <c r="AX195" s="209"/>
      <c r="AY195" s="209"/>
      <c r="AZ195" s="209"/>
      <c r="BA195" s="209" t="s">
        <v>369</v>
      </c>
      <c r="BB195" s="225"/>
      <c r="BC195" s="225"/>
      <c r="BD195" s="225"/>
      <c r="BE195" s="209"/>
      <c r="BF195" s="209"/>
      <c r="BG195" s="209"/>
      <c r="BH195" s="209"/>
      <c r="BI195" s="209"/>
      <c r="BJ195" s="209"/>
      <c r="BK195" s="209"/>
      <c r="BL195" s="209"/>
      <c r="BM195" s="209"/>
      <c r="BN195" s="209"/>
      <c r="BO195" s="209"/>
      <c r="BP195" s="209"/>
      <c r="BQ195" s="225"/>
      <c r="BR195" s="209"/>
    </row>
    <row r="196" ht="32" customHeight="1" spans="1:70">
      <c r="A196" s="189">
        <v>194</v>
      </c>
      <c r="B196" s="209" t="s">
        <v>1146</v>
      </c>
      <c r="C196" s="209" t="s">
        <v>956</v>
      </c>
      <c r="D196" s="209" t="s">
        <v>1147</v>
      </c>
      <c r="E196" s="209" t="s">
        <v>290</v>
      </c>
      <c r="F196" s="207" t="s">
        <v>80</v>
      </c>
      <c r="G196" s="209" t="s">
        <v>1110</v>
      </c>
      <c r="H196" s="209"/>
      <c r="I196" s="207">
        <v>5000</v>
      </c>
      <c r="J196" s="209" t="s">
        <v>1148</v>
      </c>
      <c r="K196" s="209">
        <v>18817936232</v>
      </c>
      <c r="L196" s="209" t="s">
        <v>1149</v>
      </c>
      <c r="M196" s="209" t="s">
        <v>1150</v>
      </c>
      <c r="N196" s="209"/>
      <c r="O196" s="209" t="s">
        <v>1151</v>
      </c>
      <c r="P196" s="209" t="s">
        <v>1152</v>
      </c>
      <c r="Q196" s="209" t="s">
        <v>448</v>
      </c>
      <c r="R196" s="209"/>
      <c r="S196" s="207"/>
      <c r="T196" s="209"/>
      <c r="U196" s="209"/>
      <c r="V196" s="209"/>
      <c r="W196" s="209"/>
      <c r="X196" s="209"/>
      <c r="Y196" s="209"/>
      <c r="Z196" s="209"/>
      <c r="AA196" s="207" t="s">
        <v>85</v>
      </c>
      <c r="AB196" s="207" t="s">
        <v>86</v>
      </c>
      <c r="AC196" s="207" t="s">
        <v>96</v>
      </c>
      <c r="AD196" s="209"/>
      <c r="AE196" s="225"/>
      <c r="AF196" s="209"/>
      <c r="AG196" s="209"/>
      <c r="AH196" s="209"/>
      <c r="AI196" s="209"/>
      <c r="AJ196" s="209"/>
      <c r="AK196" s="209"/>
      <c r="AL196" s="209" t="s">
        <v>97</v>
      </c>
      <c r="AM196" s="209" t="s">
        <v>97</v>
      </c>
      <c r="AN196" s="209" t="s">
        <v>97</v>
      </c>
      <c r="AO196" s="209" t="s">
        <v>97</v>
      </c>
      <c r="AP196" s="209" t="s">
        <v>97</v>
      </c>
      <c r="AR196" s="209"/>
      <c r="AS196" s="209"/>
      <c r="AT196" s="209"/>
      <c r="AU196" s="209"/>
      <c r="AV196" s="209"/>
      <c r="AW196" s="209"/>
      <c r="AX196" s="209"/>
      <c r="AY196" s="209"/>
      <c r="AZ196" s="209"/>
      <c r="BA196" s="209" t="s">
        <v>97</v>
      </c>
      <c r="BB196" s="225"/>
      <c r="BC196" s="225"/>
      <c r="BD196" s="225"/>
      <c r="BE196" s="209"/>
      <c r="BF196" s="209"/>
      <c r="BG196" s="209"/>
      <c r="BH196" s="209"/>
      <c r="BI196" s="209"/>
      <c r="BJ196" s="209"/>
      <c r="BK196" s="209"/>
      <c r="BL196" s="209"/>
      <c r="BM196" s="209"/>
      <c r="BN196" s="209"/>
      <c r="BO196" s="209"/>
      <c r="BP196" s="209"/>
      <c r="BQ196" s="225"/>
      <c r="BR196" s="209"/>
    </row>
    <row r="197" ht="32" customHeight="1" spans="1:70">
      <c r="A197" s="189">
        <v>195</v>
      </c>
      <c r="B197" s="209" t="s">
        <v>1153</v>
      </c>
      <c r="C197" s="209" t="s">
        <v>956</v>
      </c>
      <c r="D197" s="209" t="s">
        <v>1154</v>
      </c>
      <c r="E197" s="209"/>
      <c r="F197" s="209"/>
      <c r="G197" s="209" t="s">
        <v>612</v>
      </c>
      <c r="H197" s="209">
        <v>48</v>
      </c>
      <c r="I197" s="209" t="s">
        <v>479</v>
      </c>
      <c r="J197" s="209" t="s">
        <v>1155</v>
      </c>
      <c r="K197" s="209">
        <v>15295113933</v>
      </c>
      <c r="L197" s="209"/>
      <c r="M197" s="209" t="s">
        <v>1156</v>
      </c>
      <c r="N197" s="209"/>
      <c r="O197" s="209"/>
      <c r="P197" s="209" t="s">
        <v>1157</v>
      </c>
      <c r="Q197" s="209"/>
      <c r="R197" s="209"/>
      <c r="S197" s="207"/>
      <c r="T197" s="209"/>
      <c r="U197" s="209"/>
      <c r="V197" s="209"/>
      <c r="W197" s="209"/>
      <c r="X197" s="209"/>
      <c r="Y197" s="209" t="s">
        <v>84</v>
      </c>
      <c r="Z197" s="207" t="s">
        <v>85</v>
      </c>
      <c r="AA197" s="207" t="s">
        <v>85</v>
      </c>
      <c r="AB197" s="207" t="s">
        <v>86</v>
      </c>
      <c r="AC197" s="207" t="s">
        <v>96</v>
      </c>
      <c r="AD197" s="209" t="s">
        <v>1158</v>
      </c>
      <c r="AE197" s="225"/>
      <c r="AF197" s="209"/>
      <c r="AG197" s="209"/>
      <c r="AH197" s="209"/>
      <c r="AI197" s="209" t="s">
        <v>538</v>
      </c>
      <c r="AJ197" s="209"/>
      <c r="AK197" s="209"/>
      <c r="AL197" s="209">
        <v>48</v>
      </c>
      <c r="AM197" s="209" t="s">
        <v>85</v>
      </c>
      <c r="AN197" s="209" t="s">
        <v>1159</v>
      </c>
      <c r="AO197" s="209"/>
      <c r="AP197" s="209" t="s">
        <v>97</v>
      </c>
      <c r="AR197" s="209"/>
      <c r="AS197" s="209"/>
      <c r="AT197" s="209"/>
      <c r="AU197" s="209"/>
      <c r="AV197" s="209"/>
      <c r="AW197" s="209"/>
      <c r="AX197" s="209"/>
      <c r="AY197" s="209"/>
      <c r="AZ197" s="209"/>
      <c r="BA197" s="209" t="s">
        <v>369</v>
      </c>
      <c r="BB197" s="225"/>
      <c r="BC197" s="225"/>
      <c r="BD197" s="225"/>
      <c r="BE197" s="209"/>
      <c r="BF197" s="209"/>
      <c r="BG197" s="209"/>
      <c r="BH197" s="209"/>
      <c r="BI197" s="209"/>
      <c r="BJ197" s="209"/>
      <c r="BK197" s="209"/>
      <c r="BL197" s="209"/>
      <c r="BM197" s="209"/>
      <c r="BN197" s="209"/>
      <c r="BO197" s="209"/>
      <c r="BP197" s="209"/>
      <c r="BQ197" s="225"/>
      <c r="BR197" s="209"/>
    </row>
    <row r="198" ht="32" customHeight="1" spans="1:70">
      <c r="A198" s="189">
        <v>196</v>
      </c>
      <c r="B198" s="209" t="s">
        <v>1160</v>
      </c>
      <c r="C198" s="209" t="s">
        <v>956</v>
      </c>
      <c r="D198" s="209" t="s">
        <v>1161</v>
      </c>
      <c r="E198" s="209"/>
      <c r="F198" s="209"/>
      <c r="G198" s="209" t="s">
        <v>612</v>
      </c>
      <c r="H198" s="209">
        <v>11</v>
      </c>
      <c r="I198" s="209" t="s">
        <v>510</v>
      </c>
      <c r="J198" s="209" t="s">
        <v>1155</v>
      </c>
      <c r="K198" s="209">
        <v>15295113933</v>
      </c>
      <c r="L198" s="209"/>
      <c r="M198" s="209" t="s">
        <v>1156</v>
      </c>
      <c r="N198" s="209"/>
      <c r="O198" s="209"/>
      <c r="P198" s="209" t="s">
        <v>1157</v>
      </c>
      <c r="Q198" s="209"/>
      <c r="R198" s="209"/>
      <c r="S198" s="207"/>
      <c r="T198" s="209"/>
      <c r="U198" s="209"/>
      <c r="V198" s="209"/>
      <c r="W198" s="209"/>
      <c r="X198" s="209"/>
      <c r="Y198" s="209" t="s">
        <v>84</v>
      </c>
      <c r="Z198" s="207" t="s">
        <v>85</v>
      </c>
      <c r="AA198" s="207" t="s">
        <v>85</v>
      </c>
      <c r="AB198" s="207" t="s">
        <v>86</v>
      </c>
      <c r="AC198" s="207" t="s">
        <v>96</v>
      </c>
      <c r="AD198" s="209" t="s">
        <v>1162</v>
      </c>
      <c r="AE198" s="225"/>
      <c r="AF198" s="209"/>
      <c r="AG198" s="209"/>
      <c r="AH198" s="209"/>
      <c r="AI198" s="209" t="s">
        <v>538</v>
      </c>
      <c r="AJ198" s="209"/>
      <c r="AK198" s="209"/>
      <c r="AL198" s="209">
        <v>48</v>
      </c>
      <c r="AM198" s="209" t="s">
        <v>85</v>
      </c>
      <c r="AN198" s="209" t="s">
        <v>1159</v>
      </c>
      <c r="AO198" s="209"/>
      <c r="AP198" s="209" t="s">
        <v>97</v>
      </c>
      <c r="AR198" s="209"/>
      <c r="AS198" s="209"/>
      <c r="AT198" s="209"/>
      <c r="AU198" s="209"/>
      <c r="AV198" s="209"/>
      <c r="AW198" s="209"/>
      <c r="AX198" s="209"/>
      <c r="AY198" s="209"/>
      <c r="AZ198" s="209"/>
      <c r="BA198" s="209" t="s">
        <v>369</v>
      </c>
      <c r="BB198" s="225"/>
      <c r="BC198" s="225"/>
      <c r="BD198" s="225"/>
      <c r="BE198" s="209"/>
      <c r="BF198" s="209"/>
      <c r="BG198" s="209"/>
      <c r="BH198" s="209"/>
      <c r="BI198" s="209"/>
      <c r="BJ198" s="209"/>
      <c r="BK198" s="209"/>
      <c r="BL198" s="209"/>
      <c r="BM198" s="209"/>
      <c r="BN198" s="209"/>
      <c r="BO198" s="209"/>
      <c r="BP198" s="209"/>
      <c r="BQ198" s="225"/>
      <c r="BR198" s="209"/>
    </row>
    <row r="199" ht="32" customHeight="1" spans="1:70">
      <c r="A199" s="189">
        <v>197</v>
      </c>
      <c r="B199" s="209" t="s">
        <v>1163</v>
      </c>
      <c r="C199" s="209" t="s">
        <v>956</v>
      </c>
      <c r="D199" s="209" t="s">
        <v>1164</v>
      </c>
      <c r="E199" s="209"/>
      <c r="F199" s="209"/>
      <c r="G199" s="209" t="s">
        <v>612</v>
      </c>
      <c r="H199" s="209">
        <v>45</v>
      </c>
      <c r="I199" s="209" t="s">
        <v>479</v>
      </c>
      <c r="J199" s="209" t="s">
        <v>1155</v>
      </c>
      <c r="K199" s="209">
        <v>15295113933</v>
      </c>
      <c r="L199" s="209"/>
      <c r="M199" s="209" t="s">
        <v>1156</v>
      </c>
      <c r="N199" s="209"/>
      <c r="O199" s="209"/>
      <c r="P199" s="209" t="s">
        <v>1157</v>
      </c>
      <c r="Q199" s="209"/>
      <c r="R199" s="209"/>
      <c r="S199" s="207"/>
      <c r="T199" s="209"/>
      <c r="U199" s="209"/>
      <c r="V199" s="209"/>
      <c r="W199" s="209"/>
      <c r="X199" s="209"/>
      <c r="Y199" s="209" t="s">
        <v>84</v>
      </c>
      <c r="Z199" s="207" t="s">
        <v>85</v>
      </c>
      <c r="AA199" s="207" t="s">
        <v>85</v>
      </c>
      <c r="AB199" s="207" t="s">
        <v>86</v>
      </c>
      <c r="AC199" s="207" t="s">
        <v>96</v>
      </c>
      <c r="AD199" s="209" t="s">
        <v>1165</v>
      </c>
      <c r="AE199" s="225"/>
      <c r="AF199" s="209"/>
      <c r="AG199" s="209"/>
      <c r="AH199" s="209"/>
      <c r="AI199" s="209" t="s">
        <v>538</v>
      </c>
      <c r="AJ199" s="209"/>
      <c r="AK199" s="209"/>
      <c r="AL199" s="209">
        <v>48</v>
      </c>
      <c r="AM199" s="209" t="s">
        <v>85</v>
      </c>
      <c r="AN199" s="209" t="s">
        <v>1159</v>
      </c>
      <c r="AO199" s="209"/>
      <c r="AP199" s="209" t="s">
        <v>97</v>
      </c>
      <c r="AR199" s="209"/>
      <c r="AS199" s="209"/>
      <c r="AT199" s="209"/>
      <c r="AU199" s="209"/>
      <c r="AV199" s="209"/>
      <c r="AW199" s="209"/>
      <c r="AX199" s="209"/>
      <c r="AY199" s="209"/>
      <c r="AZ199" s="209"/>
      <c r="BA199" s="209" t="s">
        <v>369</v>
      </c>
      <c r="BB199" s="225"/>
      <c r="BC199" s="225"/>
      <c r="BD199" s="225"/>
      <c r="BE199" s="209"/>
      <c r="BF199" s="209"/>
      <c r="BG199" s="209"/>
      <c r="BH199" s="209"/>
      <c r="BI199" s="209"/>
      <c r="BJ199" s="209"/>
      <c r="BK199" s="209"/>
      <c r="BL199" s="209"/>
      <c r="BM199" s="209"/>
      <c r="BN199" s="209"/>
      <c r="BO199" s="209"/>
      <c r="BP199" s="209"/>
      <c r="BQ199" s="225"/>
      <c r="BR199" s="209"/>
    </row>
    <row r="200" ht="32" customHeight="1" spans="1:70">
      <c r="A200" s="189">
        <v>198</v>
      </c>
      <c r="B200" s="209" t="s">
        <v>1166</v>
      </c>
      <c r="C200" s="209" t="s">
        <v>956</v>
      </c>
      <c r="D200" s="209" t="s">
        <v>1167</v>
      </c>
      <c r="E200" s="209"/>
      <c r="F200" s="209"/>
      <c r="G200" s="209" t="s">
        <v>520</v>
      </c>
      <c r="H200" s="209">
        <v>10</v>
      </c>
      <c r="I200" s="209" t="s">
        <v>510</v>
      </c>
      <c r="J200" s="209" t="s">
        <v>1168</v>
      </c>
      <c r="K200" s="209">
        <v>15261130876</v>
      </c>
      <c r="L200" s="209" t="s">
        <v>1169</v>
      </c>
      <c r="M200" s="209" t="s">
        <v>1170</v>
      </c>
      <c r="N200" s="209"/>
      <c r="O200" s="209"/>
      <c r="P200" s="209" t="s">
        <v>1171</v>
      </c>
      <c r="Q200" s="209" t="s">
        <v>448</v>
      </c>
      <c r="R200" s="209"/>
      <c r="S200" s="207"/>
      <c r="T200" s="209"/>
      <c r="U200" s="209"/>
      <c r="V200" s="209"/>
      <c r="W200" s="209"/>
      <c r="X200" s="209"/>
      <c r="Y200" s="209" t="s">
        <v>84</v>
      </c>
      <c r="Z200" s="207" t="s">
        <v>85</v>
      </c>
      <c r="AA200" s="207" t="s">
        <v>85</v>
      </c>
      <c r="AB200" s="207" t="s">
        <v>128</v>
      </c>
      <c r="AC200" s="209" t="s">
        <v>96</v>
      </c>
      <c r="AD200" s="209" t="s">
        <v>1172</v>
      </c>
      <c r="AE200" s="225"/>
      <c r="AF200" s="209"/>
      <c r="AG200" s="209"/>
      <c r="AH200" s="209"/>
      <c r="AI200" s="209" t="s">
        <v>1173</v>
      </c>
      <c r="AJ200" s="209"/>
      <c r="AK200" s="209"/>
      <c r="AL200" s="209" t="s">
        <v>1174</v>
      </c>
      <c r="AM200" s="209" t="s">
        <v>97</v>
      </c>
      <c r="AN200" s="209" t="s">
        <v>1175</v>
      </c>
      <c r="AO200" s="209"/>
      <c r="AP200" s="209" t="s">
        <v>1176</v>
      </c>
      <c r="AR200" s="209"/>
      <c r="AS200" s="209"/>
      <c r="AT200" s="207" t="s">
        <v>85</v>
      </c>
      <c r="AU200" s="205" t="s">
        <v>85</v>
      </c>
      <c r="AV200" s="209"/>
      <c r="AW200" s="209"/>
      <c r="AX200" s="209"/>
      <c r="AY200" s="209"/>
      <c r="AZ200" s="209" t="s">
        <v>85</v>
      </c>
      <c r="BA200" s="209" t="s">
        <v>1177</v>
      </c>
      <c r="BB200" s="225"/>
      <c r="BC200" s="225"/>
      <c r="BD200" s="225"/>
      <c r="BE200" s="209"/>
      <c r="BF200" s="209"/>
      <c r="BG200" s="209"/>
      <c r="BH200" s="209"/>
      <c r="BI200" s="209"/>
      <c r="BJ200" s="209"/>
      <c r="BK200" s="209"/>
      <c r="BL200" s="209"/>
      <c r="BM200" s="209"/>
      <c r="BN200" s="209"/>
      <c r="BO200" s="209"/>
      <c r="BP200" s="209"/>
      <c r="BQ200" s="225"/>
      <c r="BR200" s="209" t="s">
        <v>1178</v>
      </c>
    </row>
    <row r="201" ht="32" customHeight="1" spans="1:70">
      <c r="A201" s="189">
        <v>199</v>
      </c>
      <c r="B201" s="209" t="s">
        <v>1179</v>
      </c>
      <c r="C201" s="209" t="s">
        <v>956</v>
      </c>
      <c r="D201" s="209" t="s">
        <v>1180</v>
      </c>
      <c r="E201" s="209" t="s">
        <v>344</v>
      </c>
      <c r="F201" s="207" t="s">
        <v>80</v>
      </c>
      <c r="G201" s="209" t="s">
        <v>520</v>
      </c>
      <c r="H201" s="209">
        <v>50</v>
      </c>
      <c r="I201" s="207">
        <v>5000</v>
      </c>
      <c r="J201" s="209" t="s">
        <v>1181</v>
      </c>
      <c r="K201" s="209">
        <v>13915092196</v>
      </c>
      <c r="L201" s="207"/>
      <c r="M201" s="209" t="s">
        <v>1182</v>
      </c>
      <c r="N201" s="209"/>
      <c r="O201" s="209" t="s">
        <v>1183</v>
      </c>
      <c r="P201" s="209" t="s">
        <v>643</v>
      </c>
      <c r="Q201" s="209" t="s">
        <v>224</v>
      </c>
      <c r="R201" s="209"/>
      <c r="S201" s="207"/>
      <c r="T201" s="209"/>
      <c r="U201" s="209"/>
      <c r="V201" s="209"/>
      <c r="W201" s="209"/>
      <c r="X201" s="209"/>
      <c r="Y201" s="209" t="s">
        <v>84</v>
      </c>
      <c r="Z201" s="209"/>
      <c r="AA201" s="207" t="s">
        <v>85</v>
      </c>
      <c r="AB201" s="207" t="s">
        <v>128</v>
      </c>
      <c r="AC201" s="207" t="s">
        <v>1044</v>
      </c>
      <c r="AD201" s="209" t="s">
        <v>502</v>
      </c>
      <c r="AE201" s="225"/>
      <c r="AF201" s="209" t="s">
        <v>1184</v>
      </c>
      <c r="AG201" s="209"/>
      <c r="AH201" s="209"/>
      <c r="AI201" s="209" t="s">
        <v>538</v>
      </c>
      <c r="AJ201" s="209"/>
      <c r="AK201" s="209"/>
      <c r="AL201" s="209" t="s">
        <v>1185</v>
      </c>
      <c r="AM201" s="209" t="s">
        <v>97</v>
      </c>
      <c r="AN201" s="209" t="s">
        <v>1186</v>
      </c>
      <c r="AO201" s="209"/>
      <c r="AP201" s="209" t="s">
        <v>1187</v>
      </c>
      <c r="AR201" s="209"/>
      <c r="AS201" s="207" t="s">
        <v>85</v>
      </c>
      <c r="AT201" s="209"/>
      <c r="AU201" s="209"/>
      <c r="AV201" s="207" t="s">
        <v>85</v>
      </c>
      <c r="AW201" s="205" t="s">
        <v>85</v>
      </c>
      <c r="AX201" s="207" t="s">
        <v>85</v>
      </c>
      <c r="AY201" s="209"/>
      <c r="AZ201" s="209"/>
      <c r="BA201" s="209" t="s">
        <v>1188</v>
      </c>
      <c r="BB201" s="225"/>
      <c r="BC201" s="225"/>
      <c r="BD201" s="225"/>
      <c r="BE201" s="209"/>
      <c r="BF201" s="209"/>
      <c r="BG201" s="209"/>
      <c r="BH201" s="209"/>
      <c r="BI201" s="209"/>
      <c r="BJ201" s="209"/>
      <c r="BK201" s="209"/>
      <c r="BL201" s="209"/>
      <c r="BM201" s="209"/>
      <c r="BN201" s="209"/>
      <c r="BO201" s="209"/>
      <c r="BP201" s="209"/>
      <c r="BQ201" s="225"/>
      <c r="BR201" s="207" t="s">
        <v>1189</v>
      </c>
    </row>
    <row r="202" ht="32" customHeight="1" spans="1:70">
      <c r="A202" s="189">
        <v>200</v>
      </c>
      <c r="B202" s="209" t="s">
        <v>1190</v>
      </c>
      <c r="C202" s="209" t="s">
        <v>956</v>
      </c>
      <c r="D202" s="209" t="s">
        <v>1191</v>
      </c>
      <c r="E202" s="209"/>
      <c r="F202" s="209"/>
      <c r="G202" s="209" t="s">
        <v>520</v>
      </c>
      <c r="H202" s="209">
        <v>68</v>
      </c>
      <c r="I202" s="209" t="s">
        <v>510</v>
      </c>
      <c r="J202" s="209" t="s">
        <v>1192</v>
      </c>
      <c r="K202" s="209">
        <v>13906117870</v>
      </c>
      <c r="L202" s="207"/>
      <c r="M202" s="209" t="s">
        <v>1193</v>
      </c>
      <c r="N202" s="209" t="s">
        <v>1194</v>
      </c>
      <c r="O202" s="209" t="s">
        <v>666</v>
      </c>
      <c r="P202" s="209" t="s">
        <v>1195</v>
      </c>
      <c r="Q202" s="209"/>
      <c r="R202" s="209"/>
      <c r="S202" s="207"/>
      <c r="T202" s="209"/>
      <c r="U202" s="209"/>
      <c r="V202" s="209"/>
      <c r="W202" s="209"/>
      <c r="X202" s="209"/>
      <c r="Y202" s="209" t="s">
        <v>84</v>
      </c>
      <c r="Z202" s="207" t="s">
        <v>85</v>
      </c>
      <c r="AA202" s="207" t="s">
        <v>85</v>
      </c>
      <c r="AB202" s="207" t="s">
        <v>128</v>
      </c>
      <c r="AC202" s="207" t="s">
        <v>96</v>
      </c>
      <c r="AD202" s="209"/>
      <c r="AE202" s="225"/>
      <c r="AF202" s="209"/>
      <c r="AG202" s="209"/>
      <c r="AH202" s="209"/>
      <c r="AI202" s="209"/>
      <c r="AJ202" s="209"/>
      <c r="AK202" s="209"/>
      <c r="AL202" s="209" t="s">
        <v>1196</v>
      </c>
      <c r="AM202" s="209" t="s">
        <v>97</v>
      </c>
      <c r="AN202" s="209" t="s">
        <v>1197</v>
      </c>
      <c r="AO202" s="209"/>
      <c r="AP202" s="209"/>
      <c r="AR202" s="209"/>
      <c r="AS202" s="207" t="s">
        <v>85</v>
      </c>
      <c r="AT202" s="207" t="s">
        <v>85</v>
      </c>
      <c r="AU202" s="209"/>
      <c r="AV202" s="209"/>
      <c r="AW202" s="205" t="s">
        <v>85</v>
      </c>
      <c r="AX202" s="207" t="s">
        <v>85</v>
      </c>
      <c r="AY202" s="209"/>
      <c r="AZ202" s="209" t="s">
        <v>85</v>
      </c>
      <c r="BA202" s="209"/>
      <c r="BB202" s="225"/>
      <c r="BC202" s="225"/>
      <c r="BD202" s="225"/>
      <c r="BE202" s="209"/>
      <c r="BF202" s="209"/>
      <c r="BG202" s="209"/>
      <c r="BH202" s="209"/>
      <c r="BI202" s="209"/>
      <c r="BJ202" s="209"/>
      <c r="BK202" s="209"/>
      <c r="BL202" s="209"/>
      <c r="BM202" s="209"/>
      <c r="BN202" s="209"/>
      <c r="BO202" s="209"/>
      <c r="BP202" s="209"/>
      <c r="BQ202" s="225"/>
      <c r="BR202" s="207" t="s">
        <v>1198</v>
      </c>
    </row>
    <row r="203" ht="32" customHeight="1" spans="1:70">
      <c r="A203" s="189">
        <v>201</v>
      </c>
      <c r="B203" s="209" t="s">
        <v>1199</v>
      </c>
      <c r="C203" s="209" t="s">
        <v>956</v>
      </c>
      <c r="D203" s="209" t="s">
        <v>1200</v>
      </c>
      <c r="E203" s="209" t="s">
        <v>192</v>
      </c>
      <c r="F203" s="207" t="s">
        <v>80</v>
      </c>
      <c r="G203" s="209" t="s">
        <v>520</v>
      </c>
      <c r="H203" s="209"/>
      <c r="I203" s="207">
        <v>2500</v>
      </c>
      <c r="J203" s="209" t="s">
        <v>1201</v>
      </c>
      <c r="K203" s="209">
        <v>13914315171</v>
      </c>
      <c r="L203" s="209" t="s">
        <v>1202</v>
      </c>
      <c r="M203" s="209" t="s">
        <v>1203</v>
      </c>
      <c r="N203" s="209"/>
      <c r="O203" s="209" t="s">
        <v>1204</v>
      </c>
      <c r="P203" s="209"/>
      <c r="Q203" s="209" t="s">
        <v>448</v>
      </c>
      <c r="R203" s="209"/>
      <c r="S203" s="207"/>
      <c r="T203" s="209"/>
      <c r="U203" s="209"/>
      <c r="V203" s="209"/>
      <c r="W203" s="209"/>
      <c r="X203" s="209"/>
      <c r="Y203" s="209" t="s">
        <v>84</v>
      </c>
      <c r="Z203" s="207" t="s">
        <v>85</v>
      </c>
      <c r="AA203" s="207" t="s">
        <v>85</v>
      </c>
      <c r="AB203" s="209"/>
      <c r="AC203" s="207" t="s">
        <v>96</v>
      </c>
      <c r="AD203" s="209" t="s">
        <v>255</v>
      </c>
      <c r="AE203" s="225"/>
      <c r="AF203" s="209"/>
      <c r="AG203" s="209"/>
      <c r="AH203" s="209"/>
      <c r="AI203" s="209" t="s">
        <v>538</v>
      </c>
      <c r="AJ203" s="209"/>
      <c r="AK203" s="209" t="s">
        <v>1205</v>
      </c>
      <c r="AL203" s="209" t="s">
        <v>1174</v>
      </c>
      <c r="AM203" s="209" t="s">
        <v>97</v>
      </c>
      <c r="AN203" s="209" t="s">
        <v>1206</v>
      </c>
      <c r="AO203" s="209" t="s">
        <v>1207</v>
      </c>
      <c r="AP203" s="209" t="s">
        <v>1208</v>
      </c>
      <c r="AR203" s="209"/>
      <c r="AS203" s="207" t="s">
        <v>85</v>
      </c>
      <c r="AT203" s="207" t="s">
        <v>85</v>
      </c>
      <c r="AU203" s="205" t="s">
        <v>85</v>
      </c>
      <c r="AV203" s="207" t="s">
        <v>85</v>
      </c>
      <c r="AW203" s="205" t="s">
        <v>85</v>
      </c>
      <c r="AX203" s="207" t="s">
        <v>85</v>
      </c>
      <c r="AY203" s="209"/>
      <c r="AZ203" s="209" t="s">
        <v>85</v>
      </c>
      <c r="BA203" s="209"/>
      <c r="BB203" s="225"/>
      <c r="BC203" s="225"/>
      <c r="BD203" s="225"/>
      <c r="BE203" s="209"/>
      <c r="BF203" s="209"/>
      <c r="BG203" s="209"/>
      <c r="BH203" s="209"/>
      <c r="BI203" s="209"/>
      <c r="BJ203" s="209"/>
      <c r="BK203" s="209"/>
      <c r="BL203" s="209"/>
      <c r="BM203" s="209"/>
      <c r="BN203" s="209"/>
      <c r="BO203" s="209"/>
      <c r="BP203" s="209"/>
      <c r="BQ203" s="225"/>
      <c r="BR203" s="207" t="s">
        <v>100</v>
      </c>
    </row>
    <row r="204" ht="32" customHeight="1" spans="1:70">
      <c r="A204" s="189">
        <v>202</v>
      </c>
      <c r="B204" s="209" t="s">
        <v>1209</v>
      </c>
      <c r="C204" s="209" t="s">
        <v>956</v>
      </c>
      <c r="D204" s="209" t="s">
        <v>1210</v>
      </c>
      <c r="E204" s="209" t="s">
        <v>228</v>
      </c>
      <c r="F204" s="207" t="s">
        <v>80</v>
      </c>
      <c r="G204" s="209" t="s">
        <v>81</v>
      </c>
      <c r="H204" s="209"/>
      <c r="I204" s="207">
        <v>5000</v>
      </c>
      <c r="J204" s="209" t="s">
        <v>1211</v>
      </c>
      <c r="K204" s="209">
        <v>13915052966</v>
      </c>
      <c r="L204" s="209" t="s">
        <v>1212</v>
      </c>
      <c r="M204" s="209" t="s">
        <v>1213</v>
      </c>
      <c r="N204" s="209"/>
      <c r="O204" s="209" t="s">
        <v>666</v>
      </c>
      <c r="P204" s="209" t="s">
        <v>1214</v>
      </c>
      <c r="Q204" s="209" t="s">
        <v>448</v>
      </c>
      <c r="R204" s="209" t="s">
        <v>116</v>
      </c>
      <c r="S204" s="207"/>
      <c r="T204" s="209"/>
      <c r="U204" s="209"/>
      <c r="V204" s="209"/>
      <c r="W204" s="209"/>
      <c r="X204" s="209"/>
      <c r="Y204" s="209" t="s">
        <v>84</v>
      </c>
      <c r="Z204" s="207" t="s">
        <v>85</v>
      </c>
      <c r="AA204" s="207" t="s">
        <v>85</v>
      </c>
      <c r="AB204" s="207" t="s">
        <v>128</v>
      </c>
      <c r="AC204" s="209"/>
      <c r="AD204" s="209" t="s">
        <v>864</v>
      </c>
      <c r="AE204" s="225"/>
      <c r="AF204" s="209"/>
      <c r="AG204" s="209"/>
      <c r="AH204" s="209"/>
      <c r="AI204" s="209" t="s">
        <v>538</v>
      </c>
      <c r="AJ204" s="209"/>
      <c r="AK204" s="209"/>
      <c r="AL204" s="209" t="s">
        <v>1215</v>
      </c>
      <c r="AM204" s="209" t="s">
        <v>97</v>
      </c>
      <c r="AN204" s="209" t="s">
        <v>1216</v>
      </c>
      <c r="AO204" s="209"/>
      <c r="AP204" s="209"/>
      <c r="AR204" s="209"/>
      <c r="AS204" s="207" t="s">
        <v>85</v>
      </c>
      <c r="AT204" s="209"/>
      <c r="AU204" s="209"/>
      <c r="AV204" s="209"/>
      <c r="AW204" s="209"/>
      <c r="AX204" s="209"/>
      <c r="AY204" s="209"/>
      <c r="AZ204" s="209"/>
      <c r="BA204" s="209"/>
      <c r="BB204" s="225"/>
      <c r="BC204" s="225"/>
      <c r="BD204" s="225"/>
      <c r="BE204" s="209"/>
      <c r="BF204" s="209"/>
      <c r="BG204" s="209"/>
      <c r="BH204" s="209"/>
      <c r="BI204" s="209"/>
      <c r="BJ204" s="209"/>
      <c r="BK204" s="209"/>
      <c r="BL204" s="209"/>
      <c r="BM204" s="209"/>
      <c r="BN204" s="209"/>
      <c r="BO204" s="209"/>
      <c r="BP204" s="209"/>
      <c r="BQ204" s="225"/>
      <c r="BR204" s="207" t="s">
        <v>52</v>
      </c>
    </row>
    <row r="205" ht="32" customHeight="1" spans="1:70">
      <c r="A205" s="189">
        <v>203</v>
      </c>
      <c r="B205" s="209" t="s">
        <v>1217</v>
      </c>
      <c r="C205" s="209" t="s">
        <v>956</v>
      </c>
      <c r="D205" s="209" t="s">
        <v>1218</v>
      </c>
      <c r="E205" s="209" t="s">
        <v>697</v>
      </c>
      <c r="F205" s="207" t="s">
        <v>80</v>
      </c>
      <c r="G205" s="209" t="s">
        <v>1106</v>
      </c>
      <c r="H205" s="242" t="s">
        <v>1219</v>
      </c>
      <c r="I205" s="207">
        <v>5000</v>
      </c>
      <c r="J205" s="209" t="s">
        <v>1220</v>
      </c>
      <c r="K205" s="209">
        <v>18351232391</v>
      </c>
      <c r="L205" s="209" t="s">
        <v>1221</v>
      </c>
      <c r="M205" s="209" t="s">
        <v>1222</v>
      </c>
      <c r="N205" s="209"/>
      <c r="O205" s="209" t="s">
        <v>1223</v>
      </c>
      <c r="P205" s="209" t="s">
        <v>1224</v>
      </c>
      <c r="Q205" s="209" t="s">
        <v>1225</v>
      </c>
      <c r="R205" s="209" t="s">
        <v>116</v>
      </c>
      <c r="S205" s="207"/>
      <c r="T205" s="209"/>
      <c r="U205" s="209"/>
      <c r="V205" s="209"/>
      <c r="W205" s="209"/>
      <c r="X205" s="209"/>
      <c r="Y205" s="209" t="s">
        <v>84</v>
      </c>
      <c r="Z205" s="209"/>
      <c r="AA205" s="207" t="s">
        <v>85</v>
      </c>
      <c r="AB205" s="207" t="s">
        <v>86</v>
      </c>
      <c r="AC205" s="209"/>
      <c r="AD205" s="209" t="s">
        <v>1226</v>
      </c>
      <c r="AE205" s="225"/>
      <c r="AF205" s="209"/>
      <c r="AG205" s="209"/>
      <c r="AH205" s="209"/>
      <c r="AI205" s="209" t="s">
        <v>369</v>
      </c>
      <c r="AJ205" s="209"/>
      <c r="AK205" s="209"/>
      <c r="AL205" s="209" t="s">
        <v>369</v>
      </c>
      <c r="AM205" s="209" t="s">
        <v>369</v>
      </c>
      <c r="AN205" s="209" t="s">
        <v>369</v>
      </c>
      <c r="AO205" s="209" t="s">
        <v>645</v>
      </c>
      <c r="AP205" s="209" t="s">
        <v>369</v>
      </c>
      <c r="AR205" s="209"/>
      <c r="AS205" s="209"/>
      <c r="AT205" s="209"/>
      <c r="AU205" s="209"/>
      <c r="AV205" s="209"/>
      <c r="AW205" s="209"/>
      <c r="AX205" s="209"/>
      <c r="AY205" s="209"/>
      <c r="AZ205" s="209"/>
      <c r="BA205" s="209" t="s">
        <v>369</v>
      </c>
      <c r="BB205" s="225"/>
      <c r="BC205" s="225"/>
      <c r="BD205" s="225"/>
      <c r="BE205" s="209"/>
      <c r="BF205" s="209"/>
      <c r="BG205" s="209"/>
      <c r="BH205" s="209"/>
      <c r="BI205" s="209"/>
      <c r="BJ205" s="209"/>
      <c r="BK205" s="209"/>
      <c r="BL205" s="209"/>
      <c r="BM205" s="209"/>
      <c r="BN205" s="209"/>
      <c r="BO205" s="209"/>
      <c r="BP205" s="209"/>
      <c r="BQ205" s="225"/>
      <c r="BR205" s="209"/>
    </row>
    <row r="206" ht="32" customHeight="1" spans="1:70">
      <c r="A206" s="189">
        <v>204</v>
      </c>
      <c r="B206" s="209" t="s">
        <v>1227</v>
      </c>
      <c r="C206" s="209" t="s">
        <v>956</v>
      </c>
      <c r="D206" s="209" t="s">
        <v>1228</v>
      </c>
      <c r="E206" s="209" t="s">
        <v>249</v>
      </c>
      <c r="F206" s="209" t="s">
        <v>310</v>
      </c>
      <c r="G206" s="209" t="s">
        <v>1229</v>
      </c>
      <c r="H206" s="242" t="s">
        <v>1006</v>
      </c>
      <c r="I206" s="207">
        <v>5000</v>
      </c>
      <c r="J206" s="209" t="s">
        <v>1220</v>
      </c>
      <c r="K206" s="209">
        <v>18351232391</v>
      </c>
      <c r="L206" s="209" t="s">
        <v>1230</v>
      </c>
      <c r="M206" s="209" t="s">
        <v>1222</v>
      </c>
      <c r="N206" s="209"/>
      <c r="O206" s="209" t="s">
        <v>1223</v>
      </c>
      <c r="P206" s="209" t="s">
        <v>1231</v>
      </c>
      <c r="Q206" s="209" t="s">
        <v>1225</v>
      </c>
      <c r="R206" s="209" t="s">
        <v>116</v>
      </c>
      <c r="S206" s="207"/>
      <c r="T206" s="209"/>
      <c r="U206" s="209"/>
      <c r="V206" s="209"/>
      <c r="W206" s="209"/>
      <c r="X206" s="209"/>
      <c r="Y206" s="209" t="s">
        <v>84</v>
      </c>
      <c r="Z206" s="209"/>
      <c r="AA206" s="207" t="s">
        <v>85</v>
      </c>
      <c r="AB206" s="207" t="s">
        <v>86</v>
      </c>
      <c r="AC206" s="209"/>
      <c r="AD206" s="209" t="s">
        <v>1232</v>
      </c>
      <c r="AE206" s="225"/>
      <c r="AF206" s="209"/>
      <c r="AG206" s="209"/>
      <c r="AH206" s="209"/>
      <c r="AI206" s="209" t="s">
        <v>369</v>
      </c>
      <c r="AJ206" s="209"/>
      <c r="AK206" s="209"/>
      <c r="AL206" s="209" t="s">
        <v>369</v>
      </c>
      <c r="AM206" s="209" t="s">
        <v>369</v>
      </c>
      <c r="AN206" s="209" t="s">
        <v>369</v>
      </c>
      <c r="AO206" s="209" t="s">
        <v>645</v>
      </c>
      <c r="AP206" s="209" t="s">
        <v>369</v>
      </c>
      <c r="AR206" s="209"/>
      <c r="AS206" s="209"/>
      <c r="AT206" s="209"/>
      <c r="AU206" s="209"/>
      <c r="AV206" s="209"/>
      <c r="AW206" s="209"/>
      <c r="AX206" s="209"/>
      <c r="AY206" s="209"/>
      <c r="AZ206" s="209"/>
      <c r="BA206" s="209" t="s">
        <v>369</v>
      </c>
      <c r="BB206" s="225"/>
      <c r="BC206" s="225"/>
      <c r="BD206" s="225"/>
      <c r="BE206" s="209"/>
      <c r="BF206" s="209"/>
      <c r="BG206" s="209"/>
      <c r="BH206" s="209"/>
      <c r="BI206" s="209"/>
      <c r="BJ206" s="209"/>
      <c r="BK206" s="209"/>
      <c r="BL206" s="209"/>
      <c r="BM206" s="209"/>
      <c r="BN206" s="209"/>
      <c r="BO206" s="209"/>
      <c r="BP206" s="209"/>
      <c r="BQ206" s="225"/>
      <c r="BR206" s="209"/>
    </row>
    <row r="207" ht="32" customHeight="1" spans="1:70">
      <c r="A207" s="189">
        <v>205</v>
      </c>
      <c r="B207" s="209" t="s">
        <v>1233</v>
      </c>
      <c r="C207" s="209" t="s">
        <v>956</v>
      </c>
      <c r="D207" s="209" t="s">
        <v>1234</v>
      </c>
      <c r="E207" s="209" t="s">
        <v>348</v>
      </c>
      <c r="F207" s="207" t="s">
        <v>80</v>
      </c>
      <c r="G207" s="209" t="s">
        <v>520</v>
      </c>
      <c r="H207" s="242" t="s">
        <v>1235</v>
      </c>
      <c r="I207" s="207">
        <v>2500</v>
      </c>
      <c r="J207" s="209" t="s">
        <v>1236</v>
      </c>
      <c r="K207" s="209">
        <v>13961169504</v>
      </c>
      <c r="L207" s="207"/>
      <c r="M207" s="209" t="s">
        <v>1237</v>
      </c>
      <c r="N207" s="209"/>
      <c r="O207" s="209" t="s">
        <v>1238</v>
      </c>
      <c r="P207" s="209" t="s">
        <v>1239</v>
      </c>
      <c r="Q207" s="209" t="s">
        <v>1225</v>
      </c>
      <c r="R207" s="209" t="s">
        <v>116</v>
      </c>
      <c r="S207" s="207"/>
      <c r="T207" s="209"/>
      <c r="U207" s="209"/>
      <c r="V207" s="209"/>
      <c r="W207" s="209"/>
      <c r="X207" s="209"/>
      <c r="Y207" s="209" t="s">
        <v>84</v>
      </c>
      <c r="Z207" s="207" t="s">
        <v>85</v>
      </c>
      <c r="AA207" s="207" t="s">
        <v>85</v>
      </c>
      <c r="AB207" s="209"/>
      <c r="AC207" s="207" t="s">
        <v>96</v>
      </c>
      <c r="AD207" s="209"/>
      <c r="AE207" s="225"/>
      <c r="AF207" s="209"/>
      <c r="AG207" s="209"/>
      <c r="AH207" s="209"/>
      <c r="AI207" s="209" t="s">
        <v>1240</v>
      </c>
      <c r="AJ207" s="209"/>
      <c r="AK207" s="209"/>
      <c r="AL207" s="209">
        <v>0</v>
      </c>
      <c r="AM207" s="209" t="s">
        <v>85</v>
      </c>
      <c r="AN207" s="209" t="s">
        <v>1241</v>
      </c>
      <c r="AO207" s="209" t="s">
        <v>97</v>
      </c>
      <c r="AP207" s="209" t="s">
        <v>97</v>
      </c>
      <c r="AR207" s="209"/>
      <c r="AS207" s="209"/>
      <c r="AT207" s="209"/>
      <c r="AU207" s="209"/>
      <c r="AV207" s="209"/>
      <c r="AW207" s="209"/>
      <c r="AX207" s="209"/>
      <c r="AY207" s="209"/>
      <c r="AZ207" s="209"/>
      <c r="BA207" s="209" t="s">
        <v>97</v>
      </c>
      <c r="BB207" s="225"/>
      <c r="BC207" s="225"/>
      <c r="BD207" s="225"/>
      <c r="BE207" s="209"/>
      <c r="BF207" s="209"/>
      <c r="BG207" s="209"/>
      <c r="BH207" s="209"/>
      <c r="BI207" s="209"/>
      <c r="BJ207" s="209"/>
      <c r="BK207" s="209"/>
      <c r="BL207" s="209"/>
      <c r="BM207" s="209"/>
      <c r="BN207" s="209"/>
      <c r="BO207" s="209"/>
      <c r="BP207" s="209"/>
      <c r="BQ207" s="225"/>
      <c r="BR207" s="209"/>
    </row>
    <row r="208" ht="32" customHeight="1" spans="1:70">
      <c r="A208" s="189">
        <v>206</v>
      </c>
      <c r="B208" s="209" t="s">
        <v>1242</v>
      </c>
      <c r="C208" s="209" t="s">
        <v>956</v>
      </c>
      <c r="D208" s="209" t="s">
        <v>1243</v>
      </c>
      <c r="E208" s="209" t="s">
        <v>219</v>
      </c>
      <c r="F208" s="207" t="s">
        <v>80</v>
      </c>
      <c r="G208" s="209" t="s">
        <v>315</v>
      </c>
      <c r="H208" s="242" t="s">
        <v>1244</v>
      </c>
      <c r="I208" s="207">
        <v>5000</v>
      </c>
      <c r="J208" s="209" t="s">
        <v>1245</v>
      </c>
      <c r="K208" s="209">
        <v>13861021602</v>
      </c>
      <c r="L208" s="209" t="s">
        <v>1246</v>
      </c>
      <c r="M208" s="209" t="s">
        <v>1247</v>
      </c>
      <c r="N208" s="209"/>
      <c r="O208" s="209" t="s">
        <v>1248</v>
      </c>
      <c r="P208" s="209"/>
      <c r="Q208" s="209" t="s">
        <v>140</v>
      </c>
      <c r="R208" s="209" t="s">
        <v>116</v>
      </c>
      <c r="S208" s="207"/>
      <c r="T208" s="209"/>
      <c r="U208" s="209"/>
      <c r="V208" s="209"/>
      <c r="W208" s="209"/>
      <c r="X208" s="209"/>
      <c r="Y208" s="209" t="s">
        <v>84</v>
      </c>
      <c r="Z208" s="209"/>
      <c r="AA208" s="207" t="s">
        <v>85</v>
      </c>
      <c r="AB208" s="207" t="s">
        <v>128</v>
      </c>
      <c r="AC208" s="207" t="s">
        <v>96</v>
      </c>
      <c r="AD208" s="209" t="s">
        <v>255</v>
      </c>
      <c r="AE208" s="225"/>
      <c r="AF208" s="209"/>
      <c r="AG208" s="209"/>
      <c r="AH208" s="209"/>
      <c r="AI208" s="209" t="s">
        <v>369</v>
      </c>
      <c r="AJ208" s="209"/>
      <c r="AK208" s="209"/>
      <c r="AL208" s="209" t="s">
        <v>369</v>
      </c>
      <c r="AM208" s="209" t="s">
        <v>1249</v>
      </c>
      <c r="AN208" s="209" t="s">
        <v>1250</v>
      </c>
      <c r="AO208" s="209" t="s">
        <v>1251</v>
      </c>
      <c r="AP208" s="209" t="s">
        <v>369</v>
      </c>
      <c r="AR208" s="209"/>
      <c r="AS208" s="209"/>
      <c r="AT208" s="209"/>
      <c r="AU208" s="209"/>
      <c r="AV208" s="209"/>
      <c r="AW208" s="209"/>
      <c r="AX208" s="209"/>
      <c r="AY208" s="209"/>
      <c r="AZ208" s="209"/>
      <c r="BA208" s="209" t="s">
        <v>369</v>
      </c>
      <c r="BB208" s="225"/>
      <c r="BC208" s="225"/>
      <c r="BD208" s="225"/>
      <c r="BE208" s="209"/>
      <c r="BF208" s="209"/>
      <c r="BG208" s="209"/>
      <c r="BH208" s="209"/>
      <c r="BI208" s="209"/>
      <c r="BJ208" s="209"/>
      <c r="BK208" s="209"/>
      <c r="BL208" s="209"/>
      <c r="BM208" s="209"/>
      <c r="BN208" s="209"/>
      <c r="BO208" s="209"/>
      <c r="BP208" s="209"/>
      <c r="BQ208" s="225"/>
      <c r="BR208" s="209"/>
    </row>
    <row r="209" ht="32" customHeight="1" spans="1:70">
      <c r="A209" s="189">
        <v>207</v>
      </c>
      <c r="B209" s="209" t="s">
        <v>1252</v>
      </c>
      <c r="C209" s="209" t="s">
        <v>956</v>
      </c>
      <c r="D209" s="209" t="s">
        <v>1253</v>
      </c>
      <c r="E209" s="209" t="s">
        <v>249</v>
      </c>
      <c r="F209" s="207" t="s">
        <v>80</v>
      </c>
      <c r="G209" s="209" t="s">
        <v>989</v>
      </c>
      <c r="H209" s="209"/>
      <c r="I209" s="207">
        <v>5000</v>
      </c>
      <c r="J209" s="209" t="s">
        <v>1254</v>
      </c>
      <c r="K209" s="209">
        <v>13915025555</v>
      </c>
      <c r="L209" s="209" t="s">
        <v>1255</v>
      </c>
      <c r="M209" s="209" t="s">
        <v>1256</v>
      </c>
      <c r="N209" s="209"/>
      <c r="O209" s="209"/>
      <c r="P209" s="209"/>
      <c r="Q209" s="209" t="s">
        <v>576</v>
      </c>
      <c r="R209" s="209"/>
      <c r="S209" s="207"/>
      <c r="T209" s="209"/>
      <c r="U209" s="209"/>
      <c r="V209" s="209"/>
      <c r="W209" s="209"/>
      <c r="X209" s="209"/>
      <c r="Y209" s="209" t="s">
        <v>84</v>
      </c>
      <c r="Z209" s="207" t="s">
        <v>85</v>
      </c>
      <c r="AA209" s="207" t="s">
        <v>85</v>
      </c>
      <c r="AB209" s="207" t="s">
        <v>128</v>
      </c>
      <c r="AC209" s="207" t="s">
        <v>96</v>
      </c>
      <c r="AD209" s="209">
        <v>8651258.37</v>
      </c>
      <c r="AE209" s="225"/>
      <c r="AF209" s="209"/>
      <c r="AG209" s="209"/>
      <c r="AH209" s="225"/>
      <c r="AI209" s="209"/>
      <c r="AJ209" s="209"/>
      <c r="AK209" s="209"/>
      <c r="AL209" s="209" t="s">
        <v>1215</v>
      </c>
      <c r="AM209" s="209" t="s">
        <v>97</v>
      </c>
      <c r="AN209" s="209" t="s">
        <v>1257</v>
      </c>
      <c r="AO209" s="209" t="s">
        <v>85</v>
      </c>
      <c r="AP209" s="209" t="s">
        <v>97</v>
      </c>
      <c r="AR209" s="209"/>
      <c r="AS209" s="209"/>
      <c r="AT209" s="209"/>
      <c r="AU209" s="209"/>
      <c r="AV209" s="209"/>
      <c r="AW209" s="209"/>
      <c r="AX209" s="209"/>
      <c r="AY209" s="209"/>
      <c r="AZ209" s="209"/>
      <c r="BA209" s="209" t="s">
        <v>97</v>
      </c>
      <c r="BB209" s="225"/>
      <c r="BC209" s="225"/>
      <c r="BD209" s="225"/>
      <c r="BE209" s="209"/>
      <c r="BF209" s="209"/>
      <c r="BG209" s="209"/>
      <c r="BH209" s="209"/>
      <c r="BI209" s="209"/>
      <c r="BJ209" s="209"/>
      <c r="BK209" s="209"/>
      <c r="BL209" s="209"/>
      <c r="BM209" s="209"/>
      <c r="BN209" s="209"/>
      <c r="BO209" s="209"/>
      <c r="BP209" s="209"/>
      <c r="BQ209" s="225"/>
      <c r="BR209" s="209"/>
    </row>
    <row r="210" ht="32" customHeight="1" spans="1:70">
      <c r="A210" s="189">
        <v>208</v>
      </c>
      <c r="B210" s="209" t="s">
        <v>1258</v>
      </c>
      <c r="C210" s="209" t="s">
        <v>956</v>
      </c>
      <c r="D210" s="209" t="s">
        <v>1259</v>
      </c>
      <c r="E210" s="209" t="s">
        <v>1260</v>
      </c>
      <c r="F210" s="207" t="s">
        <v>80</v>
      </c>
      <c r="G210" s="209" t="s">
        <v>520</v>
      </c>
      <c r="H210" s="242" t="s">
        <v>1235</v>
      </c>
      <c r="I210" s="207">
        <v>2500</v>
      </c>
      <c r="J210" s="209" t="s">
        <v>1261</v>
      </c>
      <c r="K210" s="209">
        <v>13813553616</v>
      </c>
      <c r="L210" s="209"/>
      <c r="M210" s="209"/>
      <c r="N210" s="209"/>
      <c r="O210" s="209"/>
      <c r="P210" s="209"/>
      <c r="Q210" s="209" t="s">
        <v>448</v>
      </c>
      <c r="R210" s="209"/>
      <c r="S210" s="207"/>
      <c r="T210" s="209"/>
      <c r="U210" s="209"/>
      <c r="V210" s="209"/>
      <c r="W210" s="209"/>
      <c r="X210" s="209"/>
      <c r="Y210" s="209" t="s">
        <v>84</v>
      </c>
      <c r="Z210" s="209"/>
      <c r="AA210" s="207" t="s">
        <v>85</v>
      </c>
      <c r="AB210" s="207" t="s">
        <v>128</v>
      </c>
      <c r="AC210" s="207" t="s">
        <v>96</v>
      </c>
      <c r="AD210" s="209" t="s">
        <v>1262</v>
      </c>
      <c r="AE210" s="225"/>
      <c r="AF210" s="209"/>
      <c r="AG210" s="209"/>
      <c r="AH210" s="209"/>
      <c r="AI210" s="209" t="s">
        <v>538</v>
      </c>
      <c r="AJ210" s="209"/>
      <c r="AK210" s="209"/>
      <c r="AL210" s="209" t="s">
        <v>369</v>
      </c>
      <c r="AM210" s="209" t="s">
        <v>369</v>
      </c>
      <c r="AN210" s="209" t="s">
        <v>369</v>
      </c>
      <c r="AO210" s="209" t="s">
        <v>369</v>
      </c>
      <c r="AP210" s="209" t="s">
        <v>369</v>
      </c>
      <c r="AR210" s="209"/>
      <c r="AS210" s="209"/>
      <c r="AT210" s="209"/>
      <c r="AU210" s="209"/>
      <c r="AV210" s="209"/>
      <c r="AW210" s="209"/>
      <c r="AX210" s="209"/>
      <c r="AY210" s="209"/>
      <c r="AZ210" s="209"/>
      <c r="BA210" s="209" t="s">
        <v>369</v>
      </c>
      <c r="BB210" s="225"/>
      <c r="BC210" s="225"/>
      <c r="BD210" s="225"/>
      <c r="BE210" s="209"/>
      <c r="BF210" s="209"/>
      <c r="BG210" s="209"/>
      <c r="BH210" s="209"/>
      <c r="BI210" s="209"/>
      <c r="BJ210" s="209"/>
      <c r="BK210" s="209"/>
      <c r="BL210" s="209"/>
      <c r="BM210" s="209"/>
      <c r="BN210" s="209"/>
      <c r="BO210" s="209"/>
      <c r="BP210" s="209"/>
      <c r="BQ210" s="225"/>
      <c r="BR210" s="209"/>
    </row>
    <row r="211" ht="32" customHeight="1" spans="1:70">
      <c r="A211" s="189">
        <v>209</v>
      </c>
      <c r="B211" s="209" t="s">
        <v>1263</v>
      </c>
      <c r="C211" s="209" t="s">
        <v>956</v>
      </c>
      <c r="D211" s="209" t="s">
        <v>1264</v>
      </c>
      <c r="E211" s="209" t="s">
        <v>205</v>
      </c>
      <c r="F211" s="207" t="s">
        <v>80</v>
      </c>
      <c r="G211" s="209" t="s">
        <v>520</v>
      </c>
      <c r="H211" s="242" t="s">
        <v>1265</v>
      </c>
      <c r="I211" s="207">
        <v>5000</v>
      </c>
      <c r="J211" s="209" t="s">
        <v>1266</v>
      </c>
      <c r="K211" s="209">
        <v>15961228093</v>
      </c>
      <c r="L211" s="209" t="s">
        <v>1267</v>
      </c>
      <c r="M211" s="209" t="s">
        <v>1268</v>
      </c>
      <c r="N211" s="209"/>
      <c r="O211" s="209" t="s">
        <v>1269</v>
      </c>
      <c r="P211" s="209"/>
      <c r="Q211" s="209" t="s">
        <v>448</v>
      </c>
      <c r="R211" s="209"/>
      <c r="S211" s="207"/>
      <c r="T211" s="209"/>
      <c r="U211" s="209"/>
      <c r="V211" s="209"/>
      <c r="W211" s="209"/>
      <c r="X211" s="209"/>
      <c r="Y211" s="209"/>
      <c r="Z211" s="209"/>
      <c r="AA211" s="207" t="s">
        <v>85</v>
      </c>
      <c r="AB211" s="207" t="s">
        <v>128</v>
      </c>
      <c r="AC211" s="209"/>
      <c r="AD211" s="209" t="s">
        <v>1270</v>
      </c>
      <c r="AE211" s="225"/>
      <c r="AF211" s="209"/>
      <c r="AG211" s="209"/>
      <c r="AH211" s="209"/>
      <c r="AI211" s="209" t="s">
        <v>369</v>
      </c>
      <c r="AJ211" s="209"/>
      <c r="AK211" s="209"/>
      <c r="AL211" s="209" t="s">
        <v>369</v>
      </c>
      <c r="AM211" s="209" t="s">
        <v>369</v>
      </c>
      <c r="AN211" s="209" t="s">
        <v>369</v>
      </c>
      <c r="AO211" s="209" t="s">
        <v>369</v>
      </c>
      <c r="AP211" s="209" t="s">
        <v>369</v>
      </c>
      <c r="AR211" s="209"/>
      <c r="AS211" s="209"/>
      <c r="AT211" s="209"/>
      <c r="AU211" s="209"/>
      <c r="AV211" s="209"/>
      <c r="AW211" s="209"/>
      <c r="AX211" s="209"/>
      <c r="AY211" s="209"/>
      <c r="AZ211" s="209"/>
      <c r="BA211" s="209" t="s">
        <v>369</v>
      </c>
      <c r="BB211" s="225"/>
      <c r="BC211" s="225"/>
      <c r="BD211" s="225"/>
      <c r="BE211" s="209"/>
      <c r="BF211" s="209"/>
      <c r="BG211" s="209"/>
      <c r="BH211" s="209"/>
      <c r="BI211" s="209"/>
      <c r="BJ211" s="209"/>
      <c r="BK211" s="209"/>
      <c r="BL211" s="209"/>
      <c r="BM211" s="209"/>
      <c r="BN211" s="209"/>
      <c r="BO211" s="209"/>
      <c r="BP211" s="209"/>
      <c r="BQ211" s="225"/>
      <c r="BR211" s="209"/>
    </row>
    <row r="212" ht="32" customHeight="1" spans="1:70">
      <c r="A212" s="189">
        <v>210</v>
      </c>
      <c r="B212" s="209" t="s">
        <v>1271</v>
      </c>
      <c r="C212" s="209" t="s">
        <v>956</v>
      </c>
      <c r="D212" s="209" t="s">
        <v>1272</v>
      </c>
      <c r="E212" s="209" t="s">
        <v>707</v>
      </c>
      <c r="F212" s="207" t="s">
        <v>80</v>
      </c>
      <c r="G212" s="209" t="s">
        <v>520</v>
      </c>
      <c r="H212" s="242" t="s">
        <v>1219</v>
      </c>
      <c r="I212" s="207">
        <v>2500</v>
      </c>
      <c r="J212" s="209" t="s">
        <v>1273</v>
      </c>
      <c r="K212" s="209">
        <v>13626247564</v>
      </c>
      <c r="L212" s="209" t="s">
        <v>1274</v>
      </c>
      <c r="M212" s="209" t="s">
        <v>1275</v>
      </c>
      <c r="N212" s="209"/>
      <c r="O212" s="209"/>
      <c r="P212" s="209" t="s">
        <v>1276</v>
      </c>
      <c r="Q212" s="209" t="s">
        <v>1144</v>
      </c>
      <c r="R212" s="209" t="s">
        <v>116</v>
      </c>
      <c r="S212" s="207"/>
      <c r="T212" s="209"/>
      <c r="U212" s="209"/>
      <c r="V212" s="209"/>
      <c r="W212" s="209"/>
      <c r="X212" s="209"/>
      <c r="Y212" s="209" t="s">
        <v>84</v>
      </c>
      <c r="Z212" s="209"/>
      <c r="AA212" s="207" t="s">
        <v>85</v>
      </c>
      <c r="AB212" s="209" t="s">
        <v>86</v>
      </c>
      <c r="AC212" s="209" t="s">
        <v>96</v>
      </c>
      <c r="AD212" s="209">
        <v>2000</v>
      </c>
      <c r="AE212" s="225"/>
      <c r="AF212" s="209"/>
      <c r="AG212" s="209"/>
      <c r="AH212" s="209"/>
      <c r="AI212" s="209"/>
      <c r="AJ212" s="209"/>
      <c r="AK212" s="209"/>
      <c r="AL212" s="209"/>
      <c r="AM212" s="209"/>
      <c r="AN212" s="209"/>
      <c r="AO212" s="209" t="s">
        <v>1277</v>
      </c>
      <c r="AP212" s="209"/>
      <c r="AR212" s="209"/>
      <c r="AS212" s="209"/>
      <c r="AT212" s="209"/>
      <c r="AU212" s="209"/>
      <c r="AV212" s="209"/>
      <c r="AW212" s="209"/>
      <c r="AX212" s="209"/>
      <c r="AY212" s="209"/>
      <c r="AZ212" s="209"/>
      <c r="BA212" s="209"/>
      <c r="BB212" s="225"/>
      <c r="BC212" s="225"/>
      <c r="BD212" s="225"/>
      <c r="BE212" s="209"/>
      <c r="BF212" s="209"/>
      <c r="BG212" s="209"/>
      <c r="BH212" s="209"/>
      <c r="BI212" s="209"/>
      <c r="BJ212" s="209"/>
      <c r="BK212" s="209"/>
      <c r="BL212" s="209"/>
      <c r="BM212" s="209"/>
      <c r="BN212" s="209"/>
      <c r="BO212" s="209"/>
      <c r="BP212" s="209"/>
      <c r="BQ212" s="225"/>
      <c r="BR212" s="209"/>
    </row>
    <row r="213" ht="32" customHeight="1" spans="1:70">
      <c r="A213" s="189">
        <v>211</v>
      </c>
      <c r="B213" s="209" t="s">
        <v>1278</v>
      </c>
      <c r="C213" s="209" t="s">
        <v>956</v>
      </c>
      <c r="D213" s="209" t="s">
        <v>1279</v>
      </c>
      <c r="E213" s="209">
        <v>2006</v>
      </c>
      <c r="F213" s="209"/>
      <c r="G213" s="209" t="s">
        <v>520</v>
      </c>
      <c r="H213" s="209">
        <v>80</v>
      </c>
      <c r="I213" s="207">
        <v>2500</v>
      </c>
      <c r="J213" s="209" t="s">
        <v>1280</v>
      </c>
      <c r="K213" s="209">
        <v>13776877830</v>
      </c>
      <c r="L213" s="209"/>
      <c r="M213" s="209" t="s">
        <v>1281</v>
      </c>
      <c r="N213" s="209" t="s">
        <v>1282</v>
      </c>
      <c r="O213" s="209"/>
      <c r="P213" s="209" t="s">
        <v>1283</v>
      </c>
      <c r="Q213" s="209" t="s">
        <v>1144</v>
      </c>
      <c r="R213" s="209"/>
      <c r="S213" s="207"/>
      <c r="T213" s="209"/>
      <c r="U213" s="209"/>
      <c r="V213" s="209"/>
      <c r="W213" s="209"/>
      <c r="X213" s="209"/>
      <c r="Y213" s="209" t="s">
        <v>84</v>
      </c>
      <c r="Z213" s="207" t="s">
        <v>85</v>
      </c>
      <c r="AA213" s="207" t="s">
        <v>85</v>
      </c>
      <c r="AB213" s="207" t="s">
        <v>128</v>
      </c>
      <c r="AC213" s="207" t="s">
        <v>96</v>
      </c>
      <c r="AD213" s="209" t="s">
        <v>1284</v>
      </c>
      <c r="AE213" s="225"/>
      <c r="AF213" s="209"/>
      <c r="AG213" s="209"/>
      <c r="AH213" s="209"/>
      <c r="AI213" s="209" t="s">
        <v>538</v>
      </c>
      <c r="AJ213" s="209"/>
      <c r="AK213" s="209"/>
      <c r="AL213" s="209">
        <v>8</v>
      </c>
      <c r="AM213" s="209" t="s">
        <v>97</v>
      </c>
      <c r="AN213" s="209" t="s">
        <v>97</v>
      </c>
      <c r="AO213" s="209"/>
      <c r="AP213" s="209" t="s">
        <v>97</v>
      </c>
      <c r="AR213" s="209"/>
      <c r="AS213" s="209"/>
      <c r="AT213" s="209"/>
      <c r="AU213" s="209"/>
      <c r="AV213" s="209"/>
      <c r="AW213" s="209"/>
      <c r="AX213" s="209"/>
      <c r="AY213" s="209"/>
      <c r="AZ213" s="209"/>
      <c r="BA213" s="209" t="s">
        <v>97</v>
      </c>
      <c r="BB213" s="225"/>
      <c r="BC213" s="225"/>
      <c r="BD213" s="225"/>
      <c r="BE213" s="209"/>
      <c r="BF213" s="209"/>
      <c r="BG213" s="209"/>
      <c r="BH213" s="209"/>
      <c r="BI213" s="209"/>
      <c r="BJ213" s="209"/>
      <c r="BK213" s="209"/>
      <c r="BL213" s="209"/>
      <c r="BM213" s="209"/>
      <c r="BN213" s="209"/>
      <c r="BO213" s="209"/>
      <c r="BP213" s="209"/>
      <c r="BQ213" s="225"/>
      <c r="BR213" s="209"/>
    </row>
    <row r="214" ht="32" customHeight="1" spans="1:70">
      <c r="A214" s="189">
        <v>212</v>
      </c>
      <c r="B214" s="209" t="s">
        <v>1285</v>
      </c>
      <c r="C214" s="209" t="s">
        <v>956</v>
      </c>
      <c r="D214" s="209" t="s">
        <v>1286</v>
      </c>
      <c r="E214" s="209"/>
      <c r="F214" s="209" t="s">
        <v>310</v>
      </c>
      <c r="G214" s="209" t="s">
        <v>520</v>
      </c>
      <c r="H214" s="209">
        <v>56</v>
      </c>
      <c r="I214" s="209" t="s">
        <v>479</v>
      </c>
      <c r="J214" s="209" t="s">
        <v>1287</v>
      </c>
      <c r="K214" s="209">
        <v>13775630790</v>
      </c>
      <c r="L214" s="209" t="s">
        <v>1288</v>
      </c>
      <c r="M214" s="209" t="s">
        <v>1268</v>
      </c>
      <c r="N214" s="209"/>
      <c r="O214" s="209"/>
      <c r="P214" s="209" t="s">
        <v>1289</v>
      </c>
      <c r="Q214" s="209"/>
      <c r="R214" s="209"/>
      <c r="S214" s="207"/>
      <c r="T214" s="209"/>
      <c r="U214" s="209"/>
      <c r="V214" s="209"/>
      <c r="W214" s="209"/>
      <c r="X214" s="209"/>
      <c r="Y214" s="209" t="s">
        <v>84</v>
      </c>
      <c r="Z214" s="207" t="s">
        <v>85</v>
      </c>
      <c r="AA214" s="207" t="s">
        <v>85</v>
      </c>
      <c r="AB214" s="207" t="s">
        <v>128</v>
      </c>
      <c r="AC214" s="207" t="s">
        <v>96</v>
      </c>
      <c r="AD214" s="209">
        <v>1000</v>
      </c>
      <c r="AE214" s="225"/>
      <c r="AF214" s="209"/>
      <c r="AG214" s="209"/>
      <c r="AH214" s="209"/>
      <c r="AI214" s="209" t="s">
        <v>538</v>
      </c>
      <c r="AJ214" s="209"/>
      <c r="AK214" s="209"/>
      <c r="AL214" s="209">
        <v>3</v>
      </c>
      <c r="AM214" s="209" t="s">
        <v>85</v>
      </c>
      <c r="AN214" s="209" t="s">
        <v>369</v>
      </c>
      <c r="AO214" s="209" t="s">
        <v>1290</v>
      </c>
      <c r="AP214" s="209" t="s">
        <v>369</v>
      </c>
      <c r="AR214" s="209"/>
      <c r="AS214" s="209"/>
      <c r="AT214" s="209"/>
      <c r="AU214" s="209"/>
      <c r="AV214" s="209"/>
      <c r="AW214" s="209"/>
      <c r="AX214" s="209"/>
      <c r="AY214" s="209"/>
      <c r="AZ214" s="209"/>
      <c r="BA214" s="209" t="s">
        <v>369</v>
      </c>
      <c r="BB214" s="225"/>
      <c r="BC214" s="225"/>
      <c r="BD214" s="225"/>
      <c r="BE214" s="209"/>
      <c r="BF214" s="209"/>
      <c r="BG214" s="209"/>
      <c r="BH214" s="209"/>
      <c r="BI214" s="209"/>
      <c r="BJ214" s="209"/>
      <c r="BK214" s="209"/>
      <c r="BL214" s="209"/>
      <c r="BM214" s="209"/>
      <c r="BN214" s="209"/>
      <c r="BO214" s="209"/>
      <c r="BP214" s="209"/>
      <c r="BQ214" s="225"/>
      <c r="BR214" s="209"/>
    </row>
    <row r="215" ht="32" customHeight="1" spans="1:70">
      <c r="A215" s="189">
        <v>213</v>
      </c>
      <c r="B215" s="209" t="s">
        <v>1291</v>
      </c>
      <c r="C215" s="209" t="s">
        <v>956</v>
      </c>
      <c r="D215" s="209" t="s">
        <v>1292</v>
      </c>
      <c r="E215" s="209">
        <v>2013</v>
      </c>
      <c r="F215" s="207" t="s">
        <v>80</v>
      </c>
      <c r="G215" s="209" t="s">
        <v>1293</v>
      </c>
      <c r="H215" s="209">
        <v>400</v>
      </c>
      <c r="I215" s="207">
        <v>5000</v>
      </c>
      <c r="J215" s="209" t="s">
        <v>1294</v>
      </c>
      <c r="K215" s="209">
        <v>18706117173</v>
      </c>
      <c r="L215" s="209" t="s">
        <v>1295</v>
      </c>
      <c r="M215" s="209" t="s">
        <v>1296</v>
      </c>
      <c r="N215" s="209"/>
      <c r="O215" s="209" t="s">
        <v>1297</v>
      </c>
      <c r="P215" s="209" t="s">
        <v>1298</v>
      </c>
      <c r="Q215" s="209" t="s">
        <v>576</v>
      </c>
      <c r="R215" s="209" t="s">
        <v>116</v>
      </c>
      <c r="S215" s="207"/>
      <c r="T215" s="209"/>
      <c r="U215" s="209"/>
      <c r="V215" s="209"/>
      <c r="W215" s="209"/>
      <c r="X215" s="209"/>
      <c r="Y215" s="209"/>
      <c r="Z215" s="209"/>
      <c r="AA215" s="207" t="s">
        <v>85</v>
      </c>
      <c r="AB215" s="209"/>
      <c r="AC215" s="209"/>
      <c r="AD215" s="209"/>
      <c r="AE215" s="225"/>
      <c r="AF215" s="209"/>
      <c r="AG215" s="209"/>
      <c r="AH215" s="209"/>
      <c r="AI215" s="209"/>
      <c r="AJ215" s="209"/>
      <c r="AK215" s="209"/>
      <c r="AL215" s="209"/>
      <c r="AM215" s="209"/>
      <c r="AN215" s="209"/>
      <c r="AO215" s="209" t="s">
        <v>369</v>
      </c>
      <c r="AP215" s="209"/>
      <c r="AR215" s="209"/>
      <c r="AS215" s="209"/>
      <c r="AT215" s="209"/>
      <c r="AU215" s="209"/>
      <c r="AV215" s="209"/>
      <c r="AW215" s="209"/>
      <c r="AX215" s="209"/>
      <c r="AY215" s="209"/>
      <c r="AZ215" s="209"/>
      <c r="BA215" s="209"/>
      <c r="BB215" s="225"/>
      <c r="BC215" s="225"/>
      <c r="BD215" s="225"/>
      <c r="BE215" s="209"/>
      <c r="BF215" s="209"/>
      <c r="BG215" s="209"/>
      <c r="BH215" s="209"/>
      <c r="BI215" s="209"/>
      <c r="BJ215" s="209"/>
      <c r="BK215" s="209"/>
      <c r="BL215" s="209"/>
      <c r="BM215" s="209"/>
      <c r="BN215" s="209"/>
      <c r="BO215" s="209"/>
      <c r="BP215" s="209"/>
      <c r="BQ215" s="225"/>
      <c r="BR215" s="209"/>
    </row>
    <row r="216" ht="32" customHeight="1" spans="1:70">
      <c r="A216" s="189">
        <v>214</v>
      </c>
      <c r="B216" s="209" t="s">
        <v>1299</v>
      </c>
      <c r="C216" s="209" t="s">
        <v>956</v>
      </c>
      <c r="D216" s="209" t="s">
        <v>1300</v>
      </c>
      <c r="E216" s="209" t="s">
        <v>707</v>
      </c>
      <c r="F216" s="207" t="s">
        <v>80</v>
      </c>
      <c r="G216" s="209" t="s">
        <v>520</v>
      </c>
      <c r="H216" s="209">
        <v>112</v>
      </c>
      <c r="I216" s="207">
        <v>5000</v>
      </c>
      <c r="J216" s="209" t="s">
        <v>1301</v>
      </c>
      <c r="K216" s="209">
        <v>13775600605</v>
      </c>
      <c r="L216" s="209" t="s">
        <v>1302</v>
      </c>
      <c r="M216" s="209" t="s">
        <v>1303</v>
      </c>
      <c r="N216" s="209" t="s">
        <v>81</v>
      </c>
      <c r="O216" s="209"/>
      <c r="P216" s="209" t="s">
        <v>1304</v>
      </c>
      <c r="Q216" s="209" t="s">
        <v>1305</v>
      </c>
      <c r="R216" s="209" t="s">
        <v>116</v>
      </c>
      <c r="S216" s="207"/>
      <c r="T216" s="209"/>
      <c r="U216" s="209"/>
      <c r="V216" s="209"/>
      <c r="W216" s="209"/>
      <c r="X216" s="209"/>
      <c r="Y216" s="209" t="s">
        <v>84</v>
      </c>
      <c r="Z216" s="209"/>
      <c r="AA216" s="207" t="s">
        <v>85</v>
      </c>
      <c r="AB216" s="207" t="s">
        <v>86</v>
      </c>
      <c r="AC216" s="207" t="s">
        <v>96</v>
      </c>
      <c r="AD216" s="209" t="s">
        <v>255</v>
      </c>
      <c r="AE216" s="225"/>
      <c r="AF216" s="209"/>
      <c r="AG216" s="209"/>
      <c r="AH216" s="209"/>
      <c r="AI216" s="209"/>
      <c r="AJ216" s="209"/>
      <c r="AK216" s="209"/>
      <c r="AL216" s="209"/>
      <c r="AM216" s="209" t="s">
        <v>97</v>
      </c>
      <c r="AN216" s="209"/>
      <c r="AO216" s="209" t="s">
        <v>97</v>
      </c>
      <c r="AP216" s="209" t="s">
        <v>97</v>
      </c>
      <c r="AR216" s="209"/>
      <c r="AS216" s="209"/>
      <c r="AT216" s="209"/>
      <c r="AU216" s="209"/>
      <c r="AV216" s="209"/>
      <c r="AW216" s="209"/>
      <c r="AX216" s="209"/>
      <c r="AY216" s="209"/>
      <c r="AZ216" s="209"/>
      <c r="BA216" s="209" t="s">
        <v>369</v>
      </c>
      <c r="BB216" s="225"/>
      <c r="BC216" s="225"/>
      <c r="BD216" s="225"/>
      <c r="BE216" s="209"/>
      <c r="BF216" s="209"/>
      <c r="BG216" s="209"/>
      <c r="BH216" s="209"/>
      <c r="BI216" s="209"/>
      <c r="BJ216" s="209"/>
      <c r="BK216" s="209"/>
      <c r="BL216" s="209"/>
      <c r="BM216" s="209"/>
      <c r="BN216" s="209"/>
      <c r="BO216" s="209"/>
      <c r="BP216" s="209"/>
      <c r="BQ216" s="225"/>
      <c r="BR216" s="209"/>
    </row>
    <row r="217" ht="32" customHeight="1" spans="1:70">
      <c r="A217" s="189">
        <v>215</v>
      </c>
      <c r="B217" s="209" t="s">
        <v>1306</v>
      </c>
      <c r="C217" s="209" t="s">
        <v>956</v>
      </c>
      <c r="D217" s="209" t="s">
        <v>1307</v>
      </c>
      <c r="E217" s="209"/>
      <c r="F217" s="207" t="s">
        <v>80</v>
      </c>
      <c r="G217" s="209" t="s">
        <v>520</v>
      </c>
      <c r="H217" s="209">
        <v>40</v>
      </c>
      <c r="I217" s="209" t="s">
        <v>510</v>
      </c>
      <c r="J217" s="209" t="s">
        <v>1308</v>
      </c>
      <c r="K217" s="209">
        <v>13775131214</v>
      </c>
      <c r="L217" s="209"/>
      <c r="M217" s="209" t="s">
        <v>1309</v>
      </c>
      <c r="N217" s="209" t="s">
        <v>1310</v>
      </c>
      <c r="O217" s="209"/>
      <c r="P217" s="209"/>
      <c r="Q217" s="209" t="s">
        <v>576</v>
      </c>
      <c r="R217" s="209"/>
      <c r="S217" s="207"/>
      <c r="T217" s="209"/>
      <c r="U217" s="209"/>
      <c r="V217" s="209"/>
      <c r="W217" s="209"/>
      <c r="X217" s="209"/>
      <c r="Y217" s="209" t="s">
        <v>84</v>
      </c>
      <c r="Z217" s="207" t="s">
        <v>85</v>
      </c>
      <c r="AA217" s="207" t="s">
        <v>85</v>
      </c>
      <c r="AB217" s="207" t="s">
        <v>86</v>
      </c>
      <c r="AC217" s="207" t="s">
        <v>1044</v>
      </c>
      <c r="AD217" s="209" t="s">
        <v>1311</v>
      </c>
      <c r="AE217" s="225"/>
      <c r="AF217" s="209"/>
      <c r="AG217" s="209"/>
      <c r="AH217" s="209"/>
      <c r="AI217" s="209" t="s">
        <v>538</v>
      </c>
      <c r="AJ217" s="209"/>
      <c r="AK217" s="209"/>
      <c r="AL217" s="209" t="s">
        <v>1312</v>
      </c>
      <c r="AM217" s="209" t="s">
        <v>97</v>
      </c>
      <c r="AN217" s="209" t="s">
        <v>1313</v>
      </c>
      <c r="AO217" s="209" t="s">
        <v>97</v>
      </c>
      <c r="AP217" s="209" t="s">
        <v>97</v>
      </c>
      <c r="AR217" s="209"/>
      <c r="AS217" s="209"/>
      <c r="AT217" s="209"/>
      <c r="AU217" s="209"/>
      <c r="AV217" s="209"/>
      <c r="AW217" s="209"/>
      <c r="AX217" s="209"/>
      <c r="AY217" s="209"/>
      <c r="AZ217" s="209"/>
      <c r="BA217" s="209" t="s">
        <v>369</v>
      </c>
      <c r="BB217" s="225"/>
      <c r="BC217" s="225"/>
      <c r="BD217" s="225"/>
      <c r="BE217" s="209"/>
      <c r="BF217" s="209"/>
      <c r="BG217" s="209"/>
      <c r="BH217" s="209"/>
      <c r="BI217" s="209"/>
      <c r="BJ217" s="209"/>
      <c r="BK217" s="209"/>
      <c r="BL217" s="209"/>
      <c r="BM217" s="209"/>
      <c r="BN217" s="209"/>
      <c r="BO217" s="209"/>
      <c r="BP217" s="209"/>
      <c r="BQ217" s="225"/>
      <c r="BR217" s="209"/>
    </row>
    <row r="218" ht="32" customHeight="1" spans="1:70">
      <c r="A218" s="189">
        <v>216</v>
      </c>
      <c r="B218" s="209" t="s">
        <v>1314</v>
      </c>
      <c r="C218" s="209" t="s">
        <v>956</v>
      </c>
      <c r="D218" s="209" t="s">
        <v>1315</v>
      </c>
      <c r="E218" s="209" t="s">
        <v>348</v>
      </c>
      <c r="F218" s="207" t="s">
        <v>80</v>
      </c>
      <c r="G218" s="209" t="s">
        <v>520</v>
      </c>
      <c r="H218" s="209">
        <v>60</v>
      </c>
      <c r="I218" s="207">
        <v>2500</v>
      </c>
      <c r="J218" s="209" t="s">
        <v>1316</v>
      </c>
      <c r="K218" s="209">
        <v>13912312566</v>
      </c>
      <c r="L218" s="209" t="s">
        <v>1317</v>
      </c>
      <c r="M218" s="209" t="s">
        <v>1318</v>
      </c>
      <c r="N218" s="209" t="s">
        <v>1319</v>
      </c>
      <c r="O218" s="209"/>
      <c r="P218" s="209" t="s">
        <v>1320</v>
      </c>
      <c r="Q218" s="209"/>
      <c r="R218" s="209"/>
      <c r="S218" s="207"/>
      <c r="T218" s="209"/>
      <c r="U218" s="209"/>
      <c r="V218" s="209"/>
      <c r="W218" s="209"/>
      <c r="X218" s="209"/>
      <c r="Y218" s="209" t="s">
        <v>84</v>
      </c>
      <c r="Z218" s="209"/>
      <c r="AA218" s="207" t="s">
        <v>85</v>
      </c>
      <c r="AB218" s="207" t="s">
        <v>86</v>
      </c>
      <c r="AC218" s="207" t="s">
        <v>96</v>
      </c>
      <c r="AD218" s="209" t="s">
        <v>1321</v>
      </c>
      <c r="AE218" s="225"/>
      <c r="AF218" s="209"/>
      <c r="AG218" s="209"/>
      <c r="AH218" s="209"/>
      <c r="AI218" s="209"/>
      <c r="AJ218" s="209"/>
      <c r="AK218" s="209"/>
      <c r="AL218" s="209"/>
      <c r="AM218" s="209" t="s">
        <v>97</v>
      </c>
      <c r="AN218" s="209"/>
      <c r="AO218" s="209" t="s">
        <v>97</v>
      </c>
      <c r="AP218" s="209" t="s">
        <v>97</v>
      </c>
      <c r="AR218" s="209"/>
      <c r="AS218" s="209"/>
      <c r="AT218" s="209"/>
      <c r="AU218" s="209"/>
      <c r="AV218" s="209"/>
      <c r="AW218" s="209"/>
      <c r="AX218" s="209"/>
      <c r="AY218" s="209"/>
      <c r="AZ218" s="209"/>
      <c r="BA218" s="209" t="s">
        <v>369</v>
      </c>
      <c r="BB218" s="225"/>
      <c r="BC218" s="225"/>
      <c r="BD218" s="225"/>
      <c r="BE218" s="209"/>
      <c r="BF218" s="209"/>
      <c r="BG218" s="209"/>
      <c r="BH218" s="209"/>
      <c r="BI218" s="209"/>
      <c r="BJ218" s="209"/>
      <c r="BK218" s="209"/>
      <c r="BL218" s="209"/>
      <c r="BM218" s="209"/>
      <c r="BN218" s="209"/>
      <c r="BO218" s="209"/>
      <c r="BP218" s="209"/>
      <c r="BQ218" s="225"/>
      <c r="BR218" s="209"/>
    </row>
    <row r="219" ht="32" customHeight="1" spans="1:70">
      <c r="A219" s="189">
        <v>217</v>
      </c>
      <c r="B219" s="209" t="s">
        <v>1322</v>
      </c>
      <c r="C219" s="209" t="s">
        <v>956</v>
      </c>
      <c r="D219" s="209" t="s">
        <v>1323</v>
      </c>
      <c r="E219" s="209" t="s">
        <v>737</v>
      </c>
      <c r="F219" s="207" t="s">
        <v>80</v>
      </c>
      <c r="G219" s="209" t="s">
        <v>520</v>
      </c>
      <c r="H219" s="209"/>
      <c r="I219" s="207">
        <v>2500</v>
      </c>
      <c r="J219" s="209" t="s">
        <v>1324</v>
      </c>
      <c r="K219" s="209">
        <v>13776889869</v>
      </c>
      <c r="L219" s="209"/>
      <c r="M219" s="209" t="s">
        <v>1325</v>
      </c>
      <c r="N219" s="209"/>
      <c r="O219" s="209" t="s">
        <v>1326</v>
      </c>
      <c r="P219" s="209"/>
      <c r="Q219" s="209" t="s">
        <v>448</v>
      </c>
      <c r="R219" s="209"/>
      <c r="S219" s="207"/>
      <c r="T219" s="209"/>
      <c r="U219" s="209"/>
      <c r="V219" s="209"/>
      <c r="W219" s="209"/>
      <c r="X219" s="209"/>
      <c r="Y219" s="209"/>
      <c r="Z219" s="209"/>
      <c r="AA219" s="207" t="s">
        <v>85</v>
      </c>
      <c r="AB219" s="207" t="s">
        <v>128</v>
      </c>
      <c r="AC219" s="207" t="s">
        <v>96</v>
      </c>
      <c r="AD219" s="209" t="s">
        <v>1327</v>
      </c>
      <c r="AE219" s="225"/>
      <c r="AF219" s="209"/>
      <c r="AG219" s="209"/>
      <c r="AH219" s="209"/>
      <c r="AI219" s="209"/>
      <c r="AJ219" s="209"/>
      <c r="AK219" s="209"/>
      <c r="AL219" s="209"/>
      <c r="AM219" s="209"/>
      <c r="AN219" s="209"/>
      <c r="AO219" s="209" t="s">
        <v>97</v>
      </c>
      <c r="AP219" s="209" t="s">
        <v>97</v>
      </c>
      <c r="AR219" s="209"/>
      <c r="AS219" s="209"/>
      <c r="AT219" s="209"/>
      <c r="AU219" s="209"/>
      <c r="AV219" s="209"/>
      <c r="AW219" s="209"/>
      <c r="AX219" s="209"/>
      <c r="AY219" s="209"/>
      <c r="AZ219" s="209"/>
      <c r="BA219" s="209" t="s">
        <v>369</v>
      </c>
      <c r="BB219" s="225"/>
      <c r="BC219" s="225"/>
      <c r="BD219" s="225"/>
      <c r="BE219" s="209"/>
      <c r="BF219" s="209"/>
      <c r="BG219" s="209"/>
      <c r="BH219" s="209"/>
      <c r="BI219" s="209"/>
      <c r="BJ219" s="209"/>
      <c r="BK219" s="209"/>
      <c r="BL219" s="209"/>
      <c r="BM219" s="209"/>
      <c r="BN219" s="209"/>
      <c r="BO219" s="209"/>
      <c r="BP219" s="209"/>
      <c r="BQ219" s="225"/>
      <c r="BR219" s="209"/>
    </row>
    <row r="220" ht="32" customHeight="1" spans="1:70">
      <c r="A220" s="189">
        <v>218</v>
      </c>
      <c r="B220" s="209" t="s">
        <v>1328</v>
      </c>
      <c r="C220" s="209" t="s">
        <v>956</v>
      </c>
      <c r="D220" s="209" t="s">
        <v>1329</v>
      </c>
      <c r="E220" s="209">
        <v>2005</v>
      </c>
      <c r="F220" s="207" t="s">
        <v>80</v>
      </c>
      <c r="G220" s="209" t="s">
        <v>520</v>
      </c>
      <c r="H220" s="209">
        <v>102</v>
      </c>
      <c r="I220" s="207">
        <v>5000</v>
      </c>
      <c r="J220" s="209" t="s">
        <v>1330</v>
      </c>
      <c r="K220" s="209"/>
      <c r="L220" s="209"/>
      <c r="M220" s="209" t="s">
        <v>1331</v>
      </c>
      <c r="N220" s="209" t="s">
        <v>1310</v>
      </c>
      <c r="O220" s="209"/>
      <c r="P220" s="209"/>
      <c r="Q220" s="209"/>
      <c r="R220" s="209" t="s">
        <v>116</v>
      </c>
      <c r="S220" s="207"/>
      <c r="T220" s="209"/>
      <c r="U220" s="209"/>
      <c r="V220" s="209"/>
      <c r="W220" s="209"/>
      <c r="X220" s="209"/>
      <c r="Y220" s="209"/>
      <c r="Z220" s="209"/>
      <c r="AA220" s="209"/>
      <c r="AB220" s="207" t="s">
        <v>128</v>
      </c>
      <c r="AC220" s="209"/>
      <c r="AD220" s="209" t="s">
        <v>1332</v>
      </c>
      <c r="AE220" s="225"/>
      <c r="AF220" s="209"/>
      <c r="AG220" s="209"/>
      <c r="AH220" s="209"/>
      <c r="AI220" s="209"/>
      <c r="AJ220" s="209"/>
      <c r="AK220" s="209"/>
      <c r="AL220" s="209"/>
      <c r="AM220" s="209"/>
      <c r="AN220" s="209"/>
      <c r="AO220" s="209" t="s">
        <v>97</v>
      </c>
      <c r="AP220" s="209" t="s">
        <v>97</v>
      </c>
      <c r="AR220" s="209"/>
      <c r="AS220" s="209"/>
      <c r="AT220" s="209"/>
      <c r="AU220" s="209"/>
      <c r="AV220" s="209"/>
      <c r="AW220" s="209"/>
      <c r="AX220" s="209"/>
      <c r="AY220" s="209"/>
      <c r="AZ220" s="209"/>
      <c r="BA220" s="209" t="s">
        <v>369</v>
      </c>
      <c r="BB220" s="225"/>
      <c r="BC220" s="225"/>
      <c r="BD220" s="225"/>
      <c r="BE220" s="209"/>
      <c r="BF220" s="209"/>
      <c r="BG220" s="209"/>
      <c r="BH220" s="209"/>
      <c r="BI220" s="209"/>
      <c r="BJ220" s="209"/>
      <c r="BK220" s="209"/>
      <c r="BL220" s="209"/>
      <c r="BM220" s="209"/>
      <c r="BN220" s="209"/>
      <c r="BO220" s="209"/>
      <c r="BP220" s="209"/>
      <c r="BQ220" s="225"/>
      <c r="BR220" s="209"/>
    </row>
    <row r="221" ht="32" customHeight="1" spans="1:70">
      <c r="A221" s="189">
        <v>219</v>
      </c>
      <c r="B221" s="209" t="s">
        <v>1333</v>
      </c>
      <c r="C221" s="209" t="s">
        <v>956</v>
      </c>
      <c r="D221" s="209" t="s">
        <v>1334</v>
      </c>
      <c r="E221" s="209" t="s">
        <v>563</v>
      </c>
      <c r="F221" s="207" t="s">
        <v>80</v>
      </c>
      <c r="G221" s="209" t="s">
        <v>1110</v>
      </c>
      <c r="H221" s="209">
        <v>464</v>
      </c>
      <c r="I221" s="207">
        <v>5000</v>
      </c>
      <c r="J221" s="209" t="s">
        <v>1335</v>
      </c>
      <c r="K221" s="209">
        <v>13584553177</v>
      </c>
      <c r="L221" s="209"/>
      <c r="M221" s="209" t="s">
        <v>1336</v>
      </c>
      <c r="N221" s="209"/>
      <c r="O221" s="209"/>
      <c r="P221" s="209"/>
      <c r="Q221" s="209" t="s">
        <v>448</v>
      </c>
      <c r="R221" s="209" t="s">
        <v>116</v>
      </c>
      <c r="S221" s="207"/>
      <c r="T221" s="209"/>
      <c r="U221" s="209"/>
      <c r="V221" s="209"/>
      <c r="W221" s="209"/>
      <c r="X221" s="209"/>
      <c r="Y221" s="209" t="s">
        <v>84</v>
      </c>
      <c r="Z221" s="209"/>
      <c r="AA221" s="207" t="s">
        <v>85</v>
      </c>
      <c r="AB221" s="207" t="s">
        <v>128</v>
      </c>
      <c r="AC221" s="207" t="s">
        <v>96</v>
      </c>
      <c r="AD221" s="209" t="s">
        <v>1337</v>
      </c>
      <c r="AE221" s="225"/>
      <c r="AF221" s="209"/>
      <c r="AG221" s="209"/>
      <c r="AH221" s="209"/>
      <c r="AI221" s="209" t="s">
        <v>538</v>
      </c>
      <c r="AJ221" s="209"/>
      <c r="AK221" s="209"/>
      <c r="AL221" s="209"/>
      <c r="AM221" s="209" t="s">
        <v>85</v>
      </c>
      <c r="AN221" s="209" t="s">
        <v>1338</v>
      </c>
      <c r="AO221" s="209" t="s">
        <v>97</v>
      </c>
      <c r="AP221" s="209" t="s">
        <v>97</v>
      </c>
      <c r="AR221" s="209"/>
      <c r="AS221" s="209"/>
      <c r="AT221" s="209"/>
      <c r="AU221" s="209"/>
      <c r="AV221" s="209"/>
      <c r="AW221" s="209"/>
      <c r="AX221" s="209"/>
      <c r="AY221" s="209"/>
      <c r="AZ221" s="209"/>
      <c r="BA221" s="209" t="s">
        <v>369</v>
      </c>
      <c r="BB221" s="225"/>
      <c r="BC221" s="225"/>
      <c r="BD221" s="225"/>
      <c r="BE221" s="209"/>
      <c r="BF221" s="209"/>
      <c r="BG221" s="209"/>
      <c r="BH221" s="209"/>
      <c r="BI221" s="209"/>
      <c r="BJ221" s="209"/>
      <c r="BK221" s="209"/>
      <c r="BL221" s="209"/>
      <c r="BM221" s="209"/>
      <c r="BN221" s="209"/>
      <c r="BO221" s="209"/>
      <c r="BP221" s="209"/>
      <c r="BQ221" s="225"/>
      <c r="BR221" s="209"/>
    </row>
    <row r="222" ht="32" customHeight="1" spans="1:70">
      <c r="A222" s="189">
        <v>220</v>
      </c>
      <c r="B222" s="209" t="s">
        <v>1339</v>
      </c>
      <c r="C222" s="209" t="s">
        <v>956</v>
      </c>
      <c r="D222" s="209" t="s">
        <v>1340</v>
      </c>
      <c r="E222" s="209" t="s">
        <v>179</v>
      </c>
      <c r="F222" s="207" t="s">
        <v>80</v>
      </c>
      <c r="G222" s="209" t="s">
        <v>520</v>
      </c>
      <c r="H222" s="209">
        <v>150</v>
      </c>
      <c r="I222" s="207">
        <v>5000</v>
      </c>
      <c r="J222" s="209" t="s">
        <v>1341</v>
      </c>
      <c r="K222" s="209">
        <v>13601504610</v>
      </c>
      <c r="L222" s="209"/>
      <c r="M222" s="209" t="s">
        <v>698</v>
      </c>
      <c r="N222" s="209"/>
      <c r="O222" s="209" t="s">
        <v>1342</v>
      </c>
      <c r="P222" s="209"/>
      <c r="Q222" s="209"/>
      <c r="R222" s="209" t="s">
        <v>116</v>
      </c>
      <c r="S222" s="207"/>
      <c r="T222" s="209"/>
      <c r="U222" s="209"/>
      <c r="V222" s="209"/>
      <c r="W222" s="209"/>
      <c r="X222" s="209"/>
      <c r="Y222" s="209"/>
      <c r="Z222" s="209"/>
      <c r="AA222" s="209"/>
      <c r="AB222" s="209"/>
      <c r="AC222" s="209"/>
      <c r="AD222" s="209"/>
      <c r="AE222" s="225"/>
      <c r="AF222" s="209"/>
      <c r="AG222" s="209"/>
      <c r="AH222" s="209"/>
      <c r="AI222" s="209"/>
      <c r="AJ222" s="209"/>
      <c r="AK222" s="209"/>
      <c r="AL222" s="209"/>
      <c r="AM222" s="209"/>
      <c r="AN222" s="209"/>
      <c r="AO222" s="209" t="s">
        <v>97</v>
      </c>
      <c r="AP222" s="209" t="s">
        <v>97</v>
      </c>
      <c r="AR222" s="209"/>
      <c r="AS222" s="209"/>
      <c r="AT222" s="209"/>
      <c r="AU222" s="209"/>
      <c r="AV222" s="209"/>
      <c r="AW222" s="209"/>
      <c r="AX222" s="209"/>
      <c r="AY222" s="209"/>
      <c r="AZ222" s="209"/>
      <c r="BA222" s="209" t="s">
        <v>369</v>
      </c>
      <c r="BB222" s="225"/>
      <c r="BC222" s="225"/>
      <c r="BD222" s="225"/>
      <c r="BE222" s="209"/>
      <c r="BF222" s="209"/>
      <c r="BG222" s="209"/>
      <c r="BH222" s="209"/>
      <c r="BI222" s="209"/>
      <c r="BJ222" s="209"/>
      <c r="BK222" s="209"/>
      <c r="BL222" s="209"/>
      <c r="BM222" s="209"/>
      <c r="BN222" s="209"/>
      <c r="BO222" s="209"/>
      <c r="BP222" s="209"/>
      <c r="BQ222" s="209"/>
      <c r="BR222" s="209"/>
    </row>
    <row r="223" ht="32" customHeight="1" spans="1:70">
      <c r="A223" s="189">
        <v>221</v>
      </c>
      <c r="B223" s="209" t="s">
        <v>1343</v>
      </c>
      <c r="C223" s="209" t="s">
        <v>956</v>
      </c>
      <c r="D223" s="209" t="s">
        <v>1344</v>
      </c>
      <c r="E223" s="209" t="s">
        <v>1345</v>
      </c>
      <c r="F223" s="209"/>
      <c r="G223" s="209" t="s">
        <v>310</v>
      </c>
      <c r="H223" s="209">
        <v>60</v>
      </c>
      <c r="I223" s="207">
        <v>2500</v>
      </c>
      <c r="J223" s="209" t="s">
        <v>1346</v>
      </c>
      <c r="K223" s="209">
        <v>13915013238</v>
      </c>
      <c r="L223" s="209"/>
      <c r="M223" s="209" t="s">
        <v>1347</v>
      </c>
      <c r="N223" s="209"/>
      <c r="O223" s="209" t="s">
        <v>1348</v>
      </c>
      <c r="P223" s="209" t="s">
        <v>1349</v>
      </c>
      <c r="Q223" s="209" t="s">
        <v>140</v>
      </c>
      <c r="R223" s="209" t="s">
        <v>116</v>
      </c>
      <c r="S223" s="207"/>
      <c r="T223" s="209"/>
      <c r="U223" s="209"/>
      <c r="V223" s="209"/>
      <c r="W223" s="209"/>
      <c r="X223" s="209"/>
      <c r="Y223" s="209" t="s">
        <v>84</v>
      </c>
      <c r="Z223" s="209"/>
      <c r="AA223" s="207" t="s">
        <v>85</v>
      </c>
      <c r="AB223" s="207" t="s">
        <v>128</v>
      </c>
      <c r="AC223" s="209"/>
      <c r="AD223" s="209" t="s">
        <v>255</v>
      </c>
      <c r="AE223" s="225"/>
      <c r="AF223" s="209"/>
      <c r="AG223" s="209"/>
      <c r="AH223" s="209"/>
      <c r="AI223" s="209"/>
      <c r="AJ223" s="209"/>
      <c r="AK223" s="209"/>
      <c r="AL223" s="209" t="s">
        <v>369</v>
      </c>
      <c r="AM223" s="209" t="s">
        <v>97</v>
      </c>
      <c r="AN223" s="209" t="s">
        <v>369</v>
      </c>
      <c r="AO223" s="209" t="s">
        <v>97</v>
      </c>
      <c r="AP223" s="209" t="s">
        <v>97</v>
      </c>
      <c r="AR223" s="209"/>
      <c r="AS223" s="209"/>
      <c r="AT223" s="209"/>
      <c r="AU223" s="209"/>
      <c r="AV223" s="209"/>
      <c r="AW223" s="209"/>
      <c r="AX223" s="209"/>
      <c r="AY223" s="209"/>
      <c r="AZ223" s="209"/>
      <c r="BA223" s="209" t="s">
        <v>369</v>
      </c>
      <c r="BB223" s="225"/>
      <c r="BC223" s="225"/>
      <c r="BD223" s="225"/>
      <c r="BE223" s="209"/>
      <c r="BF223" s="209"/>
      <c r="BG223" s="209"/>
      <c r="BH223" s="209"/>
      <c r="BI223" s="209"/>
      <c r="BJ223" s="209"/>
      <c r="BK223" s="209"/>
      <c r="BL223" s="209"/>
      <c r="BM223" s="209"/>
      <c r="BN223" s="209"/>
      <c r="BO223" s="209"/>
      <c r="BP223" s="209"/>
      <c r="BQ223" s="209" t="s">
        <v>369</v>
      </c>
      <c r="BR223" s="209"/>
    </row>
    <row r="224" ht="32" customHeight="1" spans="1:70">
      <c r="A224" s="189">
        <v>222</v>
      </c>
      <c r="B224" s="209" t="s">
        <v>1350</v>
      </c>
      <c r="C224" s="209" t="s">
        <v>956</v>
      </c>
      <c r="D224" s="209" t="s">
        <v>1351</v>
      </c>
      <c r="E224" s="209" t="s">
        <v>344</v>
      </c>
      <c r="F224" s="209"/>
      <c r="G224" s="209" t="s">
        <v>1352</v>
      </c>
      <c r="H224" s="209">
        <v>4</v>
      </c>
      <c r="I224" s="207">
        <v>2500</v>
      </c>
      <c r="J224" s="209" t="s">
        <v>1353</v>
      </c>
      <c r="K224" s="209">
        <v>15261103618</v>
      </c>
      <c r="L224" s="209" t="s">
        <v>1354</v>
      </c>
      <c r="M224" s="209" t="s">
        <v>1355</v>
      </c>
      <c r="N224" s="209" t="s">
        <v>1347</v>
      </c>
      <c r="O224" s="209" t="s">
        <v>474</v>
      </c>
      <c r="P224" s="209"/>
      <c r="Q224" s="209" t="s">
        <v>1144</v>
      </c>
      <c r="R224" s="209"/>
      <c r="S224" s="207"/>
      <c r="T224" s="209"/>
      <c r="U224" s="209"/>
      <c r="V224" s="209"/>
      <c r="W224" s="209"/>
      <c r="X224" s="209"/>
      <c r="Y224" s="209" t="s">
        <v>84</v>
      </c>
      <c r="Z224" s="209"/>
      <c r="AA224" s="207" t="s">
        <v>85</v>
      </c>
      <c r="AB224" s="207" t="s">
        <v>128</v>
      </c>
      <c r="AC224" s="207" t="s">
        <v>96</v>
      </c>
      <c r="AD224" s="209" t="s">
        <v>1356</v>
      </c>
      <c r="AE224" s="225"/>
      <c r="AF224" s="209"/>
      <c r="AG224" s="209"/>
      <c r="AH224" s="209"/>
      <c r="AI224" s="209"/>
      <c r="AJ224" s="209"/>
      <c r="AK224" s="209"/>
      <c r="AL224" s="209" t="s">
        <v>369</v>
      </c>
      <c r="AM224" s="209" t="s">
        <v>97</v>
      </c>
      <c r="AN224" s="209" t="s">
        <v>369</v>
      </c>
      <c r="AO224" s="209" t="s">
        <v>97</v>
      </c>
      <c r="AP224" s="209" t="s">
        <v>97</v>
      </c>
      <c r="AR224" s="209"/>
      <c r="AS224" s="209"/>
      <c r="AT224" s="209"/>
      <c r="AU224" s="209"/>
      <c r="AV224" s="209"/>
      <c r="AW224" s="209"/>
      <c r="AX224" s="209"/>
      <c r="AY224" s="209"/>
      <c r="AZ224" s="209"/>
      <c r="BA224" s="209" t="s">
        <v>369</v>
      </c>
      <c r="BB224" s="225"/>
      <c r="BC224" s="225"/>
      <c r="BD224" s="225"/>
      <c r="BE224" s="209"/>
      <c r="BF224" s="209"/>
      <c r="BG224" s="209"/>
      <c r="BH224" s="209"/>
      <c r="BI224" s="209"/>
      <c r="BJ224" s="209"/>
      <c r="BK224" s="209"/>
      <c r="BL224" s="209"/>
      <c r="BM224" s="209"/>
      <c r="BN224" s="209"/>
      <c r="BO224" s="209"/>
      <c r="BP224" s="209"/>
      <c r="BQ224" s="209" t="s">
        <v>369</v>
      </c>
      <c r="BR224" s="209"/>
    </row>
    <row r="225" ht="32" customHeight="1" spans="1:70">
      <c r="A225" s="189">
        <v>223</v>
      </c>
      <c r="B225" s="209" t="s">
        <v>1357</v>
      </c>
      <c r="C225" s="209" t="s">
        <v>956</v>
      </c>
      <c r="D225" s="209" t="s">
        <v>1358</v>
      </c>
      <c r="E225" s="209" t="s">
        <v>184</v>
      </c>
      <c r="F225" s="209"/>
      <c r="G225" s="209" t="s">
        <v>301</v>
      </c>
      <c r="H225" s="209">
        <v>14</v>
      </c>
      <c r="I225" s="209" t="s">
        <v>1006</v>
      </c>
      <c r="J225" s="209" t="s">
        <v>1359</v>
      </c>
      <c r="K225" s="209">
        <v>13921017116</v>
      </c>
      <c r="L225" s="207"/>
      <c r="M225" s="209" t="s">
        <v>738</v>
      </c>
      <c r="N225" s="209"/>
      <c r="O225" s="209"/>
      <c r="P225" s="209"/>
      <c r="Q225" s="209" t="s">
        <v>576</v>
      </c>
      <c r="R225" s="209"/>
      <c r="S225" s="207"/>
      <c r="T225" s="209"/>
      <c r="U225" s="209"/>
      <c r="V225" s="209"/>
      <c r="W225" s="209"/>
      <c r="X225" s="209"/>
      <c r="Y225" s="209" t="s">
        <v>84</v>
      </c>
      <c r="Z225" s="209"/>
      <c r="AA225" s="207" t="s">
        <v>85</v>
      </c>
      <c r="AB225" s="207" t="s">
        <v>128</v>
      </c>
      <c r="AC225" s="209"/>
      <c r="AD225" s="209">
        <v>50000</v>
      </c>
      <c r="AE225" s="225"/>
      <c r="AF225" s="209"/>
      <c r="AG225" s="209"/>
      <c r="AH225" s="209"/>
      <c r="AI225" s="209"/>
      <c r="AJ225" s="209"/>
      <c r="AK225" s="209"/>
      <c r="AL225" s="209" t="s">
        <v>369</v>
      </c>
      <c r="AM225" s="209" t="s">
        <v>97</v>
      </c>
      <c r="AN225" s="209" t="s">
        <v>369</v>
      </c>
      <c r="AO225" s="209" t="s">
        <v>97</v>
      </c>
      <c r="AP225" s="209" t="s">
        <v>97</v>
      </c>
      <c r="AR225" s="209"/>
      <c r="AS225" s="209"/>
      <c r="AT225" s="209"/>
      <c r="AU225" s="209"/>
      <c r="AV225" s="209"/>
      <c r="AW225" s="209"/>
      <c r="AX225" s="209"/>
      <c r="AY225" s="209"/>
      <c r="AZ225" s="209"/>
      <c r="BA225" s="209" t="s">
        <v>369</v>
      </c>
      <c r="BB225" s="225"/>
      <c r="BC225" s="225"/>
      <c r="BD225" s="225"/>
      <c r="BE225" s="209"/>
      <c r="BF225" s="209"/>
      <c r="BG225" s="209"/>
      <c r="BH225" s="209"/>
      <c r="BI225" s="209"/>
      <c r="BJ225" s="209"/>
      <c r="BK225" s="209"/>
      <c r="BL225" s="209"/>
      <c r="BM225" s="209"/>
      <c r="BN225" s="209"/>
      <c r="BO225" s="209"/>
      <c r="BP225" s="209"/>
      <c r="BQ225" s="209" t="s">
        <v>369</v>
      </c>
      <c r="BR225" s="209"/>
    </row>
    <row r="226" ht="32" customHeight="1" spans="1:70">
      <c r="A226" s="189">
        <v>224</v>
      </c>
      <c r="B226" s="209" t="s">
        <v>1360</v>
      </c>
      <c r="C226" s="209" t="s">
        <v>956</v>
      </c>
      <c r="D226" s="209" t="s">
        <v>1361</v>
      </c>
      <c r="E226" s="209" t="s">
        <v>1345</v>
      </c>
      <c r="F226" s="209"/>
      <c r="G226" s="209" t="s">
        <v>520</v>
      </c>
      <c r="H226" s="209"/>
      <c r="I226" s="207">
        <v>2500</v>
      </c>
      <c r="J226" s="209" t="s">
        <v>1362</v>
      </c>
      <c r="K226" s="209">
        <v>13801507811</v>
      </c>
      <c r="L226" s="207"/>
      <c r="M226" s="209" t="s">
        <v>1363</v>
      </c>
      <c r="N226" s="209"/>
      <c r="O226" s="209"/>
      <c r="P226" s="209"/>
      <c r="Q226" s="209" t="s">
        <v>576</v>
      </c>
      <c r="R226" s="209"/>
      <c r="S226" s="207"/>
      <c r="T226" s="209"/>
      <c r="U226" s="209"/>
      <c r="V226" s="209"/>
      <c r="W226" s="209"/>
      <c r="X226" s="209"/>
      <c r="Y226" s="209"/>
      <c r="Z226" s="209"/>
      <c r="AA226" s="209"/>
      <c r="AB226" s="207" t="s">
        <v>128</v>
      </c>
      <c r="AC226" s="209"/>
      <c r="AD226" s="209">
        <v>6210000</v>
      </c>
      <c r="AE226" s="225"/>
      <c r="AF226" s="209"/>
      <c r="AG226" s="209"/>
      <c r="AH226" s="209"/>
      <c r="AI226" s="209"/>
      <c r="AJ226" s="209"/>
      <c r="AK226" s="209"/>
      <c r="AL226" s="209" t="s">
        <v>369</v>
      </c>
      <c r="AM226" s="209" t="s">
        <v>97</v>
      </c>
      <c r="AN226" s="209" t="s">
        <v>369</v>
      </c>
      <c r="AO226" s="209" t="s">
        <v>97</v>
      </c>
      <c r="AP226" s="209" t="s">
        <v>97</v>
      </c>
      <c r="AR226" s="209"/>
      <c r="AS226" s="209"/>
      <c r="AT226" s="209"/>
      <c r="AU226" s="209"/>
      <c r="AV226" s="209"/>
      <c r="AW226" s="209"/>
      <c r="AX226" s="209"/>
      <c r="AY226" s="209"/>
      <c r="AZ226" s="209"/>
      <c r="BA226" s="209" t="s">
        <v>369</v>
      </c>
      <c r="BB226" s="225"/>
      <c r="BC226" s="225"/>
      <c r="BD226" s="225"/>
      <c r="BE226" s="209"/>
      <c r="BF226" s="209"/>
      <c r="BG226" s="209"/>
      <c r="BH226" s="209"/>
      <c r="BI226" s="209"/>
      <c r="BJ226" s="209"/>
      <c r="BK226" s="209"/>
      <c r="BL226" s="209"/>
      <c r="BM226" s="209"/>
      <c r="BN226" s="209"/>
      <c r="BO226" s="209"/>
      <c r="BP226" s="209"/>
      <c r="BQ226" s="209" t="s">
        <v>369</v>
      </c>
      <c r="BR226" s="209"/>
    </row>
    <row r="227" ht="32" customHeight="1" spans="1:70">
      <c r="A227" s="189">
        <v>225</v>
      </c>
      <c r="B227" s="209" t="s">
        <v>1364</v>
      </c>
      <c r="C227" s="209" t="s">
        <v>956</v>
      </c>
      <c r="D227" s="209" t="s">
        <v>1365</v>
      </c>
      <c r="E227" s="209" t="s">
        <v>192</v>
      </c>
      <c r="F227" s="207" t="s">
        <v>80</v>
      </c>
      <c r="G227" s="209" t="s">
        <v>586</v>
      </c>
      <c r="H227" s="209">
        <v>2</v>
      </c>
      <c r="I227" s="209"/>
      <c r="J227" s="209" t="s">
        <v>1366</v>
      </c>
      <c r="K227" s="209">
        <v>13235170098</v>
      </c>
      <c r="L227" s="207"/>
      <c r="M227" s="209" t="s">
        <v>586</v>
      </c>
      <c r="N227" s="209"/>
      <c r="O227" s="209"/>
      <c r="P227" s="209" t="s">
        <v>1367</v>
      </c>
      <c r="Q227" s="209"/>
      <c r="R227" s="209"/>
      <c r="S227" s="207"/>
      <c r="T227" s="209"/>
      <c r="U227" s="209"/>
      <c r="V227" s="209"/>
      <c r="W227" s="209"/>
      <c r="X227" s="209"/>
      <c r="Y227" s="209"/>
      <c r="Z227" s="209"/>
      <c r="AA227" s="209"/>
      <c r="AB227" s="209"/>
      <c r="AC227" s="209"/>
      <c r="AD227" s="209"/>
      <c r="AE227" s="225"/>
      <c r="AF227" s="209" t="s">
        <v>1368</v>
      </c>
      <c r="AG227" s="209"/>
      <c r="AH227" s="209"/>
      <c r="AI227" s="209"/>
      <c r="AJ227" s="209"/>
      <c r="AK227" s="209"/>
      <c r="AL227" s="209" t="s">
        <v>1369</v>
      </c>
      <c r="AM227" s="209" t="s">
        <v>1370</v>
      </c>
      <c r="AN227" s="209"/>
      <c r="AO227" s="209"/>
      <c r="AP227" s="209"/>
      <c r="AR227" s="209"/>
      <c r="AS227" s="209"/>
      <c r="AT227" s="209"/>
      <c r="AU227" s="209"/>
      <c r="AV227" s="209"/>
      <c r="AW227" s="209"/>
      <c r="AX227" s="209"/>
      <c r="AY227" s="209"/>
      <c r="AZ227" s="209"/>
      <c r="BA227" s="209"/>
      <c r="BB227" s="209"/>
      <c r="BC227" s="209"/>
      <c r="BD227" s="209"/>
      <c r="BE227" s="209"/>
      <c r="BF227" s="209"/>
      <c r="BG227" s="209"/>
      <c r="BH227" s="209"/>
      <c r="BI227" s="209"/>
      <c r="BJ227" s="209"/>
      <c r="BK227" s="209"/>
      <c r="BL227" s="209"/>
      <c r="BM227" s="209"/>
      <c r="BN227" s="209"/>
      <c r="BO227" s="209"/>
      <c r="BP227" s="209"/>
      <c r="BQ227" s="209" t="s">
        <v>1371</v>
      </c>
      <c r="BR227" s="209"/>
    </row>
    <row r="228" ht="32" customHeight="1" spans="1:70">
      <c r="A228" s="204">
        <v>226</v>
      </c>
      <c r="B228" s="210" t="s">
        <v>1372</v>
      </c>
      <c r="C228" s="210" t="s">
        <v>956</v>
      </c>
      <c r="D228" s="210" t="s">
        <v>1373</v>
      </c>
      <c r="E228" s="210" t="s">
        <v>731</v>
      </c>
      <c r="F228" s="205" t="s">
        <v>80</v>
      </c>
      <c r="G228" s="210" t="s">
        <v>1374</v>
      </c>
      <c r="H228" s="210"/>
      <c r="I228" s="210"/>
      <c r="J228" s="210" t="s">
        <v>1375</v>
      </c>
      <c r="K228" s="243">
        <v>13515277007</v>
      </c>
      <c r="L228" s="210"/>
      <c r="M228" s="210"/>
      <c r="N228" s="210"/>
      <c r="O228" s="210"/>
      <c r="P228" s="210"/>
      <c r="Q228" s="210"/>
      <c r="R228" s="210"/>
      <c r="S228" s="205"/>
      <c r="T228" s="210"/>
      <c r="U228" s="210"/>
      <c r="V228" s="210"/>
      <c r="W228" s="210"/>
      <c r="X228" s="210"/>
      <c r="Y228" s="210"/>
      <c r="Z228" s="210"/>
      <c r="AA228" s="210"/>
      <c r="AB228" s="210"/>
      <c r="AC228" s="210"/>
      <c r="AD228" s="210"/>
      <c r="AE228" s="161"/>
      <c r="AF228" s="210"/>
      <c r="AG228" s="210"/>
      <c r="AH228" s="210"/>
      <c r="AI228" s="210"/>
      <c r="AJ228" s="210"/>
      <c r="AK228" s="210"/>
      <c r="AL228" s="210"/>
      <c r="AM228" s="210"/>
      <c r="AN228" s="210"/>
      <c r="AO228" s="210"/>
      <c r="AP228" s="210"/>
      <c r="AR228" s="210"/>
      <c r="AS228" s="210"/>
      <c r="AT228" s="210"/>
      <c r="AU228" s="210"/>
      <c r="AV228" s="210"/>
      <c r="AW228" s="210"/>
      <c r="AX228" s="210"/>
      <c r="AY228" s="210"/>
      <c r="AZ228" s="210"/>
      <c r="BA228" s="210"/>
      <c r="BB228" s="210"/>
      <c r="BC228" s="210"/>
      <c r="BD228" s="210"/>
      <c r="BE228" s="210"/>
      <c r="BF228" s="210"/>
      <c r="BG228" s="210"/>
      <c r="BH228" s="210"/>
      <c r="BI228" s="210"/>
      <c r="BJ228" s="210"/>
      <c r="BK228" s="210"/>
      <c r="BL228" s="210"/>
      <c r="BM228" s="210"/>
      <c r="BN228" s="210"/>
      <c r="BO228" s="210"/>
      <c r="BP228" s="210"/>
      <c r="BQ228" s="210"/>
      <c r="BR228" s="210"/>
    </row>
    <row r="229" ht="32" customHeight="1" spans="1:70">
      <c r="A229" s="208">
        <v>227</v>
      </c>
      <c r="B229" s="244" t="s">
        <v>1376</v>
      </c>
      <c r="C229" s="212" t="s">
        <v>956</v>
      </c>
      <c r="D229" s="212" t="s">
        <v>1377</v>
      </c>
      <c r="E229" s="212" t="s">
        <v>323</v>
      </c>
      <c r="F229" s="149" t="s">
        <v>80</v>
      </c>
      <c r="G229" s="212" t="s">
        <v>520</v>
      </c>
      <c r="H229" s="212"/>
      <c r="I229" s="212"/>
      <c r="J229" s="212" t="s">
        <v>1378</v>
      </c>
      <c r="K229" s="244">
        <v>18118381118</v>
      </c>
      <c r="L229" s="212"/>
      <c r="M229" s="212"/>
      <c r="N229" s="212"/>
      <c r="O229" s="212"/>
      <c r="P229" s="212"/>
      <c r="Q229" s="212"/>
      <c r="R229" s="212"/>
      <c r="S229" s="149"/>
      <c r="T229" s="212"/>
      <c r="U229" s="212"/>
      <c r="V229" s="212"/>
      <c r="W229" s="212"/>
      <c r="X229" s="212"/>
      <c r="Y229" s="212"/>
      <c r="Z229" s="212"/>
      <c r="AA229" s="212"/>
      <c r="AB229" s="212"/>
      <c r="AC229" s="212"/>
      <c r="AD229" s="212"/>
      <c r="AE229" s="161"/>
      <c r="AF229" s="212"/>
      <c r="AG229" s="212"/>
      <c r="AH229" s="212"/>
      <c r="AI229" s="212"/>
      <c r="AJ229" s="212"/>
      <c r="AK229" s="212"/>
      <c r="AL229" s="212"/>
      <c r="AM229" s="212"/>
      <c r="AN229" s="212"/>
      <c r="AO229" s="212"/>
      <c r="AP229" s="212"/>
      <c r="AR229" s="212"/>
      <c r="AS229" s="212"/>
      <c r="AT229" s="212"/>
      <c r="AU229" s="212"/>
      <c r="AV229" s="212"/>
      <c r="AW229" s="212"/>
      <c r="AX229" s="212"/>
      <c r="AY229" s="212"/>
      <c r="AZ229" s="212"/>
      <c r="BA229" s="212"/>
      <c r="BB229" s="212"/>
      <c r="BC229" s="212"/>
      <c r="BD229" s="212"/>
      <c r="BE229" s="212"/>
      <c r="BF229" s="212"/>
      <c r="BG229" s="212"/>
      <c r="BH229" s="212"/>
      <c r="BI229" s="212"/>
      <c r="BJ229" s="212"/>
      <c r="BK229" s="212"/>
      <c r="BL229" s="212"/>
      <c r="BM229" s="212"/>
      <c r="BN229" s="212"/>
      <c r="BO229" s="212"/>
      <c r="BP229" s="212"/>
      <c r="BQ229" s="212"/>
      <c r="BR229" s="212"/>
    </row>
    <row r="230" ht="32" customHeight="1" spans="1:70">
      <c r="A230" s="208">
        <v>228</v>
      </c>
      <c r="B230" s="244" t="s">
        <v>1379</v>
      </c>
      <c r="C230" s="212" t="s">
        <v>956</v>
      </c>
      <c r="D230" s="212" t="s">
        <v>1380</v>
      </c>
      <c r="E230" s="212" t="s">
        <v>1260</v>
      </c>
      <c r="F230" s="149" t="s">
        <v>80</v>
      </c>
      <c r="G230" s="212" t="s">
        <v>520</v>
      </c>
      <c r="H230" s="212">
        <v>580</v>
      </c>
      <c r="I230" s="212"/>
      <c r="J230" s="212" t="s">
        <v>1381</v>
      </c>
      <c r="K230" s="244" t="s">
        <v>1382</v>
      </c>
      <c r="L230" s="212"/>
      <c r="M230" s="212"/>
      <c r="N230" s="212"/>
      <c r="O230" s="212"/>
      <c r="P230" s="212"/>
      <c r="Q230" s="212"/>
      <c r="R230" s="212"/>
      <c r="S230" s="149"/>
      <c r="T230" s="212"/>
      <c r="U230" s="212"/>
      <c r="V230" s="212"/>
      <c r="W230" s="212"/>
      <c r="X230" s="212"/>
      <c r="Y230" s="212"/>
      <c r="Z230" s="212"/>
      <c r="AA230" s="212"/>
      <c r="AB230" s="212"/>
      <c r="AC230" s="212"/>
      <c r="AD230" s="212"/>
      <c r="AE230" s="161"/>
      <c r="AF230" s="212"/>
      <c r="AG230" s="212"/>
      <c r="AH230" s="212"/>
      <c r="AI230" s="212"/>
      <c r="AJ230" s="212"/>
      <c r="AK230" s="212"/>
      <c r="AL230" s="212"/>
      <c r="AM230" s="212"/>
      <c r="AN230" s="212"/>
      <c r="AO230" s="212"/>
      <c r="AP230" s="212"/>
      <c r="AR230" s="212"/>
      <c r="AS230" s="212"/>
      <c r="AT230" s="212"/>
      <c r="AU230" s="212"/>
      <c r="AV230" s="212"/>
      <c r="AW230" s="212"/>
      <c r="AX230" s="212"/>
      <c r="AY230" s="212"/>
      <c r="AZ230" s="212"/>
      <c r="BA230" s="212"/>
      <c r="BB230" s="212"/>
      <c r="BC230" s="212"/>
      <c r="BD230" s="212"/>
      <c r="BE230" s="212"/>
      <c r="BF230" s="212"/>
      <c r="BG230" s="212"/>
      <c r="BH230" s="212"/>
      <c r="BI230" s="212"/>
      <c r="BJ230" s="212"/>
      <c r="BK230" s="212"/>
      <c r="BL230" s="212"/>
      <c r="BM230" s="212"/>
      <c r="BN230" s="212"/>
      <c r="BO230" s="212"/>
      <c r="BP230" s="212"/>
      <c r="BQ230" s="212"/>
      <c r="BR230" s="212"/>
    </row>
    <row r="231" ht="32" customHeight="1" spans="1:70">
      <c r="A231" s="208">
        <v>229</v>
      </c>
      <c r="B231" s="212" t="s">
        <v>1383</v>
      </c>
      <c r="C231" s="212" t="s">
        <v>956</v>
      </c>
      <c r="D231" s="212" t="s">
        <v>1384</v>
      </c>
      <c r="E231" s="212" t="s">
        <v>175</v>
      </c>
      <c r="F231" s="149" t="s">
        <v>156</v>
      </c>
      <c r="G231" s="212" t="s">
        <v>301</v>
      </c>
      <c r="H231" s="212"/>
      <c r="I231" s="212"/>
      <c r="J231" s="212" t="s">
        <v>1385</v>
      </c>
      <c r="K231" s="244" t="s">
        <v>1386</v>
      </c>
      <c r="L231" s="212"/>
      <c r="M231" s="212"/>
      <c r="N231" s="212"/>
      <c r="O231" s="212"/>
      <c r="P231" s="212"/>
      <c r="Q231" s="212"/>
      <c r="R231" s="212"/>
      <c r="S231" s="149"/>
      <c r="T231" s="212"/>
      <c r="U231" s="212"/>
      <c r="V231" s="212"/>
      <c r="W231" s="212"/>
      <c r="X231" s="212"/>
      <c r="Y231" s="212"/>
      <c r="Z231" s="212"/>
      <c r="AA231" s="212"/>
      <c r="AB231" s="212"/>
      <c r="AC231" s="212"/>
      <c r="AD231" s="212"/>
      <c r="AE231" s="161"/>
      <c r="AF231" s="212"/>
      <c r="AG231" s="212"/>
      <c r="AH231" s="212"/>
      <c r="AI231" s="212"/>
      <c r="AJ231" s="212"/>
      <c r="AK231" s="212"/>
      <c r="AL231" s="212"/>
      <c r="AM231" s="212"/>
      <c r="AN231" s="212"/>
      <c r="AO231" s="212"/>
      <c r="AP231" s="212"/>
      <c r="AR231" s="212"/>
      <c r="AS231" s="212"/>
      <c r="AT231" s="212"/>
      <c r="AU231" s="212"/>
      <c r="AV231" s="212"/>
      <c r="AW231" s="212"/>
      <c r="AX231" s="212"/>
      <c r="AY231" s="212"/>
      <c r="AZ231" s="212"/>
      <c r="BA231" s="212"/>
      <c r="BB231" s="212"/>
      <c r="BC231" s="212"/>
      <c r="BD231" s="212"/>
      <c r="BE231" s="212"/>
      <c r="BF231" s="212"/>
      <c r="BG231" s="212"/>
      <c r="BH231" s="212"/>
      <c r="BI231" s="212"/>
      <c r="BJ231" s="212"/>
      <c r="BK231" s="212"/>
      <c r="BL231" s="212"/>
      <c r="BM231" s="212"/>
      <c r="BN231" s="212"/>
      <c r="BO231" s="212"/>
      <c r="BP231" s="212"/>
      <c r="BQ231" s="212"/>
      <c r="BR231" s="212"/>
    </row>
    <row r="232" ht="32" customHeight="1" spans="1:70">
      <c r="A232" s="208">
        <v>230</v>
      </c>
      <c r="B232" s="212" t="s">
        <v>1387</v>
      </c>
      <c r="C232" s="212" t="s">
        <v>956</v>
      </c>
      <c r="D232" s="212" t="s">
        <v>1388</v>
      </c>
      <c r="E232" s="212" t="s">
        <v>300</v>
      </c>
      <c r="F232" s="212" t="s">
        <v>291</v>
      </c>
      <c r="G232" s="212" t="s">
        <v>430</v>
      </c>
      <c r="H232" s="212"/>
      <c r="I232" s="212"/>
      <c r="J232" s="212"/>
      <c r="K232" s="212"/>
      <c r="L232" s="212"/>
      <c r="M232" s="212"/>
      <c r="N232" s="212"/>
      <c r="O232" s="212"/>
      <c r="P232" s="212"/>
      <c r="Q232" s="212"/>
      <c r="R232" s="212"/>
      <c r="S232" s="149"/>
      <c r="T232" s="212"/>
      <c r="U232" s="212"/>
      <c r="V232" s="212"/>
      <c r="W232" s="212"/>
      <c r="X232" s="212"/>
      <c r="Y232" s="212"/>
      <c r="Z232" s="212"/>
      <c r="AA232" s="212"/>
      <c r="AB232" s="212"/>
      <c r="AC232" s="212"/>
      <c r="AD232" s="212"/>
      <c r="AE232" s="161"/>
      <c r="AF232" s="212"/>
      <c r="AG232" s="212"/>
      <c r="AH232" s="212"/>
      <c r="AI232" s="212"/>
      <c r="AJ232" s="212"/>
      <c r="AK232" s="212"/>
      <c r="AL232" s="212"/>
      <c r="AM232" s="212"/>
      <c r="AN232" s="212"/>
      <c r="AO232" s="212"/>
      <c r="AP232" s="212"/>
      <c r="AR232" s="212"/>
      <c r="AS232" s="212"/>
      <c r="AT232" s="212"/>
      <c r="AU232" s="212"/>
      <c r="AV232" s="212"/>
      <c r="AW232" s="212"/>
      <c r="AX232" s="212"/>
      <c r="AY232" s="212"/>
      <c r="AZ232" s="212"/>
      <c r="BA232" s="212"/>
      <c r="BB232" s="212"/>
      <c r="BC232" s="212"/>
      <c r="BD232" s="212"/>
      <c r="BE232" s="212"/>
      <c r="BF232" s="212"/>
      <c r="BG232" s="212"/>
      <c r="BH232" s="212"/>
      <c r="BI232" s="212"/>
      <c r="BJ232" s="212"/>
      <c r="BK232" s="212"/>
      <c r="BL232" s="212"/>
      <c r="BM232" s="212"/>
      <c r="BN232" s="212"/>
      <c r="BO232" s="212"/>
      <c r="BP232" s="212"/>
      <c r="BQ232" s="212"/>
      <c r="BR232" s="212"/>
    </row>
    <row r="233" ht="32" customHeight="1" spans="1:70">
      <c r="A233" s="208">
        <v>231</v>
      </c>
      <c r="B233" s="212" t="s">
        <v>1389</v>
      </c>
      <c r="C233" s="212" t="s">
        <v>956</v>
      </c>
      <c r="D233" s="212" t="s">
        <v>1390</v>
      </c>
      <c r="E233" s="212" t="s">
        <v>323</v>
      </c>
      <c r="F233" s="212" t="s">
        <v>291</v>
      </c>
      <c r="G233" s="212" t="s">
        <v>430</v>
      </c>
      <c r="H233" s="212"/>
      <c r="I233" s="212"/>
      <c r="J233" s="212" t="s">
        <v>1391</v>
      </c>
      <c r="K233" s="212">
        <v>13813506367</v>
      </c>
      <c r="L233" s="212"/>
      <c r="M233" s="212"/>
      <c r="N233" s="212"/>
      <c r="O233" s="212"/>
      <c r="P233" s="212"/>
      <c r="Q233" s="212"/>
      <c r="R233" s="212"/>
      <c r="S233" s="149"/>
      <c r="T233" s="212"/>
      <c r="U233" s="212"/>
      <c r="V233" s="212"/>
      <c r="W233" s="212"/>
      <c r="X233" s="212"/>
      <c r="Y233" s="212"/>
      <c r="Z233" s="212"/>
      <c r="AA233" s="212"/>
      <c r="AB233" s="212"/>
      <c r="AC233" s="212"/>
      <c r="AD233" s="212"/>
      <c r="AE233" s="161"/>
      <c r="AF233" s="212"/>
      <c r="AG233" s="212"/>
      <c r="AH233" s="212"/>
      <c r="AI233" s="212"/>
      <c r="AJ233" s="212"/>
      <c r="AK233" s="212"/>
      <c r="AL233" s="212"/>
      <c r="AM233" s="212"/>
      <c r="AN233" s="212"/>
      <c r="AO233" s="212"/>
      <c r="AP233" s="212"/>
      <c r="AR233" s="212"/>
      <c r="AS233" s="212"/>
      <c r="AT233" s="212"/>
      <c r="AU233" s="212"/>
      <c r="AV233" s="212"/>
      <c r="AW233" s="212"/>
      <c r="AX233" s="212"/>
      <c r="AY233" s="212"/>
      <c r="AZ233" s="212"/>
      <c r="BA233" s="212"/>
      <c r="BB233" s="212"/>
      <c r="BC233" s="212"/>
      <c r="BD233" s="212"/>
      <c r="BE233" s="212"/>
      <c r="BF233" s="212"/>
      <c r="BG233" s="212"/>
      <c r="BH233" s="212"/>
      <c r="BI233" s="212"/>
      <c r="BJ233" s="212"/>
      <c r="BK233" s="212"/>
      <c r="BL233" s="212"/>
      <c r="BM233" s="212"/>
      <c r="BN233" s="212"/>
      <c r="BO233" s="212"/>
      <c r="BP233" s="212"/>
      <c r="BQ233" s="212"/>
      <c r="BR233" s="212"/>
    </row>
    <row r="234" ht="32" customHeight="1" spans="1:70">
      <c r="A234" s="208">
        <v>232</v>
      </c>
      <c r="B234" s="212" t="s">
        <v>1392</v>
      </c>
      <c r="C234" s="212" t="s">
        <v>956</v>
      </c>
      <c r="D234" s="212" t="s">
        <v>1393</v>
      </c>
      <c r="E234" s="212" t="s">
        <v>205</v>
      </c>
      <c r="F234" s="212" t="s">
        <v>80</v>
      </c>
      <c r="G234" s="212" t="s">
        <v>520</v>
      </c>
      <c r="H234" s="212"/>
      <c r="I234" s="212"/>
      <c r="J234" s="212" t="s">
        <v>1394</v>
      </c>
      <c r="K234" s="212"/>
      <c r="L234" s="212"/>
      <c r="M234" s="212"/>
      <c r="N234" s="212"/>
      <c r="O234" s="212"/>
      <c r="P234" s="212"/>
      <c r="Q234" s="212"/>
      <c r="R234" s="212"/>
      <c r="S234" s="149"/>
      <c r="T234" s="212"/>
      <c r="U234" s="212"/>
      <c r="V234" s="212"/>
      <c r="W234" s="212"/>
      <c r="X234" s="212"/>
      <c r="Y234" s="212"/>
      <c r="Z234" s="212"/>
      <c r="AA234" s="212"/>
      <c r="AB234" s="212"/>
      <c r="AC234" s="212"/>
      <c r="AD234" s="212"/>
      <c r="AE234" s="161"/>
      <c r="AF234" s="212"/>
      <c r="AG234" s="212"/>
      <c r="AH234" s="212"/>
      <c r="AI234" s="212"/>
      <c r="AJ234" s="212"/>
      <c r="AK234" s="212"/>
      <c r="AL234" s="212"/>
      <c r="AM234" s="212"/>
      <c r="AN234" s="212"/>
      <c r="AO234" s="212"/>
      <c r="AP234" s="212"/>
      <c r="AR234" s="212"/>
      <c r="AS234" s="212"/>
      <c r="AT234" s="212"/>
      <c r="AU234" s="212"/>
      <c r="AV234" s="212"/>
      <c r="AW234" s="212"/>
      <c r="AX234" s="212"/>
      <c r="AY234" s="212"/>
      <c r="AZ234" s="212"/>
      <c r="BA234" s="212"/>
      <c r="BB234" s="212"/>
      <c r="BC234" s="212"/>
      <c r="BD234" s="212"/>
      <c r="BE234" s="212"/>
      <c r="BF234" s="212"/>
      <c r="BG234" s="212"/>
      <c r="BH234" s="212"/>
      <c r="BI234" s="212"/>
      <c r="BJ234" s="212"/>
      <c r="BK234" s="212"/>
      <c r="BL234" s="212"/>
      <c r="BM234" s="212"/>
      <c r="BN234" s="212"/>
      <c r="BO234" s="212"/>
      <c r="BP234" s="212"/>
      <c r="BQ234" s="212"/>
      <c r="BR234" s="212"/>
    </row>
    <row r="235" ht="32" customHeight="1" spans="1:70">
      <c r="A235" s="208">
        <v>233</v>
      </c>
      <c r="B235" s="212" t="s">
        <v>1395</v>
      </c>
      <c r="C235" s="212" t="s">
        <v>956</v>
      </c>
      <c r="D235" s="212" t="s">
        <v>1396</v>
      </c>
      <c r="E235" s="212" t="s">
        <v>198</v>
      </c>
      <c r="F235" s="212" t="s">
        <v>310</v>
      </c>
      <c r="G235" s="212" t="s">
        <v>1397</v>
      </c>
      <c r="H235" s="212"/>
      <c r="I235" s="212"/>
      <c r="J235" s="212" t="s">
        <v>1398</v>
      </c>
      <c r="K235" s="212"/>
      <c r="L235" s="212"/>
      <c r="M235" s="212"/>
      <c r="N235" s="212"/>
      <c r="O235" s="212"/>
      <c r="P235" s="212"/>
      <c r="Q235" s="212"/>
      <c r="R235" s="212"/>
      <c r="S235" s="149"/>
      <c r="T235" s="212"/>
      <c r="U235" s="212"/>
      <c r="V235" s="212"/>
      <c r="W235" s="212"/>
      <c r="X235" s="212"/>
      <c r="Y235" s="212"/>
      <c r="Z235" s="212"/>
      <c r="AA235" s="212"/>
      <c r="AB235" s="212"/>
      <c r="AC235" s="212"/>
      <c r="AD235" s="212"/>
      <c r="AE235" s="161"/>
      <c r="AF235" s="212"/>
      <c r="AG235" s="212"/>
      <c r="AH235" s="212"/>
      <c r="AI235" s="212"/>
      <c r="AJ235" s="212"/>
      <c r="AK235" s="212"/>
      <c r="AL235" s="212"/>
      <c r="AM235" s="212"/>
      <c r="AN235" s="212"/>
      <c r="AO235" s="212"/>
      <c r="AP235" s="212"/>
      <c r="AR235" s="212"/>
      <c r="AS235" s="212"/>
      <c r="AT235" s="212"/>
      <c r="AU235" s="212"/>
      <c r="AV235" s="212"/>
      <c r="AW235" s="212"/>
      <c r="AX235" s="212"/>
      <c r="AY235" s="212"/>
      <c r="AZ235" s="212"/>
      <c r="BA235" s="212"/>
      <c r="BB235" s="212"/>
      <c r="BC235" s="212"/>
      <c r="BD235" s="212"/>
      <c r="BE235" s="212"/>
      <c r="BF235" s="212"/>
      <c r="BG235" s="212"/>
      <c r="BH235" s="212"/>
      <c r="BI235" s="212"/>
      <c r="BJ235" s="212"/>
      <c r="BK235" s="212"/>
      <c r="BL235" s="212"/>
      <c r="BM235" s="212"/>
      <c r="BN235" s="212"/>
      <c r="BO235" s="212"/>
      <c r="BP235" s="212"/>
      <c r="BQ235" s="212"/>
      <c r="BR235" s="212"/>
    </row>
    <row r="236" ht="32" customHeight="1" spans="1:70">
      <c r="A236" s="208">
        <v>234</v>
      </c>
      <c r="B236" s="212" t="s">
        <v>1399</v>
      </c>
      <c r="C236" s="212" t="s">
        <v>956</v>
      </c>
      <c r="D236" s="212" t="s">
        <v>1400</v>
      </c>
      <c r="E236" s="212" t="s">
        <v>279</v>
      </c>
      <c r="F236" s="149" t="s">
        <v>156</v>
      </c>
      <c r="G236" s="212" t="s">
        <v>1401</v>
      </c>
      <c r="H236" s="212"/>
      <c r="I236" s="212"/>
      <c r="J236" s="212" t="s">
        <v>1402</v>
      </c>
      <c r="K236" s="212"/>
      <c r="L236" s="212"/>
      <c r="M236" s="212"/>
      <c r="N236" s="212"/>
      <c r="O236" s="212"/>
      <c r="P236" s="212"/>
      <c r="Q236" s="212"/>
      <c r="R236" s="212"/>
      <c r="S236" s="149"/>
      <c r="T236" s="212"/>
      <c r="U236" s="212"/>
      <c r="V236" s="212"/>
      <c r="W236" s="212"/>
      <c r="X236" s="212"/>
      <c r="Y236" s="212"/>
      <c r="Z236" s="212"/>
      <c r="AA236" s="212"/>
      <c r="AB236" s="212"/>
      <c r="AC236" s="212"/>
      <c r="AD236" s="212"/>
      <c r="AE236" s="161"/>
      <c r="AF236" s="212"/>
      <c r="AG236" s="212"/>
      <c r="AH236" s="212"/>
      <c r="AI236" s="212"/>
      <c r="AJ236" s="212"/>
      <c r="AK236" s="212"/>
      <c r="AL236" s="212"/>
      <c r="AM236" s="212"/>
      <c r="AN236" s="212"/>
      <c r="AO236" s="212"/>
      <c r="AP236" s="212"/>
      <c r="AR236" s="212"/>
      <c r="AS236" s="212"/>
      <c r="AT236" s="212"/>
      <c r="AU236" s="212"/>
      <c r="AV236" s="212"/>
      <c r="AW236" s="212"/>
      <c r="AX236" s="212"/>
      <c r="AY236" s="212"/>
      <c r="AZ236" s="212"/>
      <c r="BA236" s="212"/>
      <c r="BB236" s="212"/>
      <c r="BC236" s="212"/>
      <c r="BD236" s="212"/>
      <c r="BE236" s="212"/>
      <c r="BF236" s="212"/>
      <c r="BG236" s="212"/>
      <c r="BH236" s="212"/>
      <c r="BI236" s="212"/>
      <c r="BJ236" s="212"/>
      <c r="BK236" s="212"/>
      <c r="BL236" s="212"/>
      <c r="BM236" s="212"/>
      <c r="BN236" s="212"/>
      <c r="BO236" s="212"/>
      <c r="BP236" s="212"/>
      <c r="BQ236" s="212"/>
      <c r="BR236" s="212"/>
    </row>
    <row r="237" ht="32" customHeight="1" spans="1:70">
      <c r="A237" s="208">
        <v>235</v>
      </c>
      <c r="B237" s="212" t="s">
        <v>1403</v>
      </c>
      <c r="C237" s="212" t="s">
        <v>956</v>
      </c>
      <c r="D237" s="212" t="s">
        <v>1404</v>
      </c>
      <c r="E237" s="212" t="s">
        <v>300</v>
      </c>
      <c r="F237" s="149" t="s">
        <v>156</v>
      </c>
      <c r="G237" s="212" t="s">
        <v>1405</v>
      </c>
      <c r="H237" s="212"/>
      <c r="I237" s="212"/>
      <c r="J237" s="212" t="s">
        <v>1406</v>
      </c>
      <c r="K237" s="212">
        <v>13182508857</v>
      </c>
      <c r="L237" s="212"/>
      <c r="M237" s="212"/>
      <c r="N237" s="212"/>
      <c r="O237" s="212"/>
      <c r="P237" s="212"/>
      <c r="Q237" s="212"/>
      <c r="R237" s="212"/>
      <c r="S237" s="149"/>
      <c r="T237" s="212"/>
      <c r="U237" s="212"/>
      <c r="V237" s="212"/>
      <c r="W237" s="212"/>
      <c r="X237" s="212"/>
      <c r="Y237" s="212"/>
      <c r="Z237" s="212"/>
      <c r="AA237" s="212"/>
      <c r="AB237" s="212"/>
      <c r="AC237" s="212"/>
      <c r="AD237" s="212"/>
      <c r="AE237" s="161"/>
      <c r="AF237" s="212"/>
      <c r="AG237" s="212"/>
      <c r="AH237" s="212"/>
      <c r="AI237" s="212"/>
      <c r="AJ237" s="212"/>
      <c r="AK237" s="212"/>
      <c r="AL237" s="212"/>
      <c r="AM237" s="212"/>
      <c r="AN237" s="212"/>
      <c r="AO237" s="212"/>
      <c r="AP237" s="212"/>
      <c r="AR237" s="212"/>
      <c r="AS237" s="212"/>
      <c r="AT237" s="212"/>
      <c r="AU237" s="212"/>
      <c r="AV237" s="212"/>
      <c r="AW237" s="212"/>
      <c r="AX237" s="212"/>
      <c r="AY237" s="212"/>
      <c r="AZ237" s="212"/>
      <c r="BA237" s="212"/>
      <c r="BB237" s="212"/>
      <c r="BC237" s="212"/>
      <c r="BD237" s="212"/>
      <c r="BE237" s="212"/>
      <c r="BF237" s="212"/>
      <c r="BG237" s="212"/>
      <c r="BH237" s="212"/>
      <c r="BI237" s="212"/>
      <c r="BJ237" s="212"/>
      <c r="BK237" s="212"/>
      <c r="BL237" s="212"/>
      <c r="BM237" s="212"/>
      <c r="BN237" s="212"/>
      <c r="BO237" s="212"/>
      <c r="BP237" s="212" t="s">
        <v>1407</v>
      </c>
      <c r="BQ237" s="212"/>
      <c r="BR237" s="212"/>
    </row>
    <row r="238" ht="32" customHeight="1" spans="1:70">
      <c r="A238" s="208">
        <v>236</v>
      </c>
      <c r="B238" s="212" t="s">
        <v>1408</v>
      </c>
      <c r="C238" s="212" t="s">
        <v>956</v>
      </c>
      <c r="D238" s="212" t="s">
        <v>1409</v>
      </c>
      <c r="E238" s="212" t="s">
        <v>348</v>
      </c>
      <c r="F238" s="212" t="s">
        <v>80</v>
      </c>
      <c r="G238" s="212" t="s">
        <v>768</v>
      </c>
      <c r="H238" s="212"/>
      <c r="I238" s="212"/>
      <c r="J238" s="212" t="s">
        <v>1410</v>
      </c>
      <c r="K238" s="212">
        <v>13401527961</v>
      </c>
      <c r="L238" s="212"/>
      <c r="M238" s="212"/>
      <c r="N238" s="212"/>
      <c r="O238" s="212"/>
      <c r="P238" s="212"/>
      <c r="Q238" s="212"/>
      <c r="R238" s="212"/>
      <c r="S238" s="149"/>
      <c r="T238" s="212"/>
      <c r="U238" s="212"/>
      <c r="V238" s="212"/>
      <c r="W238" s="212"/>
      <c r="X238" s="212"/>
      <c r="Y238" s="212"/>
      <c r="Z238" s="212"/>
      <c r="AA238" s="212"/>
      <c r="AB238" s="212"/>
      <c r="AC238" s="212"/>
      <c r="AD238" s="212"/>
      <c r="AE238" s="161"/>
      <c r="AF238" s="212"/>
      <c r="AG238" s="212"/>
      <c r="AH238" s="212"/>
      <c r="AI238" s="212"/>
      <c r="AJ238" s="212"/>
      <c r="AK238" s="212"/>
      <c r="AL238" s="212"/>
      <c r="AM238" s="212"/>
      <c r="AN238" s="212"/>
      <c r="AO238" s="212"/>
      <c r="AP238" s="212"/>
      <c r="AR238" s="212"/>
      <c r="AS238" s="212"/>
      <c r="AT238" s="212"/>
      <c r="AU238" s="212"/>
      <c r="AV238" s="212"/>
      <c r="AW238" s="212"/>
      <c r="AX238" s="212"/>
      <c r="AY238" s="212"/>
      <c r="AZ238" s="212"/>
      <c r="BA238" s="212"/>
      <c r="BB238" s="212"/>
      <c r="BC238" s="212"/>
      <c r="BD238" s="212"/>
      <c r="BE238" s="212"/>
      <c r="BF238" s="212"/>
      <c r="BG238" s="212"/>
      <c r="BH238" s="212"/>
      <c r="BI238" s="212"/>
      <c r="BJ238" s="212"/>
      <c r="BK238" s="212"/>
      <c r="BL238" s="212"/>
      <c r="BM238" s="212"/>
      <c r="BN238" s="212"/>
      <c r="BO238" s="212"/>
      <c r="BP238" s="212" t="s">
        <v>1411</v>
      </c>
      <c r="BQ238" s="212"/>
      <c r="BR238" s="212"/>
    </row>
    <row r="239" ht="32" customHeight="1" spans="1:70">
      <c r="A239" s="189">
        <v>237</v>
      </c>
      <c r="B239" s="209" t="s">
        <v>1412</v>
      </c>
      <c r="C239" s="209" t="s">
        <v>956</v>
      </c>
      <c r="D239" s="209" t="s">
        <v>1413</v>
      </c>
      <c r="E239" s="209" t="s">
        <v>179</v>
      </c>
      <c r="F239" s="207" t="s">
        <v>156</v>
      </c>
      <c r="G239" s="209" t="s">
        <v>1414</v>
      </c>
      <c r="H239" s="209">
        <v>10</v>
      </c>
      <c r="I239" s="209" t="s">
        <v>1311</v>
      </c>
      <c r="J239" s="209" t="s">
        <v>1415</v>
      </c>
      <c r="K239" s="209"/>
      <c r="L239" s="209"/>
      <c r="M239" s="209" t="s">
        <v>1416</v>
      </c>
      <c r="N239" s="209" t="s">
        <v>1417</v>
      </c>
      <c r="O239" s="209"/>
      <c r="P239" s="209"/>
      <c r="Q239" s="209" t="s">
        <v>1082</v>
      </c>
      <c r="R239" s="209" t="s">
        <v>1418</v>
      </c>
      <c r="S239" s="207"/>
      <c r="T239" s="209"/>
      <c r="U239" s="209"/>
      <c r="V239" s="209"/>
      <c r="W239" s="209"/>
      <c r="X239" s="209"/>
      <c r="Y239" s="209" t="s">
        <v>84</v>
      </c>
      <c r="Z239" s="209"/>
      <c r="AA239" s="207" t="s">
        <v>85</v>
      </c>
      <c r="AB239" s="209"/>
      <c r="AC239" s="207" t="s">
        <v>96</v>
      </c>
      <c r="AD239" s="209" t="s">
        <v>1311</v>
      </c>
      <c r="AE239" s="225"/>
      <c r="AF239" s="209"/>
      <c r="AG239" s="209"/>
      <c r="AH239" s="209"/>
      <c r="AI239" s="209"/>
      <c r="AJ239" s="209"/>
      <c r="AK239" s="209"/>
      <c r="AL239" s="209"/>
      <c r="AM239" s="209"/>
      <c r="AN239" s="209"/>
      <c r="AO239" s="209"/>
      <c r="AP239" s="209"/>
      <c r="AR239" s="209"/>
      <c r="AS239" s="209"/>
      <c r="AT239" s="209"/>
      <c r="AU239" s="209"/>
      <c r="AV239" s="209"/>
      <c r="AW239" s="209"/>
      <c r="AX239" s="209"/>
      <c r="AY239" s="209"/>
      <c r="AZ239" s="209"/>
      <c r="BA239" s="209" t="s">
        <v>1419</v>
      </c>
      <c r="BB239" s="209" t="s">
        <v>1420</v>
      </c>
      <c r="BC239" s="209"/>
      <c r="BD239" s="209"/>
      <c r="BE239" s="209"/>
      <c r="BF239" s="209"/>
      <c r="BG239" s="209"/>
      <c r="BH239" s="209"/>
      <c r="BI239" s="209"/>
      <c r="BJ239" s="209"/>
      <c r="BK239" s="209" t="s">
        <v>1421</v>
      </c>
      <c r="BL239" s="209" t="s">
        <v>88</v>
      </c>
      <c r="BM239" s="209"/>
      <c r="BN239" s="209"/>
      <c r="BO239" s="209"/>
      <c r="BP239" s="209"/>
      <c r="BQ239" s="209" t="s">
        <v>1422</v>
      </c>
      <c r="BR239" s="209"/>
    </row>
    <row r="240" ht="32" customHeight="1" spans="1:70">
      <c r="A240" s="204">
        <v>238</v>
      </c>
      <c r="B240" s="210" t="s">
        <v>1423</v>
      </c>
      <c r="C240" s="210" t="s">
        <v>956</v>
      </c>
      <c r="D240" s="210" t="s">
        <v>1424</v>
      </c>
      <c r="E240" s="210"/>
      <c r="F240" s="205" t="s">
        <v>156</v>
      </c>
      <c r="G240" s="210"/>
      <c r="H240" s="210"/>
      <c r="I240" s="210"/>
      <c r="J240" s="210" t="s">
        <v>1425</v>
      </c>
      <c r="K240" s="210">
        <v>15105993281</v>
      </c>
      <c r="L240" s="210"/>
      <c r="M240" s="210"/>
      <c r="N240" s="210"/>
      <c r="O240" s="210"/>
      <c r="P240" s="210"/>
      <c r="Q240" s="210"/>
      <c r="R240" s="210"/>
      <c r="S240" s="205"/>
      <c r="T240" s="210"/>
      <c r="U240" s="210"/>
      <c r="V240" s="210"/>
      <c r="W240" s="210"/>
      <c r="X240" s="210"/>
      <c r="Y240" s="210"/>
      <c r="Z240" s="210"/>
      <c r="AA240" s="210"/>
      <c r="AB240" s="210"/>
      <c r="AC240" s="210"/>
      <c r="AD240" s="210"/>
      <c r="AE240" s="161"/>
      <c r="AF240" s="210"/>
      <c r="AG240" s="210"/>
      <c r="AH240" s="210"/>
      <c r="AI240" s="210"/>
      <c r="AJ240" s="210"/>
      <c r="AK240" s="210"/>
      <c r="AL240" s="210"/>
      <c r="AM240" s="210"/>
      <c r="AN240" s="210"/>
      <c r="AO240" s="210"/>
      <c r="AP240" s="210"/>
      <c r="AR240" s="210"/>
      <c r="AS240" s="210"/>
      <c r="AT240" s="210"/>
      <c r="AU240" s="210"/>
      <c r="AV240" s="210"/>
      <c r="AW240" s="210"/>
      <c r="AX240" s="210"/>
      <c r="AY240" s="210"/>
      <c r="AZ240" s="210"/>
      <c r="BA240" s="210"/>
      <c r="BB240" s="210"/>
      <c r="BC240" s="210"/>
      <c r="BD240" s="210"/>
      <c r="BE240" s="210"/>
      <c r="BF240" s="210"/>
      <c r="BG240" s="210"/>
      <c r="BH240" s="210"/>
      <c r="BI240" s="210"/>
      <c r="BJ240" s="210"/>
      <c r="BK240" s="210"/>
      <c r="BL240" s="210"/>
      <c r="BM240" s="210"/>
      <c r="BN240" s="210"/>
      <c r="BO240" s="210"/>
      <c r="BP240" s="210" t="s">
        <v>199</v>
      </c>
      <c r="BQ240" s="210"/>
      <c r="BR240" s="210"/>
    </row>
    <row r="241" ht="32" customHeight="1" spans="1:70">
      <c r="A241" s="208">
        <v>239</v>
      </c>
      <c r="B241" s="212" t="s">
        <v>1426</v>
      </c>
      <c r="C241" s="212" t="s">
        <v>956</v>
      </c>
      <c r="D241" s="212" t="s">
        <v>1427</v>
      </c>
      <c r="E241" s="212"/>
      <c r="F241" s="212"/>
      <c r="G241" s="212"/>
      <c r="H241" s="212"/>
      <c r="I241" s="212"/>
      <c r="J241" s="212" t="s">
        <v>1428</v>
      </c>
      <c r="K241" s="212"/>
      <c r="L241" s="212"/>
      <c r="M241" s="212"/>
      <c r="N241" s="212"/>
      <c r="O241" s="212"/>
      <c r="P241" s="212"/>
      <c r="Q241" s="212"/>
      <c r="R241" s="212"/>
      <c r="S241" s="149"/>
      <c r="T241" s="212"/>
      <c r="U241" s="212"/>
      <c r="V241" s="212"/>
      <c r="W241" s="212"/>
      <c r="X241" s="212"/>
      <c r="Y241" s="212"/>
      <c r="Z241" s="212"/>
      <c r="AA241" s="212"/>
      <c r="AB241" s="212"/>
      <c r="AC241" s="212"/>
      <c r="AD241" s="212"/>
      <c r="AE241" s="161"/>
      <c r="AF241" s="212"/>
      <c r="AG241" s="212"/>
      <c r="AH241" s="212"/>
      <c r="AI241" s="212"/>
      <c r="AJ241" s="212"/>
      <c r="AK241" s="212"/>
      <c r="AL241" s="212"/>
      <c r="AM241" s="212"/>
      <c r="AN241" s="212"/>
      <c r="AO241" s="212"/>
      <c r="AP241" s="212"/>
      <c r="AR241" s="212"/>
      <c r="AS241" s="212"/>
      <c r="AT241" s="212"/>
      <c r="AU241" s="212"/>
      <c r="AV241" s="212"/>
      <c r="AW241" s="212"/>
      <c r="AX241" s="212"/>
      <c r="AY241" s="212"/>
      <c r="AZ241" s="212"/>
      <c r="BA241" s="212"/>
      <c r="BB241" s="212"/>
      <c r="BC241" s="212"/>
      <c r="BD241" s="212"/>
      <c r="BE241" s="212"/>
      <c r="BF241" s="212"/>
      <c r="BG241" s="212"/>
      <c r="BH241" s="212"/>
      <c r="BI241" s="212"/>
      <c r="BJ241" s="212"/>
      <c r="BK241" s="212"/>
      <c r="BL241" s="212"/>
      <c r="BM241" s="212"/>
      <c r="BN241" s="212"/>
      <c r="BO241" s="212"/>
      <c r="BP241" s="212"/>
      <c r="BQ241" s="212"/>
      <c r="BR241" s="212"/>
    </row>
    <row r="242" ht="32" customHeight="1" spans="1:70">
      <c r="A242" s="208">
        <v>240</v>
      </c>
      <c r="B242" s="212" t="s">
        <v>1429</v>
      </c>
      <c r="C242" s="212" t="s">
        <v>956</v>
      </c>
      <c r="D242" s="212" t="s">
        <v>1430</v>
      </c>
      <c r="E242" s="212"/>
      <c r="F242" s="212"/>
      <c r="G242" s="212" t="s">
        <v>1156</v>
      </c>
      <c r="H242" s="212"/>
      <c r="I242" s="212"/>
      <c r="J242" s="212" t="s">
        <v>1431</v>
      </c>
      <c r="K242" s="212" t="s">
        <v>1432</v>
      </c>
      <c r="L242" s="212"/>
      <c r="M242" s="212"/>
      <c r="N242" s="212"/>
      <c r="O242" s="212"/>
      <c r="P242" s="212"/>
      <c r="Q242" s="212"/>
      <c r="R242" s="212"/>
      <c r="S242" s="149"/>
      <c r="T242" s="212"/>
      <c r="U242" s="212"/>
      <c r="V242" s="212"/>
      <c r="W242" s="212"/>
      <c r="X242" s="212"/>
      <c r="Y242" s="212"/>
      <c r="Z242" s="212"/>
      <c r="AA242" s="212"/>
      <c r="AB242" s="212"/>
      <c r="AC242" s="212"/>
      <c r="AD242" s="212"/>
      <c r="AE242" s="161"/>
      <c r="AF242" s="212"/>
      <c r="AG242" s="212"/>
      <c r="AH242" s="212"/>
      <c r="AI242" s="212"/>
      <c r="AJ242" s="212"/>
      <c r="AK242" s="212"/>
      <c r="AL242" s="212"/>
      <c r="AM242" s="212"/>
      <c r="AN242" s="212"/>
      <c r="AO242" s="212"/>
      <c r="AP242" s="212"/>
      <c r="AR242" s="212"/>
      <c r="AS242" s="212"/>
      <c r="AT242" s="212"/>
      <c r="AU242" s="212"/>
      <c r="AV242" s="212"/>
      <c r="AW242" s="212"/>
      <c r="AX242" s="212"/>
      <c r="AY242" s="212"/>
      <c r="AZ242" s="212"/>
      <c r="BA242" s="212"/>
      <c r="BB242" s="212"/>
      <c r="BC242" s="212"/>
      <c r="BD242" s="212"/>
      <c r="BE242" s="212"/>
      <c r="BF242" s="212"/>
      <c r="BG242" s="212"/>
      <c r="BH242" s="212"/>
      <c r="BI242" s="212"/>
      <c r="BJ242" s="212"/>
      <c r="BK242" s="212"/>
      <c r="BL242" s="212"/>
      <c r="BM242" s="212"/>
      <c r="BN242" s="212"/>
      <c r="BO242" s="212"/>
      <c r="BP242" s="212"/>
      <c r="BQ242" s="212"/>
      <c r="BR242" s="212"/>
    </row>
    <row r="243" ht="32" customHeight="1" spans="1:70">
      <c r="A243" s="208">
        <v>241</v>
      </c>
      <c r="B243" s="212" t="s">
        <v>1433</v>
      </c>
      <c r="C243" s="212" t="s">
        <v>956</v>
      </c>
      <c r="D243" s="212" t="s">
        <v>1434</v>
      </c>
      <c r="E243" s="212" t="s">
        <v>198</v>
      </c>
      <c r="F243" s="212"/>
      <c r="G243" s="212" t="s">
        <v>1435</v>
      </c>
      <c r="H243" s="245"/>
      <c r="I243" s="212"/>
      <c r="J243" s="212" t="s">
        <v>1436</v>
      </c>
      <c r="K243" s="212" t="s">
        <v>1437</v>
      </c>
      <c r="L243" s="212"/>
      <c r="M243" s="212"/>
      <c r="N243" s="212"/>
      <c r="O243" s="212"/>
      <c r="P243" s="212"/>
      <c r="Q243" s="212"/>
      <c r="R243" s="212"/>
      <c r="S243" s="149"/>
      <c r="T243" s="212"/>
      <c r="U243" s="212"/>
      <c r="V243" s="212"/>
      <c r="W243" s="212"/>
      <c r="X243" s="212"/>
      <c r="Y243" s="212"/>
      <c r="Z243" s="212"/>
      <c r="AA243" s="212"/>
      <c r="AB243" s="212"/>
      <c r="AC243" s="212"/>
      <c r="AD243" s="212"/>
      <c r="AE243" s="161"/>
      <c r="AF243" s="212"/>
      <c r="AG243" s="212"/>
      <c r="AH243" s="212"/>
      <c r="AI243" s="212"/>
      <c r="AJ243" s="212"/>
      <c r="AK243" s="212"/>
      <c r="AL243" s="212"/>
      <c r="AM243" s="212"/>
      <c r="AN243" s="212"/>
      <c r="AO243" s="212"/>
      <c r="AP243" s="212"/>
      <c r="AR243" s="212"/>
      <c r="AS243" s="212"/>
      <c r="AT243" s="212"/>
      <c r="AU243" s="212"/>
      <c r="AV243" s="212"/>
      <c r="AW243" s="212"/>
      <c r="AX243" s="212"/>
      <c r="AY243" s="212"/>
      <c r="AZ243" s="212"/>
      <c r="BA243" s="212"/>
      <c r="BB243" s="212"/>
      <c r="BC243" s="212"/>
      <c r="BD243" s="212"/>
      <c r="BE243" s="212"/>
      <c r="BF243" s="212"/>
      <c r="BG243" s="212"/>
      <c r="BH243" s="212"/>
      <c r="BI243" s="212"/>
      <c r="BJ243" s="212"/>
      <c r="BK243" s="212"/>
      <c r="BL243" s="212"/>
      <c r="BM243" s="212"/>
      <c r="BN243" s="212"/>
      <c r="BO243" s="212"/>
      <c r="BP243" s="212"/>
      <c r="BQ243" s="212"/>
      <c r="BR243" s="212"/>
    </row>
    <row r="244" ht="32" customHeight="1" spans="1:70">
      <c r="A244" s="208">
        <v>242</v>
      </c>
      <c r="B244" s="212" t="s">
        <v>1438</v>
      </c>
      <c r="C244" s="212" t="s">
        <v>956</v>
      </c>
      <c r="D244" s="212" t="s">
        <v>1439</v>
      </c>
      <c r="E244" s="212"/>
      <c r="F244" s="212"/>
      <c r="G244" s="212" t="s">
        <v>520</v>
      </c>
      <c r="H244" s="212"/>
      <c r="I244" s="212"/>
      <c r="J244" s="212" t="s">
        <v>1440</v>
      </c>
      <c r="K244" s="212" t="s">
        <v>1441</v>
      </c>
      <c r="L244" s="212"/>
      <c r="M244" s="212"/>
      <c r="N244" s="212"/>
      <c r="O244" s="212"/>
      <c r="P244" s="212"/>
      <c r="Q244" s="212"/>
      <c r="R244" s="212"/>
      <c r="S244" s="149"/>
      <c r="T244" s="212"/>
      <c r="U244" s="212"/>
      <c r="V244" s="212"/>
      <c r="W244" s="212"/>
      <c r="X244" s="212"/>
      <c r="Y244" s="212"/>
      <c r="Z244" s="212"/>
      <c r="AA244" s="212"/>
      <c r="AB244" s="212"/>
      <c r="AC244" s="212"/>
      <c r="AD244" s="212"/>
      <c r="AE244" s="161"/>
      <c r="AF244" s="212"/>
      <c r="AG244" s="212"/>
      <c r="AH244" s="212"/>
      <c r="AI244" s="212"/>
      <c r="AJ244" s="212"/>
      <c r="AK244" s="212"/>
      <c r="AL244" s="212"/>
      <c r="AM244" s="212"/>
      <c r="AN244" s="212"/>
      <c r="AO244" s="212"/>
      <c r="AP244" s="212"/>
      <c r="AR244" s="212"/>
      <c r="AS244" s="212"/>
      <c r="AT244" s="212"/>
      <c r="AU244" s="212"/>
      <c r="AV244" s="212"/>
      <c r="AW244" s="212"/>
      <c r="AX244" s="212"/>
      <c r="AY244" s="212"/>
      <c r="AZ244" s="212"/>
      <c r="BA244" s="212"/>
      <c r="BB244" s="212"/>
      <c r="BC244" s="212"/>
      <c r="BD244" s="212"/>
      <c r="BE244" s="212"/>
      <c r="BF244" s="212"/>
      <c r="BG244" s="212"/>
      <c r="BH244" s="212"/>
      <c r="BI244" s="212"/>
      <c r="BJ244" s="212"/>
      <c r="BK244" s="212"/>
      <c r="BL244" s="212"/>
      <c r="BM244" s="212"/>
      <c r="BN244" s="212"/>
      <c r="BO244" s="212"/>
      <c r="BP244" s="212"/>
      <c r="BQ244" s="212"/>
      <c r="BR244" s="212"/>
    </row>
    <row r="245" ht="32" customHeight="1" spans="1:70">
      <c r="A245" s="208">
        <v>243</v>
      </c>
      <c r="B245" s="212" t="s">
        <v>1442</v>
      </c>
      <c r="C245" s="212" t="s">
        <v>956</v>
      </c>
      <c r="D245" s="212" t="s">
        <v>1443</v>
      </c>
      <c r="E245" s="212"/>
      <c r="F245" s="212"/>
      <c r="G245" s="212" t="s">
        <v>1444</v>
      </c>
      <c r="H245" s="212"/>
      <c r="I245" s="212"/>
      <c r="J245" s="212" t="s">
        <v>1445</v>
      </c>
      <c r="K245" s="212" t="s">
        <v>1446</v>
      </c>
      <c r="L245" s="212"/>
      <c r="M245" s="212"/>
      <c r="N245" s="212"/>
      <c r="O245" s="212"/>
      <c r="P245" s="212"/>
      <c r="Q245" s="212"/>
      <c r="R245" s="212"/>
      <c r="S245" s="149"/>
      <c r="T245" s="212"/>
      <c r="U245" s="212"/>
      <c r="V245" s="212"/>
      <c r="W245" s="212"/>
      <c r="X245" s="212"/>
      <c r="Y245" s="212"/>
      <c r="Z245" s="212"/>
      <c r="AA245" s="212"/>
      <c r="AB245" s="212"/>
      <c r="AC245" s="212"/>
      <c r="AD245" s="212"/>
      <c r="AE245" s="161"/>
      <c r="AF245" s="212"/>
      <c r="AG245" s="212"/>
      <c r="AH245" s="212"/>
      <c r="AI245" s="212"/>
      <c r="AJ245" s="212"/>
      <c r="AK245" s="212"/>
      <c r="AL245" s="212"/>
      <c r="AM245" s="212"/>
      <c r="AN245" s="212"/>
      <c r="AO245" s="212"/>
      <c r="AP245" s="212"/>
      <c r="AR245" s="212"/>
      <c r="AS245" s="212"/>
      <c r="AT245" s="212"/>
      <c r="AU245" s="212"/>
      <c r="AV245" s="212"/>
      <c r="AW245" s="212"/>
      <c r="AX245" s="212"/>
      <c r="AY245" s="212"/>
      <c r="AZ245" s="212"/>
      <c r="BA245" s="212"/>
      <c r="BB245" s="212"/>
      <c r="BC245" s="212"/>
      <c r="BD245" s="212"/>
      <c r="BE245" s="212"/>
      <c r="BF245" s="212"/>
      <c r="BG245" s="212"/>
      <c r="BH245" s="212"/>
      <c r="BI245" s="212"/>
      <c r="BJ245" s="212"/>
      <c r="BK245" s="212"/>
      <c r="BL245" s="212"/>
      <c r="BM245" s="212"/>
      <c r="BN245" s="212"/>
      <c r="BO245" s="212"/>
      <c r="BP245" s="212"/>
      <c r="BQ245" s="212"/>
      <c r="BR245" s="212"/>
    </row>
    <row r="246" ht="32" customHeight="1" spans="1:70">
      <c r="A246" s="208">
        <v>244</v>
      </c>
      <c r="B246" s="212" t="s">
        <v>1447</v>
      </c>
      <c r="C246" s="212" t="s">
        <v>956</v>
      </c>
      <c r="D246" s="212" t="s">
        <v>1448</v>
      </c>
      <c r="E246" s="212"/>
      <c r="F246" s="212"/>
      <c r="G246" s="212" t="s">
        <v>1449</v>
      </c>
      <c r="H246" s="212"/>
      <c r="I246" s="212"/>
      <c r="J246" s="212" t="s">
        <v>1450</v>
      </c>
      <c r="K246" s="212" t="s">
        <v>1451</v>
      </c>
      <c r="L246" s="212"/>
      <c r="M246" s="212"/>
      <c r="N246" s="212"/>
      <c r="O246" s="212"/>
      <c r="P246" s="212"/>
      <c r="Q246" s="212"/>
      <c r="R246" s="212"/>
      <c r="S246" s="149"/>
      <c r="T246" s="212"/>
      <c r="U246" s="212"/>
      <c r="V246" s="212"/>
      <c r="W246" s="212"/>
      <c r="X246" s="212"/>
      <c r="Y246" s="212"/>
      <c r="Z246" s="212"/>
      <c r="AA246" s="212"/>
      <c r="AB246" s="212"/>
      <c r="AC246" s="212"/>
      <c r="AD246" s="212"/>
      <c r="AE246" s="161"/>
      <c r="AF246" s="212"/>
      <c r="AG246" s="212"/>
      <c r="AH246" s="212"/>
      <c r="AI246" s="212"/>
      <c r="AJ246" s="212"/>
      <c r="AK246" s="212"/>
      <c r="AL246" s="212"/>
      <c r="AM246" s="212"/>
      <c r="AN246" s="212"/>
      <c r="AO246" s="212"/>
      <c r="AP246" s="212"/>
      <c r="AR246" s="212"/>
      <c r="AS246" s="212"/>
      <c r="AT246" s="212"/>
      <c r="AU246" s="212"/>
      <c r="AV246" s="212"/>
      <c r="AW246" s="212"/>
      <c r="AX246" s="212"/>
      <c r="AY246" s="212"/>
      <c r="AZ246" s="212"/>
      <c r="BA246" s="212"/>
      <c r="BB246" s="212"/>
      <c r="BC246" s="212"/>
      <c r="BD246" s="212"/>
      <c r="BE246" s="212"/>
      <c r="BF246" s="212"/>
      <c r="BG246" s="212"/>
      <c r="BH246" s="212"/>
      <c r="BI246" s="212"/>
      <c r="BJ246" s="212"/>
      <c r="BK246" s="212"/>
      <c r="BL246" s="212"/>
      <c r="BM246" s="212"/>
      <c r="BN246" s="212"/>
      <c r="BO246" s="212"/>
      <c r="BP246" s="212"/>
      <c r="BQ246" s="212"/>
      <c r="BR246" s="212"/>
    </row>
    <row r="247" ht="32" customHeight="1" spans="1:70">
      <c r="A247" s="208">
        <v>245</v>
      </c>
      <c r="B247" s="212" t="s">
        <v>1452</v>
      </c>
      <c r="C247" s="212" t="s">
        <v>956</v>
      </c>
      <c r="D247" s="212" t="s">
        <v>1453</v>
      </c>
      <c r="E247" s="212"/>
      <c r="F247" s="212"/>
      <c r="G247" s="212" t="s">
        <v>1454</v>
      </c>
      <c r="H247" s="212"/>
      <c r="I247" s="212"/>
      <c r="J247" s="212" t="s">
        <v>1455</v>
      </c>
      <c r="K247" s="212" t="s">
        <v>1456</v>
      </c>
      <c r="L247" s="212"/>
      <c r="M247" s="212"/>
      <c r="N247" s="212"/>
      <c r="O247" s="212"/>
      <c r="P247" s="212"/>
      <c r="Q247" s="212"/>
      <c r="R247" s="212"/>
      <c r="S247" s="149"/>
      <c r="T247" s="212"/>
      <c r="U247" s="212"/>
      <c r="V247" s="212"/>
      <c r="W247" s="212"/>
      <c r="X247" s="212"/>
      <c r="Y247" s="212"/>
      <c r="Z247" s="212"/>
      <c r="AA247" s="212"/>
      <c r="AB247" s="212"/>
      <c r="AC247" s="212"/>
      <c r="AD247" s="212"/>
      <c r="AE247" s="161"/>
      <c r="AF247" s="212"/>
      <c r="AG247" s="212"/>
      <c r="AH247" s="212"/>
      <c r="AI247" s="212"/>
      <c r="AJ247" s="212"/>
      <c r="AK247" s="212"/>
      <c r="AL247" s="212"/>
      <c r="AM247" s="212"/>
      <c r="AN247" s="212"/>
      <c r="AO247" s="212"/>
      <c r="AP247" s="212"/>
      <c r="AR247" s="212"/>
      <c r="AS247" s="212"/>
      <c r="AT247" s="212"/>
      <c r="AU247" s="212"/>
      <c r="AV247" s="212"/>
      <c r="AW247" s="212"/>
      <c r="AX247" s="212"/>
      <c r="AY247" s="212"/>
      <c r="AZ247" s="212"/>
      <c r="BA247" s="212"/>
      <c r="BB247" s="212"/>
      <c r="BC247" s="212"/>
      <c r="BD247" s="212"/>
      <c r="BE247" s="212"/>
      <c r="BF247" s="212"/>
      <c r="BG247" s="212"/>
      <c r="BH247" s="212"/>
      <c r="BI247" s="212"/>
      <c r="BJ247" s="212"/>
      <c r="BK247" s="212"/>
      <c r="BL247" s="212"/>
      <c r="BM247" s="212"/>
      <c r="BN247" s="212"/>
      <c r="BO247" s="212"/>
      <c r="BP247" s="212"/>
      <c r="BQ247" s="212"/>
      <c r="BR247" s="212"/>
    </row>
    <row r="248" ht="32" customHeight="1" spans="1:70">
      <c r="A248" s="208">
        <v>246</v>
      </c>
      <c r="B248" s="212" t="s">
        <v>1457</v>
      </c>
      <c r="C248" s="212" t="s">
        <v>956</v>
      </c>
      <c r="D248" s="212" t="s">
        <v>1458</v>
      </c>
      <c r="E248" s="212"/>
      <c r="F248" s="212"/>
      <c r="G248" s="212"/>
      <c r="H248" s="212"/>
      <c r="I248" s="212"/>
      <c r="J248" s="212"/>
      <c r="K248" s="212"/>
      <c r="L248" s="212"/>
      <c r="M248" s="212"/>
      <c r="N248" s="212"/>
      <c r="O248" s="212"/>
      <c r="P248" s="212"/>
      <c r="Q248" s="212"/>
      <c r="R248" s="212"/>
      <c r="S248" s="149"/>
      <c r="T248" s="212"/>
      <c r="U248" s="212"/>
      <c r="V248" s="212"/>
      <c r="W248" s="212"/>
      <c r="X248" s="212"/>
      <c r="Y248" s="212"/>
      <c r="Z248" s="212"/>
      <c r="AA248" s="212"/>
      <c r="AB248" s="212"/>
      <c r="AC248" s="212"/>
      <c r="AD248" s="212"/>
      <c r="AE248" s="161"/>
      <c r="AF248" s="212"/>
      <c r="AG248" s="212"/>
      <c r="AH248" s="212"/>
      <c r="AI248" s="212"/>
      <c r="AJ248" s="212"/>
      <c r="AK248" s="212"/>
      <c r="AL248" s="212"/>
      <c r="AM248" s="212"/>
      <c r="AN248" s="212"/>
      <c r="AO248" s="212"/>
      <c r="AP248" s="212"/>
      <c r="AR248" s="212"/>
      <c r="AS248" s="212"/>
      <c r="AT248" s="212"/>
      <c r="AU248" s="212"/>
      <c r="AV248" s="212"/>
      <c r="AW248" s="212"/>
      <c r="AX248" s="212"/>
      <c r="AY248" s="212"/>
      <c r="AZ248" s="212"/>
      <c r="BA248" s="212"/>
      <c r="BB248" s="212"/>
      <c r="BC248" s="212"/>
      <c r="BD248" s="212"/>
      <c r="BE248" s="212"/>
      <c r="BF248" s="212"/>
      <c r="BG248" s="212"/>
      <c r="BH248" s="212"/>
      <c r="BI248" s="212"/>
      <c r="BJ248" s="212"/>
      <c r="BK248" s="212"/>
      <c r="BL248" s="212"/>
      <c r="BM248" s="212"/>
      <c r="BN248" s="212"/>
      <c r="BO248" s="212"/>
      <c r="BP248" s="212"/>
      <c r="BQ248" s="212"/>
      <c r="BR248" s="212"/>
    </row>
    <row r="249" ht="32" customHeight="1" spans="1:70">
      <c r="A249" s="208">
        <v>247</v>
      </c>
      <c r="B249" s="212" t="s">
        <v>1459</v>
      </c>
      <c r="C249" s="212" t="s">
        <v>956</v>
      </c>
      <c r="D249" s="212" t="s">
        <v>1460</v>
      </c>
      <c r="E249" s="212"/>
      <c r="F249" s="212"/>
      <c r="G249" s="212"/>
      <c r="H249" s="212"/>
      <c r="I249" s="212"/>
      <c r="J249" s="212"/>
      <c r="K249" s="212"/>
      <c r="L249" s="212"/>
      <c r="M249" s="212"/>
      <c r="N249" s="212"/>
      <c r="O249" s="212"/>
      <c r="P249" s="212"/>
      <c r="Q249" s="212"/>
      <c r="R249" s="212"/>
      <c r="S249" s="149"/>
      <c r="T249" s="212"/>
      <c r="U249" s="212"/>
      <c r="V249" s="212"/>
      <c r="W249" s="212"/>
      <c r="X249" s="212"/>
      <c r="Y249" s="212"/>
      <c r="Z249" s="212"/>
      <c r="AA249" s="212"/>
      <c r="AB249" s="212"/>
      <c r="AC249" s="212"/>
      <c r="AD249" s="212"/>
      <c r="AE249" s="161"/>
      <c r="AF249" s="212"/>
      <c r="AG249" s="212"/>
      <c r="AH249" s="212"/>
      <c r="AI249" s="212"/>
      <c r="AJ249" s="212"/>
      <c r="AK249" s="212"/>
      <c r="AL249" s="212"/>
      <c r="AM249" s="212"/>
      <c r="AN249" s="212"/>
      <c r="AO249" s="212"/>
      <c r="AP249" s="212"/>
      <c r="AR249" s="212"/>
      <c r="AS249" s="212"/>
      <c r="AT249" s="212"/>
      <c r="AU249" s="212"/>
      <c r="AV249" s="212"/>
      <c r="AW249" s="212"/>
      <c r="AX249" s="212"/>
      <c r="AY249" s="212"/>
      <c r="AZ249" s="212"/>
      <c r="BA249" s="212"/>
      <c r="BB249" s="212"/>
      <c r="BC249" s="212"/>
      <c r="BD249" s="212"/>
      <c r="BE249" s="212"/>
      <c r="BF249" s="212"/>
      <c r="BG249" s="212"/>
      <c r="BH249" s="212"/>
      <c r="BI249" s="212"/>
      <c r="BJ249" s="212"/>
      <c r="BK249" s="212"/>
      <c r="BL249" s="212"/>
      <c r="BM249" s="212"/>
      <c r="BN249" s="212"/>
      <c r="BO249" s="212"/>
      <c r="BP249" s="212"/>
      <c r="BQ249" s="212"/>
      <c r="BR249" s="212"/>
    </row>
    <row r="250" ht="32" customHeight="1" spans="1:70">
      <c r="A250" s="189">
        <v>248</v>
      </c>
      <c r="B250" s="209" t="s">
        <v>1461</v>
      </c>
      <c r="C250" s="209" t="s">
        <v>956</v>
      </c>
      <c r="D250" s="209" t="s">
        <v>1462</v>
      </c>
      <c r="E250" s="209" t="s">
        <v>179</v>
      </c>
      <c r="F250" s="207" t="s">
        <v>80</v>
      </c>
      <c r="G250" s="209" t="s">
        <v>1463</v>
      </c>
      <c r="H250" s="209"/>
      <c r="I250" s="209" t="s">
        <v>1464</v>
      </c>
      <c r="J250" s="209" t="s">
        <v>1465</v>
      </c>
      <c r="K250" s="209"/>
      <c r="L250" s="209"/>
      <c r="M250" s="209" t="s">
        <v>1466</v>
      </c>
      <c r="N250" s="209"/>
      <c r="O250" s="209"/>
      <c r="P250" s="209"/>
      <c r="Q250" s="209"/>
      <c r="R250" s="209" t="s">
        <v>1467</v>
      </c>
      <c r="S250" s="207"/>
      <c r="T250" s="209"/>
      <c r="U250" s="209"/>
      <c r="V250" s="209"/>
      <c r="W250" s="209"/>
      <c r="X250" s="209"/>
      <c r="Y250" s="288" t="s">
        <v>84</v>
      </c>
      <c r="Z250" s="209"/>
      <c r="AA250" s="207" t="s">
        <v>85</v>
      </c>
      <c r="AB250" s="207" t="s">
        <v>86</v>
      </c>
      <c r="AC250" s="207" t="s">
        <v>96</v>
      </c>
      <c r="AD250" s="209" t="s">
        <v>1464</v>
      </c>
      <c r="AE250" s="225"/>
      <c r="AF250" s="209"/>
      <c r="AG250" s="209"/>
      <c r="AH250" s="209"/>
      <c r="AI250" s="209"/>
      <c r="AJ250" s="209"/>
      <c r="AK250" s="209"/>
      <c r="AL250" s="209"/>
      <c r="AM250" s="209"/>
      <c r="AN250" s="209"/>
      <c r="AO250" s="209"/>
      <c r="AP250" s="209"/>
      <c r="AR250" s="209"/>
      <c r="AS250" s="209"/>
      <c r="AT250" s="209"/>
      <c r="AU250" s="209"/>
      <c r="AV250" s="209"/>
      <c r="AW250" s="209"/>
      <c r="AX250" s="209"/>
      <c r="AY250" s="209"/>
      <c r="AZ250" s="209"/>
      <c r="BA250" s="209"/>
      <c r="BB250" s="209"/>
      <c r="BC250" s="209"/>
      <c r="BD250" s="209"/>
      <c r="BE250" s="209"/>
      <c r="BF250" s="209"/>
      <c r="BG250" s="209"/>
      <c r="BH250" s="209"/>
      <c r="BI250" s="209"/>
      <c r="BJ250" s="209"/>
      <c r="BK250" s="209"/>
      <c r="BL250" s="209" t="s">
        <v>88</v>
      </c>
      <c r="BM250" s="209"/>
      <c r="BN250" s="209"/>
      <c r="BO250" s="209"/>
      <c r="BP250" s="209"/>
      <c r="BQ250" s="209"/>
      <c r="BR250" s="209"/>
    </row>
    <row r="251" ht="32" customHeight="1" spans="1:70">
      <c r="A251" s="204">
        <v>249</v>
      </c>
      <c r="B251" s="210" t="s">
        <v>1468</v>
      </c>
      <c r="C251" s="210" t="s">
        <v>956</v>
      </c>
      <c r="D251" s="210" t="s">
        <v>1469</v>
      </c>
      <c r="E251" s="210"/>
      <c r="F251" s="210"/>
      <c r="G251" s="210"/>
      <c r="H251" s="210"/>
      <c r="I251" s="210"/>
      <c r="J251" s="210"/>
      <c r="K251" s="210"/>
      <c r="L251" s="210"/>
      <c r="M251" s="210"/>
      <c r="N251" s="210"/>
      <c r="O251" s="210"/>
      <c r="P251" s="210"/>
      <c r="Q251" s="210"/>
      <c r="R251" s="210"/>
      <c r="S251" s="205"/>
      <c r="T251" s="210"/>
      <c r="U251" s="210"/>
      <c r="V251" s="210"/>
      <c r="W251" s="210"/>
      <c r="X251" s="210"/>
      <c r="Y251" s="210"/>
      <c r="Z251" s="210"/>
      <c r="AA251" s="210"/>
      <c r="AB251" s="210"/>
      <c r="AC251" s="210"/>
      <c r="AD251" s="210"/>
      <c r="AE251" s="161"/>
      <c r="AF251" s="210"/>
      <c r="AG251" s="210"/>
      <c r="AH251" s="210"/>
      <c r="AI251" s="210"/>
      <c r="AJ251" s="210"/>
      <c r="AK251" s="210"/>
      <c r="AL251" s="210"/>
      <c r="AM251" s="210"/>
      <c r="AN251" s="210"/>
      <c r="AO251" s="210"/>
      <c r="AP251" s="210"/>
      <c r="AR251" s="210"/>
      <c r="AS251" s="210"/>
      <c r="AT251" s="210"/>
      <c r="AU251" s="210"/>
      <c r="AV251" s="210"/>
      <c r="AW251" s="210"/>
      <c r="AX251" s="210"/>
      <c r="AY251" s="210"/>
      <c r="AZ251" s="210"/>
      <c r="BA251" s="210"/>
      <c r="BB251" s="210"/>
      <c r="BC251" s="210"/>
      <c r="BD251" s="210"/>
      <c r="BE251" s="210"/>
      <c r="BF251" s="210"/>
      <c r="BG251" s="210"/>
      <c r="BH251" s="210"/>
      <c r="BI251" s="210"/>
      <c r="BJ251" s="210"/>
      <c r="BK251" s="210"/>
      <c r="BL251" s="210" t="s">
        <v>88</v>
      </c>
      <c r="BM251" s="210"/>
      <c r="BN251" s="210"/>
      <c r="BO251" s="210"/>
      <c r="BP251" s="210"/>
      <c r="BQ251" s="210"/>
      <c r="BR251" s="210"/>
    </row>
    <row r="252" ht="32" customHeight="1" spans="1:70">
      <c r="A252" s="208">
        <v>250</v>
      </c>
      <c r="B252" s="212" t="s">
        <v>1470</v>
      </c>
      <c r="C252" s="212" t="s">
        <v>956</v>
      </c>
      <c r="D252" s="212" t="s">
        <v>1469</v>
      </c>
      <c r="E252" s="212"/>
      <c r="F252" s="212"/>
      <c r="G252" s="212"/>
      <c r="H252" s="212"/>
      <c r="I252" s="212"/>
      <c r="J252" s="212"/>
      <c r="K252" s="212"/>
      <c r="L252" s="212"/>
      <c r="M252" s="212"/>
      <c r="N252" s="212"/>
      <c r="O252" s="212"/>
      <c r="P252" s="212"/>
      <c r="Q252" s="212"/>
      <c r="R252" s="212"/>
      <c r="S252" s="149"/>
      <c r="T252" s="212"/>
      <c r="U252" s="212"/>
      <c r="V252" s="212"/>
      <c r="W252" s="212"/>
      <c r="X252" s="212"/>
      <c r="Y252" s="212"/>
      <c r="Z252" s="212"/>
      <c r="AA252" s="212"/>
      <c r="AB252" s="212"/>
      <c r="AC252" s="212"/>
      <c r="AD252" s="212"/>
      <c r="AE252" s="161"/>
      <c r="AF252" s="212"/>
      <c r="AG252" s="212"/>
      <c r="AH252" s="212"/>
      <c r="AI252" s="212"/>
      <c r="AJ252" s="212"/>
      <c r="AK252" s="212"/>
      <c r="AL252" s="212"/>
      <c r="AM252" s="212"/>
      <c r="AN252" s="212"/>
      <c r="AO252" s="212"/>
      <c r="AP252" s="212"/>
      <c r="AR252" s="212"/>
      <c r="AS252" s="212"/>
      <c r="AT252" s="212"/>
      <c r="AU252" s="212"/>
      <c r="AV252" s="212"/>
      <c r="AW252" s="212"/>
      <c r="AX252" s="212"/>
      <c r="AY252" s="212"/>
      <c r="AZ252" s="212"/>
      <c r="BA252" s="212"/>
      <c r="BB252" s="212"/>
      <c r="BC252" s="212"/>
      <c r="BD252" s="212"/>
      <c r="BE252" s="212"/>
      <c r="BF252" s="212"/>
      <c r="BG252" s="212"/>
      <c r="BH252" s="212"/>
      <c r="BI252" s="212"/>
      <c r="BJ252" s="212"/>
      <c r="BK252" s="212"/>
      <c r="BL252" s="212" t="s">
        <v>88</v>
      </c>
      <c r="BM252" s="212"/>
      <c r="BN252" s="212"/>
      <c r="BO252" s="212"/>
      <c r="BP252" s="212"/>
      <c r="BQ252" s="212"/>
      <c r="BR252" s="212"/>
    </row>
    <row r="253" ht="32" customHeight="1" spans="1:70">
      <c r="A253" s="208">
        <v>251</v>
      </c>
      <c r="B253" s="212" t="s">
        <v>1471</v>
      </c>
      <c r="C253" s="212" t="s">
        <v>956</v>
      </c>
      <c r="D253" s="212" t="s">
        <v>1469</v>
      </c>
      <c r="E253" s="212"/>
      <c r="F253" s="212"/>
      <c r="G253" s="212"/>
      <c r="H253" s="212"/>
      <c r="I253" s="212"/>
      <c r="J253" s="212"/>
      <c r="K253" s="212"/>
      <c r="L253" s="212"/>
      <c r="M253" s="212"/>
      <c r="N253" s="212"/>
      <c r="O253" s="212"/>
      <c r="P253" s="212"/>
      <c r="Q253" s="212"/>
      <c r="R253" s="212"/>
      <c r="S253" s="149"/>
      <c r="T253" s="212"/>
      <c r="U253" s="212"/>
      <c r="V253" s="212"/>
      <c r="W253" s="212"/>
      <c r="X253" s="212"/>
      <c r="Y253" s="212"/>
      <c r="Z253" s="212"/>
      <c r="AA253" s="212"/>
      <c r="AB253" s="212"/>
      <c r="AC253" s="212"/>
      <c r="AD253" s="212"/>
      <c r="AE253" s="161"/>
      <c r="AF253" s="212"/>
      <c r="AG253" s="212"/>
      <c r="AH253" s="212"/>
      <c r="AI253" s="212"/>
      <c r="AJ253" s="212"/>
      <c r="AK253" s="212"/>
      <c r="AL253" s="212"/>
      <c r="AM253" s="212"/>
      <c r="AN253" s="212"/>
      <c r="AO253" s="212"/>
      <c r="AP253" s="212"/>
      <c r="AR253" s="212"/>
      <c r="AS253" s="212"/>
      <c r="AT253" s="212"/>
      <c r="AU253" s="212"/>
      <c r="AV253" s="212"/>
      <c r="AW253" s="212"/>
      <c r="AX253" s="212"/>
      <c r="AY253" s="212"/>
      <c r="AZ253" s="212"/>
      <c r="BA253" s="212"/>
      <c r="BB253" s="212"/>
      <c r="BC253" s="212"/>
      <c r="BD253" s="212"/>
      <c r="BE253" s="212"/>
      <c r="BF253" s="212"/>
      <c r="BG253" s="212"/>
      <c r="BH253" s="212"/>
      <c r="BI253" s="212"/>
      <c r="BJ253" s="212"/>
      <c r="BK253" s="212"/>
      <c r="BL253" s="212" t="s">
        <v>88</v>
      </c>
      <c r="BM253" s="212"/>
      <c r="BN253" s="212"/>
      <c r="BO253" s="212"/>
      <c r="BP253" s="212"/>
      <c r="BQ253" s="212"/>
      <c r="BR253" s="212"/>
    </row>
    <row r="254" ht="32" customHeight="1" spans="1:70">
      <c r="A254" s="208">
        <v>252</v>
      </c>
      <c r="B254" s="212" t="s">
        <v>1472</v>
      </c>
      <c r="C254" s="212" t="s">
        <v>956</v>
      </c>
      <c r="D254" s="212" t="s">
        <v>1469</v>
      </c>
      <c r="E254" s="212"/>
      <c r="F254" s="212"/>
      <c r="G254" s="212"/>
      <c r="H254" s="212"/>
      <c r="I254" s="212"/>
      <c r="J254" s="212"/>
      <c r="K254" s="212"/>
      <c r="L254" s="212"/>
      <c r="M254" s="212"/>
      <c r="N254" s="212"/>
      <c r="O254" s="212"/>
      <c r="P254" s="212"/>
      <c r="Q254" s="212"/>
      <c r="R254" s="212"/>
      <c r="S254" s="149"/>
      <c r="T254" s="212"/>
      <c r="U254" s="212"/>
      <c r="V254" s="212"/>
      <c r="W254" s="212"/>
      <c r="X254" s="212"/>
      <c r="Y254" s="212"/>
      <c r="Z254" s="212"/>
      <c r="AA254" s="212"/>
      <c r="AB254" s="212"/>
      <c r="AC254" s="212"/>
      <c r="AD254" s="212"/>
      <c r="AE254" s="161"/>
      <c r="AF254" s="212"/>
      <c r="AG254" s="212"/>
      <c r="AH254" s="212"/>
      <c r="AI254" s="212"/>
      <c r="AJ254" s="212"/>
      <c r="AK254" s="212"/>
      <c r="AL254" s="212"/>
      <c r="AM254" s="212"/>
      <c r="AN254" s="212"/>
      <c r="AO254" s="212"/>
      <c r="AP254" s="212"/>
      <c r="AR254" s="212"/>
      <c r="AS254" s="212"/>
      <c r="AT254" s="212"/>
      <c r="AU254" s="212"/>
      <c r="AV254" s="212"/>
      <c r="AW254" s="212"/>
      <c r="AX254" s="212"/>
      <c r="AY254" s="212"/>
      <c r="AZ254" s="212"/>
      <c r="BA254" s="212"/>
      <c r="BB254" s="212"/>
      <c r="BC254" s="212"/>
      <c r="BD254" s="212"/>
      <c r="BE254" s="212"/>
      <c r="BF254" s="212"/>
      <c r="BG254" s="212"/>
      <c r="BH254" s="212"/>
      <c r="BI254" s="212"/>
      <c r="BJ254" s="212"/>
      <c r="BK254" s="212"/>
      <c r="BL254" s="212" t="s">
        <v>88</v>
      </c>
      <c r="BM254" s="212"/>
      <c r="BN254" s="212"/>
      <c r="BO254" s="212"/>
      <c r="BP254" s="212"/>
      <c r="BQ254" s="212"/>
      <c r="BR254" s="212"/>
    </row>
    <row r="255" ht="32" customHeight="1" spans="1:70">
      <c r="A255" s="208">
        <v>253</v>
      </c>
      <c r="B255" s="212" t="s">
        <v>1473</v>
      </c>
      <c r="C255" s="212" t="s">
        <v>956</v>
      </c>
      <c r="D255" s="212" t="s">
        <v>1469</v>
      </c>
      <c r="E255" s="212"/>
      <c r="F255" s="212" t="s">
        <v>124</v>
      </c>
      <c r="G255" s="212" t="s">
        <v>1474</v>
      </c>
      <c r="H255" s="245" t="s">
        <v>1244</v>
      </c>
      <c r="I255" s="212" t="s">
        <v>1475</v>
      </c>
      <c r="J255" s="212"/>
      <c r="K255" s="212"/>
      <c r="L255" s="212"/>
      <c r="M255" s="212"/>
      <c r="N255" s="212"/>
      <c r="O255" s="212"/>
      <c r="P255" s="212" t="s">
        <v>146</v>
      </c>
      <c r="Q255" s="212"/>
      <c r="R255" s="212"/>
      <c r="S255" s="149"/>
      <c r="T255" s="212"/>
      <c r="U255" s="212"/>
      <c r="V255" s="212"/>
      <c r="W255" s="212"/>
      <c r="X255" s="212"/>
      <c r="Y255" s="212" t="s">
        <v>84</v>
      </c>
      <c r="Z255" s="149" t="s">
        <v>85</v>
      </c>
      <c r="AA255" s="149" t="s">
        <v>85</v>
      </c>
      <c r="AB255" s="212"/>
      <c r="AC255" s="212" t="s">
        <v>96</v>
      </c>
      <c r="AD255" s="212"/>
      <c r="AE255" s="161"/>
      <c r="AF255" s="212"/>
      <c r="AG255" s="212"/>
      <c r="AH255" s="212"/>
      <c r="AI255" s="212"/>
      <c r="AJ255" s="212"/>
      <c r="AK255" s="212" t="s">
        <v>1476</v>
      </c>
      <c r="AL255" s="212"/>
      <c r="AM255" s="212"/>
      <c r="AN255" s="212" t="s">
        <v>1477</v>
      </c>
      <c r="AO255" s="212"/>
      <c r="AP255" s="212" t="s">
        <v>97</v>
      </c>
      <c r="AR255" s="212"/>
      <c r="AS255" s="212"/>
      <c r="AT255" s="212"/>
      <c r="AU255" s="212"/>
      <c r="AV255" s="212"/>
      <c r="AW255" s="212"/>
      <c r="AX255" s="207" t="s">
        <v>85</v>
      </c>
      <c r="AY255" s="212"/>
      <c r="AZ255" s="212"/>
      <c r="BA255" s="212"/>
      <c r="BB255" s="212" t="s">
        <v>1478</v>
      </c>
      <c r="BC255" s="212"/>
      <c r="BD255" s="212"/>
      <c r="BE255" s="212"/>
      <c r="BF255" s="212"/>
      <c r="BG255" s="212"/>
      <c r="BH255" s="212"/>
      <c r="BI255" s="212"/>
      <c r="BJ255" s="212"/>
      <c r="BK255" s="212"/>
      <c r="BL255" s="212" t="s">
        <v>88</v>
      </c>
      <c r="BM255" s="212"/>
      <c r="BN255" s="212"/>
      <c r="BO255" s="212"/>
      <c r="BP255" s="212"/>
      <c r="BQ255" s="212" t="s">
        <v>1479</v>
      </c>
      <c r="BR255" s="212" t="s">
        <v>1092</v>
      </c>
    </row>
    <row r="256" ht="32" customHeight="1" spans="1:70">
      <c r="A256" s="189">
        <v>254</v>
      </c>
      <c r="B256" s="209" t="s">
        <v>1480</v>
      </c>
      <c r="C256" s="209" t="s">
        <v>956</v>
      </c>
      <c r="D256" s="209" t="s">
        <v>1481</v>
      </c>
      <c r="E256" s="209"/>
      <c r="F256" s="207" t="s">
        <v>156</v>
      </c>
      <c r="G256" s="209" t="s">
        <v>1482</v>
      </c>
      <c r="H256" s="209"/>
      <c r="I256" s="209"/>
      <c r="J256" s="209" t="s">
        <v>1483</v>
      </c>
      <c r="K256" s="209">
        <v>13809073912</v>
      </c>
      <c r="L256" s="209"/>
      <c r="M256" s="209" t="s">
        <v>1484</v>
      </c>
      <c r="N256" s="209"/>
      <c r="O256" s="209"/>
      <c r="P256" s="209"/>
      <c r="Q256" s="209" t="s">
        <v>786</v>
      </c>
      <c r="R256" s="209" t="s">
        <v>949</v>
      </c>
      <c r="S256" s="207"/>
      <c r="T256" s="209"/>
      <c r="U256" s="209"/>
      <c r="V256" s="209"/>
      <c r="W256" s="209"/>
      <c r="X256" s="209"/>
      <c r="Y256" s="209"/>
      <c r="Z256" s="209"/>
      <c r="AA256" s="209"/>
      <c r="AB256" s="209"/>
      <c r="AC256" s="209"/>
      <c r="AD256" s="209"/>
      <c r="AE256" s="225"/>
      <c r="AF256" s="209"/>
      <c r="AG256" s="209"/>
      <c r="AH256" s="209"/>
      <c r="AI256" s="209"/>
      <c r="AJ256" s="209"/>
      <c r="AK256" s="209"/>
      <c r="AL256" s="209"/>
      <c r="AM256" s="209"/>
      <c r="AN256" s="209"/>
      <c r="AO256" s="209"/>
      <c r="AP256" s="209"/>
      <c r="AR256" s="209"/>
      <c r="AS256" s="209"/>
      <c r="AT256" s="209"/>
      <c r="AU256" s="209"/>
      <c r="AV256" s="209"/>
      <c r="AW256" s="209"/>
      <c r="AX256" s="209"/>
      <c r="AY256" s="209"/>
      <c r="AZ256" s="209"/>
      <c r="BA256" s="209"/>
      <c r="BB256" s="209"/>
      <c r="BC256" s="209"/>
      <c r="BD256" s="209"/>
      <c r="BE256" s="209"/>
      <c r="BF256" s="209"/>
      <c r="BG256" s="209"/>
      <c r="BH256" s="209"/>
      <c r="BI256" s="209"/>
      <c r="BJ256" s="209"/>
      <c r="BK256" s="209"/>
      <c r="BL256" s="209"/>
      <c r="BM256" s="209"/>
      <c r="BN256" s="209"/>
      <c r="BO256" s="209"/>
      <c r="BP256" s="209" t="s">
        <v>394</v>
      </c>
      <c r="BQ256" s="207"/>
      <c r="BR256" s="209"/>
    </row>
    <row r="257" ht="32" customHeight="1" spans="1:70">
      <c r="A257" s="204">
        <v>255</v>
      </c>
      <c r="B257" s="210" t="s">
        <v>1485</v>
      </c>
      <c r="C257" s="210" t="s">
        <v>956</v>
      </c>
      <c r="D257" s="210" t="s">
        <v>1486</v>
      </c>
      <c r="E257" s="210"/>
      <c r="F257" s="205" t="s">
        <v>80</v>
      </c>
      <c r="G257" s="210" t="s">
        <v>498</v>
      </c>
      <c r="H257" s="210"/>
      <c r="I257" s="210"/>
      <c r="J257" s="210" t="s">
        <v>1487</v>
      </c>
      <c r="K257" s="210">
        <v>18317120735</v>
      </c>
      <c r="L257" s="210"/>
      <c r="M257" s="210" t="s">
        <v>1488</v>
      </c>
      <c r="N257" s="210"/>
      <c r="O257" s="210"/>
      <c r="P257" s="210"/>
      <c r="Q257" s="210"/>
      <c r="R257" s="210"/>
      <c r="S257" s="205"/>
      <c r="T257" s="210"/>
      <c r="U257" s="210"/>
      <c r="V257" s="210"/>
      <c r="W257" s="210"/>
      <c r="X257" s="210"/>
      <c r="Y257" s="210"/>
      <c r="Z257" s="210"/>
      <c r="AA257" s="210"/>
      <c r="AB257" s="210"/>
      <c r="AC257" s="210"/>
      <c r="AD257" s="210"/>
      <c r="AE257" s="161"/>
      <c r="AF257" s="210"/>
      <c r="AG257" s="210"/>
      <c r="AH257" s="210"/>
      <c r="AI257" s="210"/>
      <c r="AJ257" s="210"/>
      <c r="AK257" s="210"/>
      <c r="AL257" s="210" t="s">
        <v>1489</v>
      </c>
      <c r="AM257" s="210"/>
      <c r="AN257" s="210"/>
      <c r="AO257" s="210"/>
      <c r="AP257" s="210"/>
      <c r="AR257" s="210"/>
      <c r="AS257" s="210"/>
      <c r="AT257" s="210"/>
      <c r="AU257" s="210"/>
      <c r="AV257" s="210"/>
      <c r="AW257" s="210"/>
      <c r="AX257" s="210"/>
      <c r="AY257" s="210"/>
      <c r="AZ257" s="210"/>
      <c r="BA257" s="210"/>
      <c r="BB257" s="210"/>
      <c r="BC257" s="210"/>
      <c r="BD257" s="210"/>
      <c r="BE257" s="210"/>
      <c r="BF257" s="210"/>
      <c r="BG257" s="210"/>
      <c r="BH257" s="210"/>
      <c r="BI257" s="210"/>
      <c r="BJ257" s="210"/>
      <c r="BK257" s="210"/>
      <c r="BL257" s="210"/>
      <c r="BM257" s="210"/>
      <c r="BN257" s="210"/>
      <c r="BO257" s="210"/>
      <c r="BP257" s="210" t="s">
        <v>394</v>
      </c>
      <c r="BQ257" s="205"/>
      <c r="BR257" s="210"/>
    </row>
    <row r="258" ht="32" customHeight="1" spans="1:70">
      <c r="A258" s="208">
        <v>256</v>
      </c>
      <c r="B258" s="212" t="s">
        <v>1490</v>
      </c>
      <c r="C258" s="212" t="s">
        <v>956</v>
      </c>
      <c r="D258" s="212" t="s">
        <v>1491</v>
      </c>
      <c r="E258" s="212"/>
      <c r="F258" s="212" t="s">
        <v>310</v>
      </c>
      <c r="G258" s="212" t="s">
        <v>586</v>
      </c>
      <c r="H258" s="212"/>
      <c r="I258" s="212"/>
      <c r="J258" s="212" t="s">
        <v>1492</v>
      </c>
      <c r="K258" s="212">
        <v>13961197465</v>
      </c>
      <c r="L258" s="212"/>
      <c r="M258" s="212" t="s">
        <v>609</v>
      </c>
      <c r="N258" s="212"/>
      <c r="O258" s="212"/>
      <c r="P258" s="212"/>
      <c r="Q258" s="212"/>
      <c r="R258" s="212"/>
      <c r="S258" s="149"/>
      <c r="T258" s="212"/>
      <c r="U258" s="212"/>
      <c r="V258" s="212"/>
      <c r="W258" s="212"/>
      <c r="X258" s="212"/>
      <c r="Y258" s="212"/>
      <c r="Z258" s="212"/>
      <c r="AA258" s="212"/>
      <c r="AB258" s="212"/>
      <c r="AC258" s="212"/>
      <c r="AD258" s="212"/>
      <c r="AE258" s="161"/>
      <c r="AF258" s="212"/>
      <c r="AG258" s="212"/>
      <c r="AH258" s="212"/>
      <c r="AI258" s="212"/>
      <c r="AJ258" s="212"/>
      <c r="AK258" s="212"/>
      <c r="AL258" s="212" t="s">
        <v>1493</v>
      </c>
      <c r="AM258" s="212"/>
      <c r="AN258" s="212"/>
      <c r="AO258" s="212"/>
      <c r="AP258" s="212"/>
      <c r="AR258" s="212"/>
      <c r="AS258" s="212"/>
      <c r="AT258" s="212"/>
      <c r="AU258" s="212"/>
      <c r="AV258" s="212"/>
      <c r="AW258" s="212"/>
      <c r="AX258" s="212"/>
      <c r="AY258" s="212"/>
      <c r="AZ258" s="212"/>
      <c r="BA258" s="212"/>
      <c r="BB258" s="212"/>
      <c r="BC258" s="212"/>
      <c r="BD258" s="212"/>
      <c r="BE258" s="212"/>
      <c r="BF258" s="212"/>
      <c r="BG258" s="212"/>
      <c r="BH258" s="212"/>
      <c r="BI258" s="212"/>
      <c r="BJ258" s="212"/>
      <c r="BK258" s="212"/>
      <c r="BL258" s="212"/>
      <c r="BM258" s="212"/>
      <c r="BN258" s="212"/>
      <c r="BO258" s="212"/>
      <c r="BP258" s="212" t="s">
        <v>394</v>
      </c>
      <c r="BQ258" s="149"/>
      <c r="BR258" s="212"/>
    </row>
    <row r="259" ht="32" customHeight="1" spans="1:70">
      <c r="A259" s="208">
        <v>257</v>
      </c>
      <c r="B259" s="212" t="s">
        <v>1494</v>
      </c>
      <c r="C259" s="212" t="s">
        <v>956</v>
      </c>
      <c r="D259" s="212" t="s">
        <v>1495</v>
      </c>
      <c r="E259" s="212" t="s">
        <v>279</v>
      </c>
      <c r="F259" s="149" t="s">
        <v>156</v>
      </c>
      <c r="G259" s="212" t="s">
        <v>1496</v>
      </c>
      <c r="H259" s="212"/>
      <c r="I259" s="212"/>
      <c r="J259" s="212" t="s">
        <v>1497</v>
      </c>
      <c r="K259" s="212" t="s">
        <v>1498</v>
      </c>
      <c r="L259" s="212"/>
      <c r="M259" s="212" t="s">
        <v>1499</v>
      </c>
      <c r="N259" s="212"/>
      <c r="O259" s="212"/>
      <c r="P259" s="212"/>
      <c r="Q259" s="212"/>
      <c r="R259" s="212"/>
      <c r="S259" s="149"/>
      <c r="T259" s="212"/>
      <c r="U259" s="212"/>
      <c r="V259" s="212"/>
      <c r="W259" s="212"/>
      <c r="X259" s="212"/>
      <c r="Y259" s="212" t="s">
        <v>84</v>
      </c>
      <c r="Z259" s="212"/>
      <c r="AA259" s="149" t="s">
        <v>85</v>
      </c>
      <c r="AB259" s="149" t="s">
        <v>86</v>
      </c>
      <c r="AC259" s="212"/>
      <c r="AD259" s="212"/>
      <c r="AE259" s="161"/>
      <c r="AF259" s="212"/>
      <c r="AG259" s="212"/>
      <c r="AH259" s="212"/>
      <c r="AI259" s="212"/>
      <c r="AJ259" s="212"/>
      <c r="AK259" s="212"/>
      <c r="AL259" s="212"/>
      <c r="AM259" s="212" t="s">
        <v>1500</v>
      </c>
      <c r="AN259" s="212"/>
      <c r="AO259" s="212"/>
      <c r="AP259" s="212"/>
      <c r="AR259" s="212"/>
      <c r="AS259" s="212"/>
      <c r="AT259" s="212"/>
      <c r="AU259" s="212"/>
      <c r="AV259" s="212"/>
      <c r="AW259" s="212"/>
      <c r="AX259" s="212"/>
      <c r="AY259" s="212"/>
      <c r="AZ259" s="212"/>
      <c r="BA259" s="212"/>
      <c r="BB259" s="212"/>
      <c r="BC259" s="212"/>
      <c r="BD259" s="212"/>
      <c r="BE259" s="212"/>
      <c r="BF259" s="212"/>
      <c r="BG259" s="212"/>
      <c r="BH259" s="212"/>
      <c r="BI259" s="212"/>
      <c r="BJ259" s="212"/>
      <c r="BK259" s="212" t="s">
        <v>1501</v>
      </c>
      <c r="BL259" s="212" t="s">
        <v>88</v>
      </c>
      <c r="BM259" s="212"/>
      <c r="BN259" s="212"/>
      <c r="BO259" s="212"/>
      <c r="BP259" s="212"/>
      <c r="BQ259" s="212" t="s">
        <v>1502</v>
      </c>
      <c r="BR259" s="212"/>
    </row>
    <row r="260" ht="32" customHeight="1" spans="1:70">
      <c r="A260" s="189">
        <v>258</v>
      </c>
      <c r="B260" s="209" t="s">
        <v>1503</v>
      </c>
      <c r="C260" s="209" t="s">
        <v>956</v>
      </c>
      <c r="D260" s="209" t="s">
        <v>1504</v>
      </c>
      <c r="E260" s="209"/>
      <c r="F260" s="209"/>
      <c r="G260" s="209"/>
      <c r="H260" s="209" t="s">
        <v>1505</v>
      </c>
      <c r="I260" s="209" t="s">
        <v>1506</v>
      </c>
      <c r="J260" s="209" t="s">
        <v>1507</v>
      </c>
      <c r="K260" s="209" t="s">
        <v>1508</v>
      </c>
      <c r="L260" s="209"/>
      <c r="M260" s="209"/>
      <c r="N260" s="209"/>
      <c r="O260" s="209"/>
      <c r="P260" s="209"/>
      <c r="Q260" s="209"/>
      <c r="R260" s="209" t="s">
        <v>1509</v>
      </c>
      <c r="S260" s="207"/>
      <c r="T260" s="209"/>
      <c r="U260" s="209"/>
      <c r="V260" s="209"/>
      <c r="W260" s="209"/>
      <c r="X260" s="209"/>
      <c r="Y260" s="209"/>
      <c r="Z260" s="209"/>
      <c r="AA260" s="209"/>
      <c r="AB260" s="209"/>
      <c r="AC260" s="209"/>
      <c r="AD260" s="209"/>
      <c r="AE260" s="225"/>
      <c r="AF260" s="209"/>
      <c r="AG260" s="209"/>
      <c r="AH260" s="209"/>
      <c r="AI260" s="209"/>
      <c r="AJ260" s="209"/>
      <c r="AK260" s="209"/>
      <c r="AL260" s="209"/>
      <c r="AM260" s="209"/>
      <c r="AN260" s="209"/>
      <c r="AO260" s="209"/>
      <c r="AP260" s="209"/>
      <c r="AR260" s="209"/>
      <c r="AS260" s="209"/>
      <c r="AT260" s="209"/>
      <c r="AU260" s="209"/>
      <c r="AV260" s="209"/>
      <c r="AW260" s="209"/>
      <c r="AX260" s="209"/>
      <c r="AY260" s="209"/>
      <c r="AZ260" s="209"/>
      <c r="BA260" s="209"/>
      <c r="BB260" s="209"/>
      <c r="BC260" s="209"/>
      <c r="BD260" s="209"/>
      <c r="BE260" s="209"/>
      <c r="BF260" s="209"/>
      <c r="BG260" s="209"/>
      <c r="BH260" s="209"/>
      <c r="BI260" s="209"/>
      <c r="BJ260" s="209"/>
      <c r="BK260" s="209"/>
      <c r="BL260" s="209"/>
      <c r="BM260" s="209"/>
      <c r="BN260" s="209"/>
      <c r="BO260" s="209"/>
      <c r="BP260" s="209" t="s">
        <v>442</v>
      </c>
      <c r="BQ260" s="207"/>
      <c r="BR260" s="209"/>
    </row>
    <row r="261" ht="41.25" customHeight="1" spans="1:70">
      <c r="A261" s="189">
        <v>259</v>
      </c>
      <c r="B261" s="207" t="s">
        <v>334</v>
      </c>
      <c r="C261" s="209" t="s">
        <v>956</v>
      </c>
      <c r="D261" s="207" t="s">
        <v>1510</v>
      </c>
      <c r="E261" s="209"/>
      <c r="F261" s="207" t="s">
        <v>310</v>
      </c>
      <c r="G261" s="207" t="s">
        <v>1511</v>
      </c>
      <c r="H261" s="207">
        <v>60</v>
      </c>
      <c r="I261" s="207" t="s">
        <v>1512</v>
      </c>
      <c r="J261" s="207"/>
      <c r="K261" s="207"/>
      <c r="L261" s="207"/>
      <c r="M261" s="207" t="s">
        <v>1513</v>
      </c>
      <c r="N261" s="207" t="s">
        <v>1514</v>
      </c>
      <c r="O261" s="207" t="s">
        <v>1515</v>
      </c>
      <c r="P261" s="207"/>
      <c r="Q261" s="207"/>
      <c r="R261" s="207"/>
      <c r="S261" s="207"/>
      <c r="T261" s="207"/>
      <c r="U261" s="207"/>
      <c r="V261" s="207"/>
      <c r="W261" s="207"/>
      <c r="X261" s="207"/>
      <c r="Y261" s="286" t="s">
        <v>84</v>
      </c>
      <c r="Z261" s="207" t="s">
        <v>85</v>
      </c>
      <c r="AA261" s="207" t="s">
        <v>85</v>
      </c>
      <c r="AB261" s="207" t="s">
        <v>86</v>
      </c>
      <c r="AC261" s="207" t="s">
        <v>96</v>
      </c>
      <c r="AD261" s="209" t="s">
        <v>527</v>
      </c>
      <c r="AE261" s="225"/>
      <c r="AF261" s="207"/>
      <c r="AG261" s="211"/>
      <c r="AH261" s="207" t="s">
        <v>1516</v>
      </c>
      <c r="AI261" s="207"/>
      <c r="AJ261" s="207" t="s">
        <v>1517</v>
      </c>
      <c r="AK261" s="207"/>
      <c r="AL261" s="207" t="s">
        <v>1518</v>
      </c>
      <c r="AM261" s="207" t="s">
        <v>1519</v>
      </c>
      <c r="AN261" s="207"/>
      <c r="AO261" s="207"/>
      <c r="AP261" s="207"/>
      <c r="AR261" s="207"/>
      <c r="AS261" s="207"/>
      <c r="AT261" s="207"/>
      <c r="AU261" s="207"/>
      <c r="AV261" s="207"/>
      <c r="AW261" s="207"/>
      <c r="AX261" s="207"/>
      <c r="AY261" s="207"/>
      <c r="AZ261" s="207"/>
      <c r="BA261" s="207"/>
      <c r="BB261" s="207"/>
      <c r="BC261" s="207"/>
      <c r="BD261" s="207"/>
      <c r="BE261" s="207"/>
      <c r="BF261" s="207"/>
      <c r="BG261" s="207"/>
      <c r="BH261" s="207"/>
      <c r="BI261" s="207"/>
      <c r="BJ261" s="207"/>
      <c r="BK261" s="207"/>
      <c r="BL261" s="207"/>
      <c r="BM261" s="207"/>
      <c r="BN261" s="207"/>
      <c r="BO261" s="207"/>
      <c r="BP261" s="207"/>
      <c r="BQ261" s="207"/>
      <c r="BR261" s="207"/>
    </row>
    <row r="262" ht="32" customHeight="1" spans="1:70">
      <c r="A262" s="189">
        <v>260</v>
      </c>
      <c r="B262" s="207" t="s">
        <v>1520</v>
      </c>
      <c r="C262" s="207" t="s">
        <v>1521</v>
      </c>
      <c r="D262" s="207" t="s">
        <v>1522</v>
      </c>
      <c r="E262" s="209" t="s">
        <v>249</v>
      </c>
      <c r="F262" s="207" t="s">
        <v>80</v>
      </c>
      <c r="G262" s="207" t="s">
        <v>1156</v>
      </c>
      <c r="H262" s="207">
        <v>20</v>
      </c>
      <c r="I262" s="207">
        <v>1000</v>
      </c>
      <c r="J262" s="207" t="s">
        <v>1523</v>
      </c>
      <c r="K262" s="207"/>
      <c r="L262" s="207"/>
      <c r="M262" s="207" t="s">
        <v>1524</v>
      </c>
      <c r="N262" s="207"/>
      <c r="O262" s="207"/>
      <c r="P262" s="207"/>
      <c r="Q262" s="207"/>
      <c r="R262" s="207" t="s">
        <v>116</v>
      </c>
      <c r="S262" s="207"/>
      <c r="T262" s="207"/>
      <c r="U262" s="207"/>
      <c r="V262" s="207"/>
      <c r="W262" s="207"/>
      <c r="X262" s="207"/>
      <c r="Y262" s="207"/>
      <c r="Z262" s="207"/>
      <c r="AA262" s="207"/>
      <c r="AB262" s="207"/>
      <c r="AC262" s="207"/>
      <c r="AD262" s="209"/>
      <c r="AE262" s="225"/>
      <c r="AF262" s="207"/>
      <c r="AG262" s="207"/>
      <c r="AH262" s="207"/>
      <c r="AI262" s="207"/>
      <c r="AJ262" s="207"/>
      <c r="AK262" s="207"/>
      <c r="AL262" s="207"/>
      <c r="AM262" s="207"/>
      <c r="AN262" s="207"/>
      <c r="AO262" s="207"/>
      <c r="AP262" s="207"/>
      <c r="AR262" s="207"/>
      <c r="AS262" s="207"/>
      <c r="AT262" s="207"/>
      <c r="AU262" s="207"/>
      <c r="AV262" s="207"/>
      <c r="AW262" s="207"/>
      <c r="AX262" s="207"/>
      <c r="AY262" s="207"/>
      <c r="AZ262" s="207"/>
      <c r="BA262" s="207"/>
      <c r="BB262" s="207"/>
      <c r="BC262" s="207"/>
      <c r="BD262" s="207"/>
      <c r="BE262" s="207"/>
      <c r="BF262" s="207"/>
      <c r="BG262" s="207"/>
      <c r="BH262" s="207"/>
      <c r="BI262" s="207"/>
      <c r="BJ262" s="207"/>
      <c r="BK262" s="207"/>
      <c r="BL262" s="207"/>
      <c r="BM262" s="207"/>
      <c r="BN262" s="207"/>
      <c r="BO262" s="207"/>
      <c r="BP262" s="207"/>
      <c r="BQ262" s="207"/>
      <c r="BR262" s="207"/>
    </row>
    <row r="263" ht="32" customHeight="1" spans="1:70">
      <c r="A263" s="204">
        <v>261</v>
      </c>
      <c r="B263" s="205" t="s">
        <v>1525</v>
      </c>
      <c r="C263" s="205" t="s">
        <v>1521</v>
      </c>
      <c r="D263" s="205" t="s">
        <v>1526</v>
      </c>
      <c r="E263" s="210" t="s">
        <v>249</v>
      </c>
      <c r="F263" s="205" t="s">
        <v>80</v>
      </c>
      <c r="G263" s="205" t="s">
        <v>1156</v>
      </c>
      <c r="H263" s="205">
        <v>60</v>
      </c>
      <c r="I263" s="205">
        <v>1000</v>
      </c>
      <c r="J263" s="205" t="s">
        <v>1527</v>
      </c>
      <c r="K263" s="205"/>
      <c r="L263" s="205"/>
      <c r="M263" s="205" t="s">
        <v>1524</v>
      </c>
      <c r="N263" s="205"/>
      <c r="O263" s="205"/>
      <c r="P263" s="205"/>
      <c r="Q263" s="205"/>
      <c r="R263" s="205"/>
      <c r="S263" s="205"/>
      <c r="T263" s="205"/>
      <c r="U263" s="205"/>
      <c r="V263" s="205"/>
      <c r="W263" s="205"/>
      <c r="X263" s="205"/>
      <c r="Y263" s="205"/>
      <c r="Z263" s="205"/>
      <c r="AA263" s="205"/>
      <c r="AB263" s="205"/>
      <c r="AC263" s="205"/>
      <c r="AD263" s="205"/>
      <c r="AE263" s="161"/>
      <c r="AF263" s="205"/>
      <c r="AG263" s="205"/>
      <c r="AH263" s="205"/>
      <c r="AI263" s="205"/>
      <c r="AJ263" s="205"/>
      <c r="AK263" s="205"/>
      <c r="AL263" s="205"/>
      <c r="AM263" s="205"/>
      <c r="AN263" s="205"/>
      <c r="AO263" s="205"/>
      <c r="AP263" s="205"/>
      <c r="AR263" s="205"/>
      <c r="AS263" s="205"/>
      <c r="AT263" s="205"/>
      <c r="AU263" s="205"/>
      <c r="AV263" s="205"/>
      <c r="AW263" s="205"/>
      <c r="AX263" s="205"/>
      <c r="AY263" s="205"/>
      <c r="AZ263" s="205"/>
      <c r="BA263" s="205"/>
      <c r="BB263" s="205"/>
      <c r="BC263" s="205"/>
      <c r="BD263" s="205"/>
      <c r="BE263" s="205"/>
      <c r="BF263" s="205"/>
      <c r="BG263" s="205"/>
      <c r="BH263" s="205"/>
      <c r="BI263" s="205"/>
      <c r="BJ263" s="205"/>
      <c r="BK263" s="205"/>
      <c r="BL263" s="205"/>
      <c r="BM263" s="205"/>
      <c r="BN263" s="205"/>
      <c r="BO263" s="205"/>
      <c r="BP263" s="205"/>
      <c r="BQ263" s="205"/>
      <c r="BR263" s="205"/>
    </row>
    <row r="264" ht="32" customHeight="1" spans="1:70">
      <c r="A264" s="189">
        <v>262</v>
      </c>
      <c r="B264" s="207" t="s">
        <v>1528</v>
      </c>
      <c r="C264" s="207" t="s">
        <v>1521</v>
      </c>
      <c r="D264" s="207" t="s">
        <v>1529</v>
      </c>
      <c r="E264" s="209" t="s">
        <v>1345</v>
      </c>
      <c r="F264" s="207" t="s">
        <v>80</v>
      </c>
      <c r="G264" s="207" t="s">
        <v>1156</v>
      </c>
      <c r="H264" s="207">
        <v>400</v>
      </c>
      <c r="I264" s="207">
        <v>28000</v>
      </c>
      <c r="J264" s="207" t="s">
        <v>1530</v>
      </c>
      <c r="K264" s="207"/>
      <c r="L264" s="207"/>
      <c r="M264" s="207" t="s">
        <v>1531</v>
      </c>
      <c r="N264" s="207"/>
      <c r="O264" s="207"/>
      <c r="P264" s="207"/>
      <c r="Q264" s="207"/>
      <c r="R264" s="207" t="s">
        <v>1532</v>
      </c>
      <c r="S264" s="207"/>
      <c r="T264" s="207"/>
      <c r="U264" s="207"/>
      <c r="V264" s="207"/>
      <c r="W264" s="207"/>
      <c r="X264" s="207"/>
      <c r="Y264" s="207"/>
      <c r="Z264" s="207"/>
      <c r="AA264" s="207"/>
      <c r="AB264" s="207"/>
      <c r="AC264" s="207"/>
      <c r="AD264" s="209"/>
      <c r="AE264" s="225"/>
      <c r="AF264" s="207"/>
      <c r="AG264" s="207"/>
      <c r="AH264" s="207"/>
      <c r="AI264" s="207"/>
      <c r="AJ264" s="207"/>
      <c r="AK264" s="207"/>
      <c r="AL264" s="207"/>
      <c r="AM264" s="207"/>
      <c r="AN264" s="207"/>
      <c r="AO264" s="207"/>
      <c r="AP264" s="207"/>
      <c r="AR264" s="207"/>
      <c r="AS264" s="207"/>
      <c r="AT264" s="207" t="s">
        <v>85</v>
      </c>
      <c r="AU264" s="205" t="s">
        <v>85</v>
      </c>
      <c r="AV264" s="207" t="s">
        <v>85</v>
      </c>
      <c r="AW264" s="205" t="s">
        <v>85</v>
      </c>
      <c r="AX264" s="207"/>
      <c r="AY264" s="207"/>
      <c r="AZ264" s="207"/>
      <c r="BA264" s="207"/>
      <c r="BB264" s="207"/>
      <c r="BC264" s="207"/>
      <c r="BD264" s="207"/>
      <c r="BE264" s="207"/>
      <c r="BF264" s="207"/>
      <c r="BG264" s="207"/>
      <c r="BH264" s="207"/>
      <c r="BI264" s="207"/>
      <c r="BJ264" s="207"/>
      <c r="BK264" s="207"/>
      <c r="BL264" s="207"/>
      <c r="BM264" s="207"/>
      <c r="BN264" s="207"/>
      <c r="BO264" s="207"/>
      <c r="BP264" s="207"/>
      <c r="BQ264" s="207"/>
      <c r="BR264" s="207" t="s">
        <v>1533</v>
      </c>
    </row>
    <row r="265" ht="32" customHeight="1" spans="1:70">
      <c r="A265" s="189">
        <v>263</v>
      </c>
      <c r="B265" s="207" t="s">
        <v>1534</v>
      </c>
      <c r="C265" s="207" t="s">
        <v>1521</v>
      </c>
      <c r="D265" s="207" t="s">
        <v>1535</v>
      </c>
      <c r="E265" s="209" t="s">
        <v>175</v>
      </c>
      <c r="F265" s="207" t="s">
        <v>80</v>
      </c>
      <c r="G265" s="207" t="s">
        <v>1156</v>
      </c>
      <c r="H265" s="207">
        <v>210</v>
      </c>
      <c r="I265" s="207">
        <v>500</v>
      </c>
      <c r="J265" s="207" t="s">
        <v>1536</v>
      </c>
      <c r="K265" s="207"/>
      <c r="L265" s="207"/>
      <c r="M265" s="207" t="s">
        <v>1156</v>
      </c>
      <c r="N265" s="207"/>
      <c r="O265" s="207"/>
      <c r="P265" s="207"/>
      <c r="Q265" s="207" t="s">
        <v>146</v>
      </c>
      <c r="R265" s="207"/>
      <c r="S265" s="207"/>
      <c r="T265" s="207"/>
      <c r="U265" s="207"/>
      <c r="V265" s="207"/>
      <c r="W265" s="207"/>
      <c r="X265" s="207"/>
      <c r="Y265" s="207"/>
      <c r="Z265" s="207"/>
      <c r="AA265" s="207"/>
      <c r="AB265" s="207"/>
      <c r="AC265" s="207"/>
      <c r="AD265" s="207"/>
      <c r="AE265" s="225"/>
      <c r="AF265" s="207"/>
      <c r="AG265" s="207"/>
      <c r="AH265" s="207"/>
      <c r="AI265" s="207"/>
      <c r="AJ265" s="207"/>
      <c r="AK265" s="207"/>
      <c r="AL265" s="207"/>
      <c r="AM265" s="207"/>
      <c r="AN265" s="207"/>
      <c r="AO265" s="207"/>
      <c r="AP265" s="207"/>
      <c r="AR265" s="207"/>
      <c r="AS265" s="207"/>
      <c r="AT265" s="207"/>
      <c r="AU265" s="207"/>
      <c r="AV265" s="207"/>
      <c r="AW265" s="207"/>
      <c r="AX265" s="207"/>
      <c r="AY265" s="207"/>
      <c r="AZ265" s="207"/>
      <c r="BA265" s="207"/>
      <c r="BB265" s="207"/>
      <c r="BC265" s="207"/>
      <c r="BD265" s="207"/>
      <c r="BE265" s="207"/>
      <c r="BF265" s="207"/>
      <c r="BG265" s="207"/>
      <c r="BH265" s="207"/>
      <c r="BI265" s="207"/>
      <c r="BJ265" s="207"/>
      <c r="BK265" s="207"/>
      <c r="BL265" s="207"/>
      <c r="BM265" s="207"/>
      <c r="BN265" s="207"/>
      <c r="BO265" s="207"/>
      <c r="BP265" s="207"/>
      <c r="BQ265" s="207"/>
      <c r="BR265" s="207"/>
    </row>
    <row r="266" ht="32" customHeight="1" spans="1:70">
      <c r="A266" s="189">
        <v>264</v>
      </c>
      <c r="B266" s="207" t="s">
        <v>1537</v>
      </c>
      <c r="C266" s="207" t="s">
        <v>1521</v>
      </c>
      <c r="D266" s="207" t="s">
        <v>1538</v>
      </c>
      <c r="E266" s="209" t="s">
        <v>198</v>
      </c>
      <c r="F266" s="207" t="s">
        <v>80</v>
      </c>
      <c r="G266" s="207" t="s">
        <v>1156</v>
      </c>
      <c r="H266" s="207">
        <v>20</v>
      </c>
      <c r="I266" s="207">
        <v>1000</v>
      </c>
      <c r="J266" s="207" t="s">
        <v>1539</v>
      </c>
      <c r="K266" s="207"/>
      <c r="L266" s="207"/>
      <c r="M266" s="207" t="s">
        <v>1540</v>
      </c>
      <c r="N266" s="207"/>
      <c r="O266" s="207"/>
      <c r="P266" s="207"/>
      <c r="Q266" s="207"/>
      <c r="R266" s="207"/>
      <c r="S266" s="207"/>
      <c r="T266" s="207"/>
      <c r="U266" s="207"/>
      <c r="V266" s="207"/>
      <c r="W266" s="207"/>
      <c r="X266" s="207"/>
      <c r="Y266" s="207"/>
      <c r="Z266" s="207"/>
      <c r="AA266" s="207"/>
      <c r="AB266" s="207"/>
      <c r="AC266" s="207"/>
      <c r="AD266" s="209"/>
      <c r="AE266" s="225"/>
      <c r="AF266" s="207"/>
      <c r="AG266" s="207"/>
      <c r="AH266" s="207"/>
      <c r="AI266" s="207"/>
      <c r="AJ266" s="207"/>
      <c r="AK266" s="207" t="s">
        <v>1493</v>
      </c>
      <c r="AL266" s="207"/>
      <c r="AM266" s="207"/>
      <c r="AN266" s="207"/>
      <c r="AO266" s="207"/>
      <c r="AP266" s="207"/>
      <c r="AR266" s="207"/>
      <c r="AS266" s="207"/>
      <c r="AT266" s="207"/>
      <c r="AU266" s="207"/>
      <c r="AV266" s="207"/>
      <c r="AW266" s="207"/>
      <c r="AX266" s="207"/>
      <c r="AY266" s="207"/>
      <c r="AZ266" s="207"/>
      <c r="BA266" s="207"/>
      <c r="BB266" s="207"/>
      <c r="BC266" s="207"/>
      <c r="BD266" s="207"/>
      <c r="BE266" s="207"/>
      <c r="BF266" s="207"/>
      <c r="BG266" s="207"/>
      <c r="BH266" s="207"/>
      <c r="BI266" s="207"/>
      <c r="BJ266" s="207"/>
      <c r="BK266" s="207"/>
      <c r="BL266" s="207"/>
      <c r="BM266" s="207"/>
      <c r="BN266" s="207"/>
      <c r="BO266" s="207"/>
      <c r="BP266" s="207"/>
      <c r="BQ266" s="207"/>
      <c r="BR266" s="207"/>
    </row>
    <row r="267" ht="32" customHeight="1" spans="1:70">
      <c r="A267" s="189">
        <v>265</v>
      </c>
      <c r="B267" s="207" t="s">
        <v>1541</v>
      </c>
      <c r="C267" s="207" t="s">
        <v>1521</v>
      </c>
      <c r="D267" s="207" t="s">
        <v>1542</v>
      </c>
      <c r="E267" s="209" t="s">
        <v>348</v>
      </c>
      <c r="F267" s="207" t="s">
        <v>80</v>
      </c>
      <c r="G267" s="207" t="s">
        <v>1156</v>
      </c>
      <c r="H267" s="207">
        <v>200</v>
      </c>
      <c r="I267" s="207">
        <v>12000</v>
      </c>
      <c r="J267" s="207" t="s">
        <v>1543</v>
      </c>
      <c r="K267" s="207"/>
      <c r="L267" s="207"/>
      <c r="M267" s="207" t="s">
        <v>1524</v>
      </c>
      <c r="N267" s="207"/>
      <c r="O267" s="207"/>
      <c r="P267" s="207"/>
      <c r="Q267" s="207" t="s">
        <v>448</v>
      </c>
      <c r="R267" s="207" t="s">
        <v>596</v>
      </c>
      <c r="S267" s="207"/>
      <c r="T267" s="207"/>
      <c r="U267" s="207"/>
      <c r="V267" s="207"/>
      <c r="W267" s="207"/>
      <c r="X267" s="207"/>
      <c r="Y267" s="207"/>
      <c r="Z267" s="207"/>
      <c r="AA267" s="207"/>
      <c r="AB267" s="207"/>
      <c r="AC267" s="207"/>
      <c r="AD267" s="209"/>
      <c r="AE267" s="225"/>
      <c r="AF267" s="207"/>
      <c r="AG267" s="207"/>
      <c r="AH267" s="207"/>
      <c r="AI267" s="207"/>
      <c r="AJ267" s="207"/>
      <c r="AK267" s="207"/>
      <c r="AL267" s="207"/>
      <c r="AM267" s="207"/>
      <c r="AN267" s="207"/>
      <c r="AO267" s="207"/>
      <c r="AP267" s="207"/>
      <c r="AR267" s="207"/>
      <c r="AS267" s="207"/>
      <c r="AT267" s="207"/>
      <c r="AU267" s="207"/>
      <c r="AV267" s="207"/>
      <c r="AW267" s="207"/>
      <c r="AX267" s="207"/>
      <c r="AY267" s="207"/>
      <c r="AZ267" s="207"/>
      <c r="BA267" s="207"/>
      <c r="BB267" s="207"/>
      <c r="BC267" s="207"/>
      <c r="BD267" s="207"/>
      <c r="BE267" s="207"/>
      <c r="BF267" s="207"/>
      <c r="BG267" s="207"/>
      <c r="BH267" s="207"/>
      <c r="BI267" s="207"/>
      <c r="BJ267" s="207"/>
      <c r="BK267" s="207"/>
      <c r="BL267" s="207"/>
      <c r="BM267" s="207"/>
      <c r="BN267" s="207"/>
      <c r="BO267" s="207"/>
      <c r="BP267" s="207"/>
      <c r="BQ267" s="207"/>
      <c r="BR267" s="207"/>
    </row>
    <row r="268" ht="32" customHeight="1" spans="1:70">
      <c r="A268" s="189">
        <v>266</v>
      </c>
      <c r="B268" s="207" t="s">
        <v>1544</v>
      </c>
      <c r="C268" s="207" t="s">
        <v>1521</v>
      </c>
      <c r="D268" s="207" t="s">
        <v>1545</v>
      </c>
      <c r="E268" s="209" t="s">
        <v>198</v>
      </c>
      <c r="F268" s="207" t="s">
        <v>80</v>
      </c>
      <c r="G268" s="207" t="s">
        <v>1156</v>
      </c>
      <c r="H268" s="207">
        <v>100</v>
      </c>
      <c r="I268" s="207">
        <v>5000</v>
      </c>
      <c r="J268" s="207" t="s">
        <v>1546</v>
      </c>
      <c r="K268" s="207"/>
      <c r="L268" s="207"/>
      <c r="M268" s="207" t="s">
        <v>1547</v>
      </c>
      <c r="N268" s="207"/>
      <c r="O268" s="207"/>
      <c r="P268" s="207"/>
      <c r="Q268" s="207" t="s">
        <v>448</v>
      </c>
      <c r="R268" s="207" t="s">
        <v>596</v>
      </c>
      <c r="S268" s="207"/>
      <c r="T268" s="207"/>
      <c r="U268" s="207"/>
      <c r="V268" s="207"/>
      <c r="W268" s="207"/>
      <c r="X268" s="207"/>
      <c r="Y268" s="207"/>
      <c r="Z268" s="207"/>
      <c r="AA268" s="207"/>
      <c r="AB268" s="207"/>
      <c r="AC268" s="207"/>
      <c r="AD268" s="209"/>
      <c r="AE268" s="225"/>
      <c r="AF268" s="207"/>
      <c r="AG268" s="207"/>
      <c r="AH268" s="207"/>
      <c r="AI268" s="207"/>
      <c r="AJ268" s="207"/>
      <c r="AK268" s="207"/>
      <c r="AL268" s="207"/>
      <c r="AM268" s="207"/>
      <c r="AN268" s="207"/>
      <c r="AO268" s="207"/>
      <c r="AP268" s="207"/>
      <c r="AR268" s="207"/>
      <c r="AS268" s="207"/>
      <c r="AT268" s="207"/>
      <c r="AU268" s="207"/>
      <c r="AV268" s="207"/>
      <c r="AW268" s="207"/>
      <c r="AX268" s="207"/>
      <c r="AY268" s="207"/>
      <c r="AZ268" s="207"/>
      <c r="BA268" s="207"/>
      <c r="BB268" s="207"/>
      <c r="BC268" s="207"/>
      <c r="BD268" s="207"/>
      <c r="BE268" s="207"/>
      <c r="BF268" s="207"/>
      <c r="BG268" s="207"/>
      <c r="BH268" s="207"/>
      <c r="BI268" s="207"/>
      <c r="BJ268" s="207"/>
      <c r="BK268" s="207"/>
      <c r="BL268" s="207"/>
      <c r="BM268" s="207"/>
      <c r="BN268" s="207"/>
      <c r="BO268" s="207"/>
      <c r="BP268" s="207"/>
      <c r="BQ268" s="207"/>
      <c r="BR268" s="207"/>
    </row>
    <row r="269" ht="32" customHeight="1" spans="1:70">
      <c r="A269" s="204">
        <v>267</v>
      </c>
      <c r="B269" s="205" t="s">
        <v>1548</v>
      </c>
      <c r="C269" s="205" t="s">
        <v>1521</v>
      </c>
      <c r="D269" s="205" t="s">
        <v>1549</v>
      </c>
      <c r="E269" s="210" t="s">
        <v>323</v>
      </c>
      <c r="F269" s="205" t="s">
        <v>80</v>
      </c>
      <c r="G269" s="205" t="s">
        <v>1156</v>
      </c>
      <c r="H269" s="205"/>
      <c r="I269" s="205"/>
      <c r="J269" s="205"/>
      <c r="K269" s="205"/>
      <c r="L269" s="205"/>
      <c r="M269" s="205" t="s">
        <v>1474</v>
      </c>
      <c r="N269" s="205"/>
      <c r="O269" s="205"/>
      <c r="P269" s="205"/>
      <c r="Q269" s="205"/>
      <c r="R269" s="205"/>
      <c r="S269" s="205"/>
      <c r="T269" s="205"/>
      <c r="U269" s="205"/>
      <c r="V269" s="205"/>
      <c r="W269" s="205"/>
      <c r="X269" s="205"/>
      <c r="Y269" s="205"/>
      <c r="Z269" s="205"/>
      <c r="AA269" s="205"/>
      <c r="AB269" s="205"/>
      <c r="AC269" s="205"/>
      <c r="AD269" s="205"/>
      <c r="AE269" s="161"/>
      <c r="AF269" s="205"/>
      <c r="AG269" s="205"/>
      <c r="AH269" s="205"/>
      <c r="AI269" s="205"/>
      <c r="AJ269" s="205"/>
      <c r="AK269" s="205"/>
      <c r="AL269" s="205"/>
      <c r="AM269" s="205"/>
      <c r="AN269" s="205"/>
      <c r="AO269" s="205"/>
      <c r="AP269" s="205"/>
      <c r="AR269" s="205"/>
      <c r="AS269" s="205"/>
      <c r="AT269" s="205"/>
      <c r="AU269" s="205"/>
      <c r="AV269" s="205"/>
      <c r="AW269" s="205"/>
      <c r="AX269" s="205"/>
      <c r="AY269" s="205"/>
      <c r="AZ269" s="205"/>
      <c r="BA269" s="205"/>
      <c r="BB269" s="205"/>
      <c r="BC269" s="205"/>
      <c r="BD269" s="205"/>
      <c r="BE269" s="205"/>
      <c r="BF269" s="205"/>
      <c r="BG269" s="205"/>
      <c r="BH269" s="205"/>
      <c r="BI269" s="205"/>
      <c r="BJ269" s="205"/>
      <c r="BK269" s="205"/>
      <c r="BL269" s="205"/>
      <c r="BM269" s="205"/>
      <c r="BN269" s="205"/>
      <c r="BO269" s="205"/>
      <c r="BP269" s="205"/>
      <c r="BQ269" s="205"/>
      <c r="BR269" s="205"/>
    </row>
    <row r="270" ht="32" customHeight="1" spans="1:70">
      <c r="A270" s="208">
        <v>268</v>
      </c>
      <c r="B270" s="149" t="s">
        <v>1550</v>
      </c>
      <c r="C270" s="149" t="s">
        <v>1521</v>
      </c>
      <c r="D270" s="149" t="s">
        <v>1551</v>
      </c>
      <c r="E270" s="212" t="s">
        <v>223</v>
      </c>
      <c r="F270" s="149" t="s">
        <v>80</v>
      </c>
      <c r="G270" s="149" t="s">
        <v>1156</v>
      </c>
      <c r="H270" s="149"/>
      <c r="I270" s="149"/>
      <c r="J270" s="149"/>
      <c r="K270" s="149"/>
      <c r="L270" s="149"/>
      <c r="M270" s="149" t="s">
        <v>1552</v>
      </c>
      <c r="N270" s="149"/>
      <c r="O270" s="149"/>
      <c r="P270" s="149"/>
      <c r="Q270" s="149"/>
      <c r="R270" s="149"/>
      <c r="S270" s="149"/>
      <c r="T270" s="149"/>
      <c r="U270" s="149"/>
      <c r="V270" s="149"/>
      <c r="W270" s="149"/>
      <c r="X270" s="149"/>
      <c r="Y270" s="149"/>
      <c r="Z270" s="149"/>
      <c r="AA270" s="149"/>
      <c r="AB270" s="149"/>
      <c r="AC270" s="149"/>
      <c r="AD270" s="149"/>
      <c r="AE270" s="161"/>
      <c r="AF270" s="149"/>
      <c r="AG270" s="149"/>
      <c r="AH270" s="149"/>
      <c r="AI270" s="149"/>
      <c r="AJ270" s="149"/>
      <c r="AK270" s="149"/>
      <c r="AL270" s="149"/>
      <c r="AM270" s="149"/>
      <c r="AN270" s="149"/>
      <c r="AO270" s="149"/>
      <c r="AP270" s="149"/>
      <c r="AR270" s="149"/>
      <c r="AS270" s="149"/>
      <c r="AT270" s="149"/>
      <c r="AU270" s="149"/>
      <c r="AV270" s="149"/>
      <c r="AW270" s="149"/>
      <c r="AX270" s="149"/>
      <c r="AY270" s="149"/>
      <c r="AZ270" s="149"/>
      <c r="BA270" s="149"/>
      <c r="BB270" s="149"/>
      <c r="BC270" s="149"/>
      <c r="BD270" s="149"/>
      <c r="BE270" s="149"/>
      <c r="BF270" s="149"/>
      <c r="BG270" s="149"/>
      <c r="BH270" s="149"/>
      <c r="BI270" s="149"/>
      <c r="BJ270" s="149"/>
      <c r="BK270" s="149"/>
      <c r="BL270" s="149"/>
      <c r="BM270" s="149"/>
      <c r="BN270" s="149"/>
      <c r="BO270" s="149"/>
      <c r="BP270" s="149"/>
      <c r="BQ270" s="149"/>
      <c r="BR270" s="149"/>
    </row>
    <row r="271" ht="32" customHeight="1" spans="1:70">
      <c r="A271" s="208">
        <v>269</v>
      </c>
      <c r="B271" s="149" t="s">
        <v>1553</v>
      </c>
      <c r="C271" s="149" t="s">
        <v>1521</v>
      </c>
      <c r="D271" s="149" t="s">
        <v>1554</v>
      </c>
      <c r="E271" s="212" t="s">
        <v>689</v>
      </c>
      <c r="F271" s="149" t="s">
        <v>80</v>
      </c>
      <c r="G271" s="149" t="s">
        <v>1156</v>
      </c>
      <c r="H271" s="149"/>
      <c r="I271" s="149"/>
      <c r="J271" s="149"/>
      <c r="K271" s="149"/>
      <c r="L271" s="149"/>
      <c r="M271" s="149" t="s">
        <v>1474</v>
      </c>
      <c r="N271" s="149"/>
      <c r="O271" s="149"/>
      <c r="P271" s="149"/>
      <c r="Q271" s="149"/>
      <c r="R271" s="149"/>
      <c r="S271" s="149"/>
      <c r="T271" s="149"/>
      <c r="U271" s="149"/>
      <c r="V271" s="149"/>
      <c r="W271" s="149"/>
      <c r="X271" s="149"/>
      <c r="Y271" s="149"/>
      <c r="Z271" s="149"/>
      <c r="AA271" s="149"/>
      <c r="AB271" s="149"/>
      <c r="AC271" s="149"/>
      <c r="AD271" s="149"/>
      <c r="AE271" s="161"/>
      <c r="AF271" s="149"/>
      <c r="AG271" s="149"/>
      <c r="AH271" s="149"/>
      <c r="AI271" s="149"/>
      <c r="AJ271" s="149"/>
      <c r="AK271" s="149"/>
      <c r="AL271" s="149"/>
      <c r="AM271" s="149"/>
      <c r="AN271" s="149"/>
      <c r="AO271" s="149"/>
      <c r="AP271" s="149"/>
      <c r="AR271" s="149"/>
      <c r="AS271" s="149"/>
      <c r="AT271" s="149"/>
      <c r="AU271" s="149"/>
      <c r="AV271" s="149"/>
      <c r="AW271" s="149"/>
      <c r="AX271" s="149"/>
      <c r="AY271" s="149"/>
      <c r="AZ271" s="149"/>
      <c r="BA271" s="149"/>
      <c r="BB271" s="149"/>
      <c r="BC271" s="149"/>
      <c r="BD271" s="149"/>
      <c r="BE271" s="149"/>
      <c r="BF271" s="149"/>
      <c r="BG271" s="149"/>
      <c r="BH271" s="149"/>
      <c r="BI271" s="149"/>
      <c r="BJ271" s="149"/>
      <c r="BK271" s="149"/>
      <c r="BL271" s="149"/>
      <c r="BM271" s="149"/>
      <c r="BN271" s="149"/>
      <c r="BO271" s="149"/>
      <c r="BP271" s="149"/>
      <c r="BQ271" s="149"/>
      <c r="BR271" s="149"/>
    </row>
    <row r="272" ht="32" customHeight="1" spans="1:70">
      <c r="A272" s="208">
        <v>270</v>
      </c>
      <c r="B272" s="149" t="s">
        <v>1555</v>
      </c>
      <c r="C272" s="149" t="s">
        <v>1521</v>
      </c>
      <c r="D272" s="149" t="s">
        <v>1556</v>
      </c>
      <c r="E272" s="212" t="s">
        <v>348</v>
      </c>
      <c r="F272" s="149" t="s">
        <v>80</v>
      </c>
      <c r="G272" s="149" t="s">
        <v>1156</v>
      </c>
      <c r="H272" s="149"/>
      <c r="I272" s="149"/>
      <c r="J272" s="149"/>
      <c r="K272" s="149"/>
      <c r="L272" s="149"/>
      <c r="M272" s="149" t="s">
        <v>768</v>
      </c>
      <c r="N272" s="149"/>
      <c r="O272" s="149"/>
      <c r="P272" s="149"/>
      <c r="Q272" s="149"/>
      <c r="R272" s="149"/>
      <c r="S272" s="149"/>
      <c r="T272" s="149"/>
      <c r="U272" s="149"/>
      <c r="V272" s="149"/>
      <c r="W272" s="149"/>
      <c r="X272" s="149"/>
      <c r="Y272" s="149"/>
      <c r="Z272" s="149"/>
      <c r="AA272" s="149"/>
      <c r="AB272" s="149"/>
      <c r="AC272" s="149"/>
      <c r="AD272" s="149"/>
      <c r="AE272" s="161"/>
      <c r="AF272" s="149"/>
      <c r="AG272" s="149"/>
      <c r="AH272" s="149"/>
      <c r="AI272" s="149"/>
      <c r="AJ272" s="149"/>
      <c r="AK272" s="149"/>
      <c r="AL272" s="149"/>
      <c r="AM272" s="149"/>
      <c r="AN272" s="149"/>
      <c r="AO272" s="149"/>
      <c r="AP272" s="149"/>
      <c r="AR272" s="149"/>
      <c r="AS272" s="149"/>
      <c r="AT272" s="149"/>
      <c r="AU272" s="149"/>
      <c r="AV272" s="149"/>
      <c r="AW272" s="149"/>
      <c r="AX272" s="149"/>
      <c r="AY272" s="149"/>
      <c r="AZ272" s="149"/>
      <c r="BA272" s="149"/>
      <c r="BB272" s="149"/>
      <c r="BC272" s="149"/>
      <c r="BD272" s="149"/>
      <c r="BE272" s="149"/>
      <c r="BF272" s="149"/>
      <c r="BG272" s="149"/>
      <c r="BH272" s="149"/>
      <c r="BI272" s="149"/>
      <c r="BJ272" s="149"/>
      <c r="BK272" s="149"/>
      <c r="BL272" s="149"/>
      <c r="BM272" s="149"/>
      <c r="BN272" s="149"/>
      <c r="BO272" s="149"/>
      <c r="BP272" s="149"/>
      <c r="BQ272" s="149"/>
      <c r="BR272" s="149"/>
    </row>
    <row r="273" ht="32" customHeight="1" spans="1:70">
      <c r="A273" s="208">
        <v>271</v>
      </c>
      <c r="B273" s="149" t="s">
        <v>1557</v>
      </c>
      <c r="C273" s="149" t="s">
        <v>1521</v>
      </c>
      <c r="D273" s="149" t="s">
        <v>1558</v>
      </c>
      <c r="E273" s="212" t="s">
        <v>737</v>
      </c>
      <c r="F273" s="149" t="s">
        <v>80</v>
      </c>
      <c r="G273" s="149" t="s">
        <v>1156</v>
      </c>
      <c r="H273" s="149"/>
      <c r="I273" s="149"/>
      <c r="J273" s="149"/>
      <c r="K273" s="149"/>
      <c r="L273" s="149"/>
      <c r="M273" s="149" t="s">
        <v>1559</v>
      </c>
      <c r="N273" s="149"/>
      <c r="O273" s="149"/>
      <c r="P273" s="149"/>
      <c r="Q273" s="149"/>
      <c r="R273" s="149"/>
      <c r="S273" s="149"/>
      <c r="T273" s="149"/>
      <c r="U273" s="149"/>
      <c r="V273" s="149"/>
      <c r="W273" s="149"/>
      <c r="X273" s="149"/>
      <c r="Y273" s="149"/>
      <c r="Z273" s="149"/>
      <c r="AA273" s="149"/>
      <c r="AB273" s="149"/>
      <c r="AC273" s="149"/>
      <c r="AD273" s="149"/>
      <c r="AE273" s="161"/>
      <c r="AF273" s="149"/>
      <c r="AG273" s="149"/>
      <c r="AH273" s="149"/>
      <c r="AI273" s="149"/>
      <c r="AJ273" s="149"/>
      <c r="AK273" s="149"/>
      <c r="AL273" s="149"/>
      <c r="AM273" s="149"/>
      <c r="AN273" s="149"/>
      <c r="AO273" s="149"/>
      <c r="AP273" s="149"/>
      <c r="AR273" s="149"/>
      <c r="AS273" s="149"/>
      <c r="AT273" s="149"/>
      <c r="AU273" s="149"/>
      <c r="AV273" s="149"/>
      <c r="AW273" s="149"/>
      <c r="AX273" s="149"/>
      <c r="AY273" s="149"/>
      <c r="AZ273" s="149"/>
      <c r="BA273" s="149"/>
      <c r="BB273" s="149"/>
      <c r="BC273" s="149"/>
      <c r="BD273" s="149"/>
      <c r="BE273" s="149"/>
      <c r="BF273" s="149"/>
      <c r="BG273" s="149"/>
      <c r="BH273" s="149"/>
      <c r="BI273" s="149"/>
      <c r="BJ273" s="149"/>
      <c r="BK273" s="149"/>
      <c r="BL273" s="149"/>
      <c r="BM273" s="149"/>
      <c r="BN273" s="149"/>
      <c r="BO273" s="149"/>
      <c r="BP273" s="149"/>
      <c r="BQ273" s="149"/>
      <c r="BR273" s="149"/>
    </row>
    <row r="274" ht="32" customHeight="1" spans="1:70">
      <c r="A274" s="208">
        <v>272</v>
      </c>
      <c r="B274" s="149" t="s">
        <v>1560</v>
      </c>
      <c r="C274" s="149" t="s">
        <v>1521</v>
      </c>
      <c r="D274" s="149" t="s">
        <v>1561</v>
      </c>
      <c r="E274" s="212" t="s">
        <v>255</v>
      </c>
      <c r="F274" s="149" t="s">
        <v>80</v>
      </c>
      <c r="G274" s="149" t="s">
        <v>1156</v>
      </c>
      <c r="H274" s="149"/>
      <c r="I274" s="149"/>
      <c r="J274" s="149"/>
      <c r="K274" s="149"/>
      <c r="L274" s="149"/>
      <c r="M274" s="149" t="s">
        <v>1552</v>
      </c>
      <c r="N274" s="149"/>
      <c r="O274" s="149"/>
      <c r="P274" s="149"/>
      <c r="Q274" s="149"/>
      <c r="R274" s="149"/>
      <c r="S274" s="149"/>
      <c r="T274" s="149"/>
      <c r="U274" s="149"/>
      <c r="V274" s="149"/>
      <c r="W274" s="149"/>
      <c r="X274" s="149"/>
      <c r="Y274" s="149"/>
      <c r="Z274" s="149"/>
      <c r="AA274" s="149"/>
      <c r="AB274" s="149"/>
      <c r="AC274" s="149"/>
      <c r="AD274" s="149"/>
      <c r="AE274" s="161"/>
      <c r="AF274" s="149"/>
      <c r="AG274" s="149"/>
      <c r="AH274" s="149"/>
      <c r="AI274" s="149"/>
      <c r="AJ274" s="149"/>
      <c r="AK274" s="149"/>
      <c r="AL274" s="149"/>
      <c r="AM274" s="149"/>
      <c r="AN274" s="149"/>
      <c r="AO274" s="149"/>
      <c r="AP274" s="149"/>
      <c r="AR274" s="149"/>
      <c r="AS274" s="149"/>
      <c r="AT274" s="149"/>
      <c r="AU274" s="149"/>
      <c r="AV274" s="149"/>
      <c r="AW274" s="149"/>
      <c r="AX274" s="149"/>
      <c r="AY274" s="149"/>
      <c r="AZ274" s="149"/>
      <c r="BA274" s="149"/>
      <c r="BB274" s="149"/>
      <c r="BC274" s="149"/>
      <c r="BD274" s="149"/>
      <c r="BE274" s="149"/>
      <c r="BF274" s="149"/>
      <c r="BG274" s="149"/>
      <c r="BH274" s="149"/>
      <c r="BI274" s="149"/>
      <c r="BJ274" s="149"/>
      <c r="BK274" s="149"/>
      <c r="BL274" s="149"/>
      <c r="BM274" s="149"/>
      <c r="BN274" s="149"/>
      <c r="BO274" s="149"/>
      <c r="BP274" s="149"/>
      <c r="BQ274" s="149"/>
      <c r="BR274" s="149"/>
    </row>
    <row r="275" ht="32" customHeight="1" spans="1:70">
      <c r="A275" s="208">
        <v>273</v>
      </c>
      <c r="B275" s="149" t="s">
        <v>1562</v>
      </c>
      <c r="C275" s="149" t="s">
        <v>1521</v>
      </c>
      <c r="D275" s="149" t="s">
        <v>1563</v>
      </c>
      <c r="E275" s="212" t="s">
        <v>198</v>
      </c>
      <c r="F275" s="149" t="s">
        <v>80</v>
      </c>
      <c r="G275" s="149" t="s">
        <v>1156</v>
      </c>
      <c r="H275" s="149"/>
      <c r="I275" s="149"/>
      <c r="J275" s="149"/>
      <c r="K275" s="149"/>
      <c r="L275" s="149"/>
      <c r="M275" s="149" t="s">
        <v>1524</v>
      </c>
      <c r="N275" s="149"/>
      <c r="O275" s="149"/>
      <c r="P275" s="149"/>
      <c r="Q275" s="149"/>
      <c r="R275" s="149"/>
      <c r="S275" s="149"/>
      <c r="T275" s="149"/>
      <c r="U275" s="149"/>
      <c r="V275" s="149"/>
      <c r="W275" s="149"/>
      <c r="X275" s="149"/>
      <c r="Y275" s="149"/>
      <c r="Z275" s="149"/>
      <c r="AA275" s="149"/>
      <c r="AB275" s="149"/>
      <c r="AC275" s="149"/>
      <c r="AD275" s="149"/>
      <c r="AE275" s="161"/>
      <c r="AF275" s="149"/>
      <c r="AG275" s="149"/>
      <c r="AH275" s="149"/>
      <c r="AI275" s="149"/>
      <c r="AJ275" s="149"/>
      <c r="AK275" s="149"/>
      <c r="AL275" s="149"/>
      <c r="AM275" s="149"/>
      <c r="AN275" s="149"/>
      <c r="AO275" s="149"/>
      <c r="AP275" s="149"/>
      <c r="AR275" s="149"/>
      <c r="AS275" s="149"/>
      <c r="AT275" s="149"/>
      <c r="AU275" s="149"/>
      <c r="AV275" s="149"/>
      <c r="AW275" s="149"/>
      <c r="AX275" s="149"/>
      <c r="AY275" s="149"/>
      <c r="AZ275" s="149"/>
      <c r="BA275" s="149"/>
      <c r="BB275" s="149"/>
      <c r="BC275" s="149"/>
      <c r="BD275" s="149"/>
      <c r="BE275" s="149"/>
      <c r="BF275" s="149"/>
      <c r="BG275" s="149"/>
      <c r="BH275" s="149"/>
      <c r="BI275" s="149"/>
      <c r="BJ275" s="149"/>
      <c r="BK275" s="149"/>
      <c r="BL275" s="149"/>
      <c r="BM275" s="149"/>
      <c r="BN275" s="149"/>
      <c r="BO275" s="149"/>
      <c r="BP275" s="149"/>
      <c r="BQ275" s="149"/>
      <c r="BR275" s="149"/>
    </row>
    <row r="276" ht="32" customHeight="1" spans="1:70">
      <c r="A276" s="189">
        <v>274</v>
      </c>
      <c r="B276" s="207" t="s">
        <v>1429</v>
      </c>
      <c r="C276" s="207" t="s">
        <v>1521</v>
      </c>
      <c r="D276" s="207" t="s">
        <v>1564</v>
      </c>
      <c r="E276" s="209" t="s">
        <v>563</v>
      </c>
      <c r="F276" s="207" t="s">
        <v>80</v>
      </c>
      <c r="G276" s="207" t="s">
        <v>1156</v>
      </c>
      <c r="H276" s="207"/>
      <c r="I276" s="207"/>
      <c r="J276" s="207" t="s">
        <v>1565</v>
      </c>
      <c r="K276" s="207"/>
      <c r="L276" s="207"/>
      <c r="M276" s="207" t="s">
        <v>1566</v>
      </c>
      <c r="N276" s="207"/>
      <c r="O276" s="207"/>
      <c r="P276" s="207"/>
      <c r="Q276" s="207"/>
      <c r="R276" s="207"/>
      <c r="S276" s="207"/>
      <c r="T276" s="207"/>
      <c r="U276" s="207"/>
      <c r="V276" s="207"/>
      <c r="W276" s="207"/>
      <c r="X276" s="207"/>
      <c r="Y276" s="207"/>
      <c r="Z276" s="207"/>
      <c r="AA276" s="207"/>
      <c r="AB276" s="207"/>
      <c r="AC276" s="207"/>
      <c r="AD276" s="209"/>
      <c r="AE276" s="225"/>
      <c r="AF276" s="207"/>
      <c r="AG276" s="207"/>
      <c r="AH276" s="207"/>
      <c r="AI276" s="207"/>
      <c r="AJ276" s="207"/>
      <c r="AK276" s="207"/>
      <c r="AL276" s="207"/>
      <c r="AM276" s="207"/>
      <c r="AN276" s="207"/>
      <c r="AO276" s="207"/>
      <c r="AP276" s="207"/>
      <c r="AR276" s="207"/>
      <c r="AS276" s="207"/>
      <c r="AT276" s="207"/>
      <c r="AU276" s="207"/>
      <c r="AV276" s="207"/>
      <c r="AW276" s="207"/>
      <c r="AX276" s="207"/>
      <c r="AY276" s="207"/>
      <c r="AZ276" s="207"/>
      <c r="BA276" s="207"/>
      <c r="BB276" s="207"/>
      <c r="BC276" s="207"/>
      <c r="BD276" s="207"/>
      <c r="BE276" s="207"/>
      <c r="BF276" s="207"/>
      <c r="BG276" s="207"/>
      <c r="BH276" s="207"/>
      <c r="BI276" s="207"/>
      <c r="BJ276" s="207"/>
      <c r="BK276" s="207"/>
      <c r="BL276" s="207"/>
      <c r="BM276" s="207"/>
      <c r="BN276" s="207"/>
      <c r="BO276" s="207"/>
      <c r="BP276" s="207"/>
      <c r="BQ276" s="207"/>
      <c r="BR276" s="207"/>
    </row>
    <row r="277" ht="32" customHeight="1" spans="1:70">
      <c r="A277" s="189">
        <v>275</v>
      </c>
      <c r="B277" s="207" t="s">
        <v>1567</v>
      </c>
      <c r="C277" s="207" t="s">
        <v>1521</v>
      </c>
      <c r="D277" s="207" t="s">
        <v>1568</v>
      </c>
      <c r="E277" s="209" t="s">
        <v>323</v>
      </c>
      <c r="F277" s="207" t="s">
        <v>80</v>
      </c>
      <c r="G277" s="207" t="s">
        <v>1156</v>
      </c>
      <c r="H277" s="207"/>
      <c r="I277" s="207"/>
      <c r="J277" s="207" t="s">
        <v>1569</v>
      </c>
      <c r="K277" s="207"/>
      <c r="L277" s="207"/>
      <c r="M277" s="207" t="s">
        <v>1570</v>
      </c>
      <c r="N277" s="207"/>
      <c r="O277" s="207"/>
      <c r="P277" s="207"/>
      <c r="Q277" s="207" t="s">
        <v>1571</v>
      </c>
      <c r="R277" s="207"/>
      <c r="S277" s="207"/>
      <c r="T277" s="207"/>
      <c r="U277" s="207"/>
      <c r="V277" s="207"/>
      <c r="W277" s="207"/>
      <c r="X277" s="207"/>
      <c r="Y277" s="207"/>
      <c r="Z277" s="207"/>
      <c r="AA277" s="207"/>
      <c r="AB277" s="207"/>
      <c r="AC277" s="207"/>
      <c r="AD277" s="209"/>
      <c r="AE277" s="225"/>
      <c r="AF277" s="207"/>
      <c r="AG277" s="207"/>
      <c r="AH277" s="207"/>
      <c r="AI277" s="207"/>
      <c r="AJ277" s="207"/>
      <c r="AK277" s="207"/>
      <c r="AL277" s="207"/>
      <c r="AM277" s="207"/>
      <c r="AN277" s="207"/>
      <c r="AO277" s="207"/>
      <c r="AP277" s="207"/>
      <c r="AR277" s="207"/>
      <c r="AS277" s="207"/>
      <c r="AT277" s="207"/>
      <c r="AU277" s="207"/>
      <c r="AV277" s="207"/>
      <c r="AW277" s="207"/>
      <c r="AX277" s="207"/>
      <c r="AY277" s="207"/>
      <c r="AZ277" s="207"/>
      <c r="BA277" s="207"/>
      <c r="BB277" s="207"/>
      <c r="BC277" s="207"/>
      <c r="BD277" s="207"/>
      <c r="BE277" s="207"/>
      <c r="BF277" s="207"/>
      <c r="BG277" s="207"/>
      <c r="BH277" s="207"/>
      <c r="BI277" s="207"/>
      <c r="BJ277" s="207"/>
      <c r="BK277" s="207"/>
      <c r="BL277" s="207"/>
      <c r="BM277" s="207"/>
      <c r="BN277" s="207"/>
      <c r="BO277" s="207"/>
      <c r="BP277" s="207"/>
      <c r="BQ277" s="207"/>
      <c r="BR277" s="207"/>
    </row>
    <row r="278" ht="32" customHeight="1" spans="1:70">
      <c r="A278" s="189">
        <v>276</v>
      </c>
      <c r="B278" s="207" t="s">
        <v>1572</v>
      </c>
      <c r="C278" s="207" t="s">
        <v>1521</v>
      </c>
      <c r="D278" s="207" t="s">
        <v>1573</v>
      </c>
      <c r="E278" s="209" t="s">
        <v>198</v>
      </c>
      <c r="F278" s="207" t="s">
        <v>80</v>
      </c>
      <c r="G278" s="207" t="s">
        <v>1156</v>
      </c>
      <c r="H278" s="207"/>
      <c r="I278" s="207"/>
      <c r="J278" s="207" t="s">
        <v>1574</v>
      </c>
      <c r="K278" s="207"/>
      <c r="L278" s="207"/>
      <c r="M278" s="207" t="s">
        <v>1575</v>
      </c>
      <c r="N278" s="207"/>
      <c r="O278" s="207"/>
      <c r="P278" s="207"/>
      <c r="Q278" s="207"/>
      <c r="R278" s="207"/>
      <c r="S278" s="207"/>
      <c r="T278" s="207"/>
      <c r="U278" s="207"/>
      <c r="V278" s="207"/>
      <c r="W278" s="207"/>
      <c r="X278" s="207"/>
      <c r="Y278" s="207"/>
      <c r="Z278" s="207"/>
      <c r="AA278" s="207"/>
      <c r="AB278" s="207"/>
      <c r="AC278" s="207"/>
      <c r="AD278" s="209"/>
      <c r="AE278" s="225"/>
      <c r="AF278" s="207"/>
      <c r="AG278" s="207"/>
      <c r="AH278" s="207"/>
      <c r="AI278" s="207"/>
      <c r="AJ278" s="207"/>
      <c r="AK278" s="207"/>
      <c r="AL278" s="207"/>
      <c r="AM278" s="207"/>
      <c r="AN278" s="207"/>
      <c r="AO278" s="207"/>
      <c r="AP278" s="207"/>
      <c r="AR278" s="207"/>
      <c r="AS278" s="207"/>
      <c r="AT278" s="207"/>
      <c r="AU278" s="207"/>
      <c r="AV278" s="207"/>
      <c r="AW278" s="207"/>
      <c r="AX278" s="207"/>
      <c r="AY278" s="207"/>
      <c r="AZ278" s="207"/>
      <c r="BA278" s="207"/>
      <c r="BB278" s="207"/>
      <c r="BC278" s="207"/>
      <c r="BD278" s="207"/>
      <c r="BE278" s="207"/>
      <c r="BF278" s="207"/>
      <c r="BG278" s="207"/>
      <c r="BH278" s="207"/>
      <c r="BI278" s="207"/>
      <c r="BJ278" s="207"/>
      <c r="BK278" s="207"/>
      <c r="BL278" s="207"/>
      <c r="BM278" s="207"/>
      <c r="BN278" s="207"/>
      <c r="BO278" s="207"/>
      <c r="BP278" s="207"/>
      <c r="BQ278" s="207"/>
      <c r="BR278" s="207"/>
    </row>
    <row r="279" ht="32" customHeight="1" spans="1:70">
      <c r="A279" s="189">
        <v>277</v>
      </c>
      <c r="B279" s="207" t="s">
        <v>1576</v>
      </c>
      <c r="C279" s="207" t="s">
        <v>1521</v>
      </c>
      <c r="D279" s="207" t="s">
        <v>1577</v>
      </c>
      <c r="E279" s="209" t="s">
        <v>323</v>
      </c>
      <c r="F279" s="207" t="s">
        <v>80</v>
      </c>
      <c r="G279" s="207" t="s">
        <v>1156</v>
      </c>
      <c r="H279" s="207"/>
      <c r="I279" s="207"/>
      <c r="J279" s="207" t="s">
        <v>1578</v>
      </c>
      <c r="K279" s="207"/>
      <c r="L279" s="207"/>
      <c r="M279" s="207" t="s">
        <v>1524</v>
      </c>
      <c r="N279" s="207"/>
      <c r="O279" s="207"/>
      <c r="P279" s="207"/>
      <c r="Q279" s="207" t="s">
        <v>448</v>
      </c>
      <c r="R279" s="207"/>
      <c r="S279" s="207"/>
      <c r="T279" s="207"/>
      <c r="U279" s="207"/>
      <c r="V279" s="207"/>
      <c r="W279" s="207"/>
      <c r="X279" s="207"/>
      <c r="Y279" s="207"/>
      <c r="Z279" s="207"/>
      <c r="AA279" s="207"/>
      <c r="AB279" s="207"/>
      <c r="AC279" s="207"/>
      <c r="AD279" s="209"/>
      <c r="AE279" s="225"/>
      <c r="AF279" s="207"/>
      <c r="AG279" s="207"/>
      <c r="AH279" s="207"/>
      <c r="AI279" s="207"/>
      <c r="AJ279" s="207"/>
      <c r="AK279" s="207"/>
      <c r="AL279" s="207"/>
      <c r="AM279" s="207"/>
      <c r="AN279" s="207"/>
      <c r="AO279" s="207"/>
      <c r="AP279" s="207"/>
      <c r="AR279" s="207"/>
      <c r="AS279" s="207"/>
      <c r="AT279" s="207"/>
      <c r="AU279" s="207"/>
      <c r="AV279" s="207"/>
      <c r="AW279" s="207"/>
      <c r="AX279" s="207"/>
      <c r="AY279" s="207"/>
      <c r="AZ279" s="207"/>
      <c r="BA279" s="207"/>
      <c r="BB279" s="207"/>
      <c r="BC279" s="207"/>
      <c r="BD279" s="207"/>
      <c r="BE279" s="207"/>
      <c r="BF279" s="207"/>
      <c r="BG279" s="207"/>
      <c r="BH279" s="207"/>
      <c r="BI279" s="207"/>
      <c r="BJ279" s="207"/>
      <c r="BK279" s="207"/>
      <c r="BL279" s="207"/>
      <c r="BM279" s="207"/>
      <c r="BN279" s="207"/>
      <c r="BO279" s="207"/>
      <c r="BP279" s="207"/>
      <c r="BQ279" s="207"/>
      <c r="BR279" s="207"/>
    </row>
    <row r="280" ht="32" customHeight="1" spans="1:70">
      <c r="A280" s="189">
        <v>278</v>
      </c>
      <c r="B280" s="207" t="s">
        <v>1579</v>
      </c>
      <c r="C280" s="207" t="s">
        <v>1521</v>
      </c>
      <c r="D280" s="207" t="s">
        <v>1580</v>
      </c>
      <c r="E280" s="209" t="s">
        <v>1345</v>
      </c>
      <c r="F280" s="207" t="s">
        <v>80</v>
      </c>
      <c r="G280" s="207" t="s">
        <v>1156</v>
      </c>
      <c r="H280" s="207"/>
      <c r="I280" s="207"/>
      <c r="J280" s="207" t="s">
        <v>1581</v>
      </c>
      <c r="K280" s="207"/>
      <c r="L280" s="207"/>
      <c r="M280" s="207" t="s">
        <v>1582</v>
      </c>
      <c r="N280" s="207"/>
      <c r="O280" s="207"/>
      <c r="P280" s="207"/>
      <c r="Q280" s="207"/>
      <c r="R280" s="207" t="s">
        <v>146</v>
      </c>
      <c r="S280" s="207"/>
      <c r="T280" s="207"/>
      <c r="U280" s="207"/>
      <c r="V280" s="207"/>
      <c r="W280" s="207"/>
      <c r="X280" s="207"/>
      <c r="Y280" s="207"/>
      <c r="Z280" s="207"/>
      <c r="AA280" s="207"/>
      <c r="AB280" s="207"/>
      <c r="AC280" s="207"/>
      <c r="AD280" s="209"/>
      <c r="AE280" s="225"/>
      <c r="AF280" s="207"/>
      <c r="AG280" s="207"/>
      <c r="AH280" s="207"/>
      <c r="AI280" s="207"/>
      <c r="AJ280" s="207"/>
      <c r="AK280" s="207"/>
      <c r="AL280" s="207"/>
      <c r="AM280" s="207"/>
      <c r="AN280" s="207"/>
      <c r="AO280" s="207"/>
      <c r="AP280" s="207"/>
      <c r="AR280" s="207"/>
      <c r="AS280" s="207"/>
      <c r="AT280" s="207"/>
      <c r="AU280" s="207"/>
      <c r="AV280" s="207"/>
      <c r="AW280" s="207"/>
      <c r="AX280" s="207"/>
      <c r="AY280" s="207"/>
      <c r="AZ280" s="207"/>
      <c r="BA280" s="207"/>
      <c r="BB280" s="207"/>
      <c r="BC280" s="207"/>
      <c r="BD280" s="207"/>
      <c r="BE280" s="207"/>
      <c r="BF280" s="207"/>
      <c r="BG280" s="207"/>
      <c r="BH280" s="207"/>
      <c r="BI280" s="207"/>
      <c r="BJ280" s="207"/>
      <c r="BK280" s="207"/>
      <c r="BL280" s="207"/>
      <c r="BM280" s="207"/>
      <c r="BN280" s="207"/>
      <c r="BO280" s="207"/>
      <c r="BP280" s="207"/>
      <c r="BQ280" s="207"/>
      <c r="BR280" s="207"/>
    </row>
    <row r="281" ht="32" customHeight="1" spans="1:70">
      <c r="A281" s="189">
        <v>279</v>
      </c>
      <c r="B281" s="207" t="s">
        <v>1583</v>
      </c>
      <c r="C281" s="207" t="s">
        <v>1521</v>
      </c>
      <c r="D281" s="207" t="s">
        <v>1584</v>
      </c>
      <c r="E281" s="209" t="s">
        <v>323</v>
      </c>
      <c r="F281" s="207" t="s">
        <v>80</v>
      </c>
      <c r="G281" s="207" t="s">
        <v>1156</v>
      </c>
      <c r="H281" s="207"/>
      <c r="I281" s="207"/>
      <c r="J281" s="207" t="s">
        <v>1585</v>
      </c>
      <c r="K281" s="207"/>
      <c r="L281" s="207"/>
      <c r="M281" s="207" t="s">
        <v>1586</v>
      </c>
      <c r="N281" s="207"/>
      <c r="O281" s="207"/>
      <c r="P281" s="207"/>
      <c r="Q281" s="207" t="s">
        <v>576</v>
      </c>
      <c r="R281" s="207"/>
      <c r="S281" s="207"/>
      <c r="T281" s="207"/>
      <c r="U281" s="207"/>
      <c r="V281" s="207"/>
      <c r="W281" s="207"/>
      <c r="X281" s="207"/>
      <c r="Y281" s="207"/>
      <c r="Z281" s="207"/>
      <c r="AA281" s="207"/>
      <c r="AB281" s="207"/>
      <c r="AC281" s="207"/>
      <c r="AD281" s="207"/>
      <c r="AE281" s="225"/>
      <c r="AF281" s="207"/>
      <c r="AG281" s="207"/>
      <c r="AH281" s="207"/>
      <c r="AI281" s="207"/>
      <c r="AJ281" s="207"/>
      <c r="AK281" s="207"/>
      <c r="AL281" s="207"/>
      <c r="AM281" s="207"/>
      <c r="AN281" s="207"/>
      <c r="AO281" s="207"/>
      <c r="AP281" s="207"/>
      <c r="AR281" s="207"/>
      <c r="AS281" s="207"/>
      <c r="AT281" s="207"/>
      <c r="AU281" s="207"/>
      <c r="AV281" s="207"/>
      <c r="AW281" s="207"/>
      <c r="AX281" s="207"/>
      <c r="AY281" s="207"/>
      <c r="AZ281" s="207"/>
      <c r="BA281" s="207"/>
      <c r="BB281" s="207"/>
      <c r="BC281" s="207"/>
      <c r="BD281" s="207"/>
      <c r="BE281" s="207"/>
      <c r="BF281" s="207"/>
      <c r="BG281" s="207"/>
      <c r="BH281" s="207"/>
      <c r="BI281" s="207"/>
      <c r="BJ281" s="207"/>
      <c r="BK281" s="207"/>
      <c r="BL281" s="207"/>
      <c r="BM281" s="207"/>
      <c r="BN281" s="207"/>
      <c r="BO281" s="207"/>
      <c r="BP281" s="207"/>
      <c r="BQ281" s="207"/>
      <c r="BR281" s="207"/>
    </row>
    <row r="282" ht="32" customHeight="1" spans="1:70">
      <c r="A282" s="189">
        <v>280</v>
      </c>
      <c r="B282" s="207" t="s">
        <v>1587</v>
      </c>
      <c r="C282" s="207" t="s">
        <v>1521</v>
      </c>
      <c r="D282" s="207" t="s">
        <v>1588</v>
      </c>
      <c r="E282" s="209" t="s">
        <v>205</v>
      </c>
      <c r="F282" s="207" t="s">
        <v>80</v>
      </c>
      <c r="G282" s="207" t="s">
        <v>1156</v>
      </c>
      <c r="H282" s="207"/>
      <c r="I282" s="207"/>
      <c r="J282" s="207" t="s">
        <v>1589</v>
      </c>
      <c r="K282" s="207"/>
      <c r="L282" s="207"/>
      <c r="M282" s="207" t="s">
        <v>1590</v>
      </c>
      <c r="N282" s="207"/>
      <c r="O282" s="207"/>
      <c r="P282" s="207"/>
      <c r="Q282" s="207" t="s">
        <v>1591</v>
      </c>
      <c r="R282" s="207"/>
      <c r="S282" s="207"/>
      <c r="T282" s="207"/>
      <c r="U282" s="207"/>
      <c r="V282" s="207"/>
      <c r="W282" s="207"/>
      <c r="X282" s="207"/>
      <c r="Y282" s="207"/>
      <c r="Z282" s="207"/>
      <c r="AA282" s="207"/>
      <c r="AB282" s="207"/>
      <c r="AC282" s="207"/>
      <c r="AD282" s="207"/>
      <c r="AE282" s="225"/>
      <c r="AF282" s="207"/>
      <c r="AG282" s="207"/>
      <c r="AH282" s="207"/>
      <c r="AI282" s="207"/>
      <c r="AJ282" s="207"/>
      <c r="AK282" s="207"/>
      <c r="AL282" s="207"/>
      <c r="AM282" s="207"/>
      <c r="AN282" s="207"/>
      <c r="AO282" s="207"/>
      <c r="AP282" s="207"/>
      <c r="AR282" s="207"/>
      <c r="AS282" s="207"/>
      <c r="AT282" s="207"/>
      <c r="AU282" s="207"/>
      <c r="AV282" s="207"/>
      <c r="AW282" s="207"/>
      <c r="AX282" s="207"/>
      <c r="AY282" s="207"/>
      <c r="AZ282" s="207"/>
      <c r="BA282" s="207"/>
      <c r="BB282" s="207"/>
      <c r="BC282" s="207"/>
      <c r="BD282" s="207"/>
      <c r="BE282" s="207"/>
      <c r="BF282" s="207"/>
      <c r="BG282" s="207"/>
      <c r="BH282" s="207"/>
      <c r="BI282" s="207"/>
      <c r="BJ282" s="207"/>
      <c r="BK282" s="207"/>
      <c r="BL282" s="207"/>
      <c r="BM282" s="207"/>
      <c r="BN282" s="207"/>
      <c r="BO282" s="207"/>
      <c r="BP282" s="207"/>
      <c r="BQ282" s="207"/>
      <c r="BR282" s="207"/>
    </row>
    <row r="283" ht="32" customHeight="1" spans="1:70">
      <c r="A283" s="189">
        <v>281</v>
      </c>
      <c r="B283" s="207" t="s">
        <v>1592</v>
      </c>
      <c r="C283" s="207" t="s">
        <v>1521</v>
      </c>
      <c r="D283" s="207" t="s">
        <v>1593</v>
      </c>
      <c r="E283" s="209" t="s">
        <v>348</v>
      </c>
      <c r="F283" s="207" t="s">
        <v>80</v>
      </c>
      <c r="G283" s="207" t="s">
        <v>1156</v>
      </c>
      <c r="H283" s="207"/>
      <c r="I283" s="207"/>
      <c r="J283" s="207" t="s">
        <v>1594</v>
      </c>
      <c r="K283" s="207"/>
      <c r="L283" s="207"/>
      <c r="M283" s="207" t="s">
        <v>1524</v>
      </c>
      <c r="N283" s="207"/>
      <c r="O283" s="207"/>
      <c r="P283" s="207"/>
      <c r="Q283" s="207"/>
      <c r="R283" s="207"/>
      <c r="S283" s="207"/>
      <c r="T283" s="207"/>
      <c r="U283" s="207"/>
      <c r="V283" s="207"/>
      <c r="W283" s="207"/>
      <c r="X283" s="207"/>
      <c r="Y283" s="207"/>
      <c r="Z283" s="207"/>
      <c r="AA283" s="207"/>
      <c r="AB283" s="207"/>
      <c r="AC283" s="207"/>
      <c r="AD283" s="207"/>
      <c r="AE283" s="225"/>
      <c r="AF283" s="207"/>
      <c r="AG283" s="207"/>
      <c r="AH283" s="207"/>
      <c r="AI283" s="207"/>
      <c r="AJ283" s="207"/>
      <c r="AK283" s="207"/>
      <c r="AL283" s="207"/>
      <c r="AM283" s="207"/>
      <c r="AN283" s="207"/>
      <c r="AO283" s="207"/>
      <c r="AP283" s="207"/>
      <c r="AR283" s="207"/>
      <c r="AS283" s="207"/>
      <c r="AT283" s="207"/>
      <c r="AU283" s="207"/>
      <c r="AV283" s="207"/>
      <c r="AW283" s="207"/>
      <c r="AX283" s="207"/>
      <c r="AY283" s="207"/>
      <c r="AZ283" s="207"/>
      <c r="BA283" s="207"/>
      <c r="BB283" s="207"/>
      <c r="BC283" s="207"/>
      <c r="BD283" s="207"/>
      <c r="BE283" s="207"/>
      <c r="BF283" s="207"/>
      <c r="BG283" s="207"/>
      <c r="BH283" s="207"/>
      <c r="BI283" s="207"/>
      <c r="BJ283" s="207"/>
      <c r="BK283" s="207"/>
      <c r="BL283" s="207"/>
      <c r="BM283" s="207"/>
      <c r="BN283" s="207"/>
      <c r="BO283" s="207"/>
      <c r="BP283" s="207"/>
      <c r="BQ283" s="207"/>
      <c r="BR283" s="207"/>
    </row>
    <row r="284" ht="32" customHeight="1" spans="1:70">
      <c r="A284" s="189">
        <v>282</v>
      </c>
      <c r="B284" s="207" t="s">
        <v>1595</v>
      </c>
      <c r="C284" s="207" t="s">
        <v>1521</v>
      </c>
      <c r="D284" s="207" t="s">
        <v>1596</v>
      </c>
      <c r="E284" s="209" t="s">
        <v>198</v>
      </c>
      <c r="F284" s="207" t="s">
        <v>80</v>
      </c>
      <c r="G284" s="207" t="s">
        <v>1156</v>
      </c>
      <c r="H284" s="207"/>
      <c r="I284" s="207"/>
      <c r="J284" s="207" t="s">
        <v>1597</v>
      </c>
      <c r="K284" s="207"/>
      <c r="L284" s="207"/>
      <c r="M284" s="207" t="s">
        <v>1598</v>
      </c>
      <c r="N284" s="207"/>
      <c r="O284" s="207"/>
      <c r="P284" s="207"/>
      <c r="Q284" s="207" t="s">
        <v>224</v>
      </c>
      <c r="R284" s="207"/>
      <c r="S284" s="207"/>
      <c r="T284" s="207"/>
      <c r="U284" s="207"/>
      <c r="V284" s="207"/>
      <c r="W284" s="207"/>
      <c r="X284" s="207"/>
      <c r="Y284" s="207"/>
      <c r="Z284" s="207"/>
      <c r="AA284" s="207"/>
      <c r="AB284" s="207"/>
      <c r="AC284" s="207"/>
      <c r="AD284" s="207"/>
      <c r="AE284" s="225"/>
      <c r="AF284" s="207"/>
      <c r="AG284" s="207"/>
      <c r="AH284" s="207"/>
      <c r="AI284" s="207"/>
      <c r="AJ284" s="207"/>
      <c r="AK284" s="207"/>
      <c r="AL284" s="207"/>
      <c r="AM284" s="207"/>
      <c r="AN284" s="207"/>
      <c r="AO284" s="207"/>
      <c r="AP284" s="207"/>
      <c r="AR284" s="207"/>
      <c r="AS284" s="207"/>
      <c r="AT284" s="207"/>
      <c r="AU284" s="207"/>
      <c r="AV284" s="207"/>
      <c r="AW284" s="207"/>
      <c r="AX284" s="207"/>
      <c r="AY284" s="207"/>
      <c r="AZ284" s="207"/>
      <c r="BA284" s="207"/>
      <c r="BB284" s="207"/>
      <c r="BC284" s="207"/>
      <c r="BD284" s="207"/>
      <c r="BE284" s="207"/>
      <c r="BF284" s="207"/>
      <c r="BG284" s="207"/>
      <c r="BH284" s="207"/>
      <c r="BI284" s="207"/>
      <c r="BJ284" s="207"/>
      <c r="BK284" s="207"/>
      <c r="BL284" s="207"/>
      <c r="BM284" s="207"/>
      <c r="BN284" s="207"/>
      <c r="BO284" s="207"/>
      <c r="BP284" s="207"/>
      <c r="BQ284" s="207"/>
      <c r="BR284" s="207"/>
    </row>
    <row r="285" ht="32" customHeight="1" spans="1:70">
      <c r="A285" s="204">
        <v>283</v>
      </c>
      <c r="B285" s="205" t="s">
        <v>1599</v>
      </c>
      <c r="C285" s="205" t="s">
        <v>1521</v>
      </c>
      <c r="D285" s="205" t="s">
        <v>1600</v>
      </c>
      <c r="E285" s="210" t="s">
        <v>219</v>
      </c>
      <c r="F285" s="205" t="s">
        <v>80</v>
      </c>
      <c r="G285" s="205" t="s">
        <v>1156</v>
      </c>
      <c r="H285" s="205"/>
      <c r="I285" s="205"/>
      <c r="J285" s="205" t="s">
        <v>1601</v>
      </c>
      <c r="K285" s="205"/>
      <c r="L285" s="205"/>
      <c r="M285" s="205"/>
      <c r="N285" s="205"/>
      <c r="O285" s="205"/>
      <c r="P285" s="205"/>
      <c r="Q285" s="205"/>
      <c r="R285" s="205"/>
      <c r="S285" s="205"/>
      <c r="T285" s="205"/>
      <c r="U285" s="205"/>
      <c r="V285" s="205"/>
      <c r="W285" s="205"/>
      <c r="X285" s="205"/>
      <c r="Y285" s="205"/>
      <c r="Z285" s="205"/>
      <c r="AA285" s="205"/>
      <c r="AB285" s="205"/>
      <c r="AC285" s="205"/>
      <c r="AD285" s="205"/>
      <c r="AE285" s="161"/>
      <c r="AF285" s="205"/>
      <c r="AG285" s="205"/>
      <c r="AH285" s="205"/>
      <c r="AI285" s="205"/>
      <c r="AJ285" s="205"/>
      <c r="AK285" s="205"/>
      <c r="AL285" s="205"/>
      <c r="AM285" s="205"/>
      <c r="AN285" s="205"/>
      <c r="AO285" s="205"/>
      <c r="AP285" s="205"/>
      <c r="AR285" s="205"/>
      <c r="AS285" s="205"/>
      <c r="AT285" s="205"/>
      <c r="AU285" s="205"/>
      <c r="AV285" s="205"/>
      <c r="AW285" s="205"/>
      <c r="AX285" s="205"/>
      <c r="AY285" s="205"/>
      <c r="AZ285" s="205"/>
      <c r="BA285" s="205"/>
      <c r="BB285" s="205"/>
      <c r="BC285" s="205"/>
      <c r="BD285" s="205"/>
      <c r="BE285" s="205"/>
      <c r="BF285" s="205"/>
      <c r="BG285" s="205"/>
      <c r="BH285" s="205"/>
      <c r="BI285" s="205"/>
      <c r="BJ285" s="205"/>
      <c r="BK285" s="205"/>
      <c r="BL285" s="205"/>
      <c r="BM285" s="205"/>
      <c r="BN285" s="205"/>
      <c r="BO285" s="205"/>
      <c r="BP285" s="205"/>
      <c r="BQ285" s="205"/>
      <c r="BR285" s="205"/>
    </row>
    <row r="286" ht="32" customHeight="1" spans="1:70">
      <c r="A286" s="189">
        <v>284</v>
      </c>
      <c r="B286" s="207" t="s">
        <v>1602</v>
      </c>
      <c r="C286" s="207" t="s">
        <v>1521</v>
      </c>
      <c r="D286" s="207" t="s">
        <v>1603</v>
      </c>
      <c r="E286" s="207"/>
      <c r="F286" s="207" t="s">
        <v>80</v>
      </c>
      <c r="G286" s="207" t="s">
        <v>1604</v>
      </c>
      <c r="H286" s="189">
        <v>20</v>
      </c>
      <c r="I286" s="207" t="s">
        <v>143</v>
      </c>
      <c r="J286" s="207" t="s">
        <v>1605</v>
      </c>
      <c r="K286" s="207"/>
      <c r="L286" s="207"/>
      <c r="M286" s="207" t="s">
        <v>1606</v>
      </c>
      <c r="N286" s="207"/>
      <c r="O286" s="207"/>
      <c r="P286" s="207"/>
      <c r="Q286" s="207"/>
      <c r="R286" s="207" t="s">
        <v>116</v>
      </c>
      <c r="S286" s="207"/>
      <c r="T286" s="207"/>
      <c r="U286" s="207"/>
      <c r="V286" s="207"/>
      <c r="W286" s="207"/>
      <c r="X286" s="207"/>
      <c r="Y286" s="207"/>
      <c r="Z286" s="207"/>
      <c r="AA286" s="207"/>
      <c r="AB286" s="207"/>
      <c r="AC286" s="207"/>
      <c r="AD286" s="207"/>
      <c r="AE286" s="225"/>
      <c r="AF286" s="207"/>
      <c r="AG286" s="207"/>
      <c r="AH286" s="207"/>
      <c r="AI286" s="207"/>
      <c r="AJ286" s="207"/>
      <c r="AK286" s="207"/>
      <c r="AL286" s="207"/>
      <c r="AM286" s="207"/>
      <c r="AN286" s="207"/>
      <c r="AO286" s="207"/>
      <c r="AP286" s="207"/>
      <c r="AR286" s="207"/>
      <c r="AS286" s="207"/>
      <c r="AT286" s="207"/>
      <c r="AU286" s="207"/>
      <c r="AV286" s="207"/>
      <c r="AW286" s="207"/>
      <c r="AX286" s="207"/>
      <c r="AY286" s="207"/>
      <c r="AZ286" s="207"/>
      <c r="BA286" s="207"/>
      <c r="BB286" s="207"/>
      <c r="BC286" s="207"/>
      <c r="BD286" s="207"/>
      <c r="BE286" s="207"/>
      <c r="BF286" s="207"/>
      <c r="BG286" s="207"/>
      <c r="BH286" s="207"/>
      <c r="BI286" s="207"/>
      <c r="BJ286" s="207"/>
      <c r="BK286" s="207"/>
      <c r="BL286" s="207"/>
      <c r="BM286" s="207"/>
      <c r="BN286" s="207"/>
      <c r="BO286" s="207" t="s">
        <v>1607</v>
      </c>
      <c r="BP286" s="207"/>
      <c r="BQ286" s="207"/>
      <c r="BR286" s="207"/>
    </row>
    <row r="287" ht="32" customHeight="1" spans="1:70">
      <c r="A287" s="189">
        <v>285</v>
      </c>
      <c r="B287" s="207" t="s">
        <v>1608</v>
      </c>
      <c r="C287" s="207" t="s">
        <v>1521</v>
      </c>
      <c r="D287" s="207" t="s">
        <v>1609</v>
      </c>
      <c r="E287" s="209" t="s">
        <v>300</v>
      </c>
      <c r="F287" s="207" t="s">
        <v>80</v>
      </c>
      <c r="G287" s="207" t="s">
        <v>1610</v>
      </c>
      <c r="H287" s="207"/>
      <c r="I287" s="207"/>
      <c r="J287" s="207" t="s">
        <v>1611</v>
      </c>
      <c r="K287" s="207"/>
      <c r="L287" s="207"/>
      <c r="M287" s="207" t="s">
        <v>1612</v>
      </c>
      <c r="N287" s="207"/>
      <c r="O287" s="207"/>
      <c r="P287" s="207"/>
      <c r="Q287" s="207" t="s">
        <v>448</v>
      </c>
      <c r="R287" s="207" t="s">
        <v>596</v>
      </c>
      <c r="S287" s="207"/>
      <c r="T287" s="207"/>
      <c r="U287" s="207"/>
      <c r="V287" s="207"/>
      <c r="W287" s="207"/>
      <c r="X287" s="207"/>
      <c r="Y287" s="207"/>
      <c r="Z287" s="207"/>
      <c r="AA287" s="207"/>
      <c r="AB287" s="207"/>
      <c r="AC287" s="207"/>
      <c r="AD287" s="209"/>
      <c r="AE287" s="225"/>
      <c r="AF287" s="207"/>
      <c r="AG287" s="207"/>
      <c r="AH287" s="207"/>
      <c r="AI287" s="207"/>
      <c r="AJ287" s="207"/>
      <c r="AK287" s="207"/>
      <c r="AL287" s="207"/>
      <c r="AM287" s="207"/>
      <c r="AN287" s="207"/>
      <c r="AO287" s="207"/>
      <c r="AP287" s="207"/>
      <c r="AR287" s="207"/>
      <c r="AS287" s="207"/>
      <c r="AT287" s="207"/>
      <c r="AU287" s="207"/>
      <c r="AV287" s="207"/>
      <c r="AW287" s="207"/>
      <c r="AX287" s="207"/>
      <c r="AY287" s="207"/>
      <c r="AZ287" s="207"/>
      <c r="BA287" s="207"/>
      <c r="BB287" s="207"/>
      <c r="BC287" s="207"/>
      <c r="BD287" s="207"/>
      <c r="BE287" s="207"/>
      <c r="BF287" s="207"/>
      <c r="BG287" s="207"/>
      <c r="BH287" s="207"/>
      <c r="BI287" s="207"/>
      <c r="BJ287" s="207"/>
      <c r="BK287" s="207"/>
      <c r="BL287" s="207"/>
      <c r="BM287" s="207"/>
      <c r="BN287" s="207"/>
      <c r="BO287" s="207"/>
      <c r="BP287" s="207"/>
      <c r="BQ287" s="207"/>
      <c r="BR287" s="207"/>
    </row>
    <row r="288" ht="32" customHeight="1" spans="1:70">
      <c r="A288" s="204">
        <v>286</v>
      </c>
      <c r="B288" s="205" t="s">
        <v>1613</v>
      </c>
      <c r="C288" s="205" t="s">
        <v>1521</v>
      </c>
      <c r="D288" s="205" t="s">
        <v>1614</v>
      </c>
      <c r="E288" s="210" t="s">
        <v>319</v>
      </c>
      <c r="F288" s="205" t="s">
        <v>80</v>
      </c>
      <c r="G288" s="205" t="s">
        <v>1610</v>
      </c>
      <c r="H288" s="205"/>
      <c r="I288" s="205"/>
      <c r="J288" s="205" t="s">
        <v>1615</v>
      </c>
      <c r="K288" s="205"/>
      <c r="L288" s="205"/>
      <c r="M288" s="205" t="s">
        <v>1524</v>
      </c>
      <c r="N288" s="205"/>
      <c r="O288" s="205"/>
      <c r="P288" s="205"/>
      <c r="Q288" s="205"/>
      <c r="R288" s="205"/>
      <c r="S288" s="205"/>
      <c r="T288" s="205"/>
      <c r="U288" s="205"/>
      <c r="V288" s="205"/>
      <c r="W288" s="205"/>
      <c r="X288" s="205"/>
      <c r="Y288" s="205"/>
      <c r="Z288" s="205"/>
      <c r="AA288" s="205"/>
      <c r="AB288" s="205"/>
      <c r="AC288" s="205"/>
      <c r="AD288" s="210"/>
      <c r="AE288" s="161"/>
      <c r="AF288" s="205"/>
      <c r="AG288" s="205"/>
      <c r="AH288" s="205"/>
      <c r="AI288" s="205"/>
      <c r="AJ288" s="205"/>
      <c r="AK288" s="205"/>
      <c r="AL288" s="205"/>
      <c r="AM288" s="205"/>
      <c r="AN288" s="205"/>
      <c r="AO288" s="205"/>
      <c r="AP288" s="205"/>
      <c r="AR288" s="205"/>
      <c r="AS288" s="205"/>
      <c r="AT288" s="205"/>
      <c r="AU288" s="205"/>
      <c r="AV288" s="205"/>
      <c r="AW288" s="205"/>
      <c r="AX288" s="205"/>
      <c r="AY288" s="205"/>
      <c r="AZ288" s="205"/>
      <c r="BA288" s="205"/>
      <c r="BB288" s="205"/>
      <c r="BC288" s="205"/>
      <c r="BD288" s="205"/>
      <c r="BE288" s="205"/>
      <c r="BF288" s="205"/>
      <c r="BG288" s="205"/>
      <c r="BH288" s="205"/>
      <c r="BI288" s="205"/>
      <c r="BJ288" s="205"/>
      <c r="BK288" s="205"/>
      <c r="BL288" s="205"/>
      <c r="BM288" s="205"/>
      <c r="BN288" s="205"/>
      <c r="BO288" s="205"/>
      <c r="BP288" s="205"/>
      <c r="BQ288" s="205"/>
      <c r="BR288" s="205"/>
    </row>
    <row r="289" ht="32" customHeight="1" spans="1:70">
      <c r="A289" s="208">
        <v>287</v>
      </c>
      <c r="B289" s="149" t="s">
        <v>1616</v>
      </c>
      <c r="C289" s="149" t="s">
        <v>1521</v>
      </c>
      <c r="D289" s="149" t="s">
        <v>1617</v>
      </c>
      <c r="E289" s="212" t="s">
        <v>279</v>
      </c>
      <c r="F289" s="149" t="s">
        <v>80</v>
      </c>
      <c r="G289" s="149" t="s">
        <v>1610</v>
      </c>
      <c r="H289" s="149"/>
      <c r="I289" s="149"/>
      <c r="J289" s="149" t="s">
        <v>1618</v>
      </c>
      <c r="K289" s="149"/>
      <c r="L289" s="149"/>
      <c r="M289" s="149" t="s">
        <v>1619</v>
      </c>
      <c r="N289" s="149"/>
      <c r="O289" s="149"/>
      <c r="P289" s="149"/>
      <c r="Q289" s="149"/>
      <c r="R289" s="149"/>
      <c r="S289" s="149"/>
      <c r="T289" s="149"/>
      <c r="U289" s="149"/>
      <c r="V289" s="149"/>
      <c r="W289" s="149"/>
      <c r="X289" s="149"/>
      <c r="Y289" s="149"/>
      <c r="Z289" s="149"/>
      <c r="AA289" s="149"/>
      <c r="AB289" s="149"/>
      <c r="AC289" s="149"/>
      <c r="AD289" s="212"/>
      <c r="AE289" s="161"/>
      <c r="AF289" s="149"/>
      <c r="AG289" s="149"/>
      <c r="AH289" s="149"/>
      <c r="AI289" s="149"/>
      <c r="AJ289" s="149"/>
      <c r="AK289" s="149"/>
      <c r="AL289" s="149"/>
      <c r="AM289" s="149"/>
      <c r="AN289" s="149"/>
      <c r="AO289" s="149"/>
      <c r="AP289" s="149"/>
      <c r="AR289" s="149"/>
      <c r="AS289" s="149"/>
      <c r="AT289" s="149"/>
      <c r="AU289" s="149"/>
      <c r="AV289" s="149"/>
      <c r="AW289" s="149"/>
      <c r="AX289" s="149"/>
      <c r="AY289" s="149"/>
      <c r="AZ289" s="149"/>
      <c r="BA289" s="149"/>
      <c r="BB289" s="149"/>
      <c r="BC289" s="149"/>
      <c r="BD289" s="149"/>
      <c r="BE289" s="149"/>
      <c r="BF289" s="149"/>
      <c r="BG289" s="149"/>
      <c r="BH289" s="149"/>
      <c r="BI289" s="149"/>
      <c r="BJ289" s="149"/>
      <c r="BK289" s="149"/>
      <c r="BL289" s="149"/>
      <c r="BM289" s="149"/>
      <c r="BN289" s="149"/>
      <c r="BO289" s="149"/>
      <c r="BP289" s="149"/>
      <c r="BQ289" s="149"/>
      <c r="BR289" s="149"/>
    </row>
    <row r="290" ht="32" customHeight="1" spans="1:70">
      <c r="A290" s="208">
        <v>288</v>
      </c>
      <c r="B290" s="149" t="s">
        <v>1620</v>
      </c>
      <c r="C290" s="149" t="s">
        <v>1521</v>
      </c>
      <c r="D290" s="149" t="s">
        <v>1621</v>
      </c>
      <c r="E290" s="212" t="s">
        <v>344</v>
      </c>
      <c r="F290" s="149" t="s">
        <v>80</v>
      </c>
      <c r="G290" s="149" t="s">
        <v>1610</v>
      </c>
      <c r="H290" s="149"/>
      <c r="I290" s="149"/>
      <c r="J290" s="149" t="s">
        <v>1622</v>
      </c>
      <c r="K290" s="149"/>
      <c r="L290" s="149"/>
      <c r="M290" s="149" t="s">
        <v>1623</v>
      </c>
      <c r="N290" s="149"/>
      <c r="O290" s="149"/>
      <c r="P290" s="149"/>
      <c r="Q290" s="149"/>
      <c r="R290" s="149"/>
      <c r="S290" s="149"/>
      <c r="T290" s="149"/>
      <c r="U290" s="149"/>
      <c r="V290" s="149"/>
      <c r="W290" s="149"/>
      <c r="X290" s="149"/>
      <c r="Y290" s="149"/>
      <c r="Z290" s="149"/>
      <c r="AA290" s="149"/>
      <c r="AB290" s="149"/>
      <c r="AC290" s="149"/>
      <c r="AD290" s="212"/>
      <c r="AE290" s="161"/>
      <c r="AF290" s="149"/>
      <c r="AG290" s="149"/>
      <c r="AH290" s="149"/>
      <c r="AI290" s="149"/>
      <c r="AJ290" s="149"/>
      <c r="AK290" s="149"/>
      <c r="AL290" s="149"/>
      <c r="AM290" s="149"/>
      <c r="AN290" s="149"/>
      <c r="AO290" s="149"/>
      <c r="AP290" s="149"/>
      <c r="AR290" s="149"/>
      <c r="AS290" s="149"/>
      <c r="AT290" s="149"/>
      <c r="AU290" s="149"/>
      <c r="AV290" s="149"/>
      <c r="AW290" s="149"/>
      <c r="AX290" s="149"/>
      <c r="AY290" s="149"/>
      <c r="AZ290" s="149"/>
      <c r="BA290" s="149"/>
      <c r="BB290" s="149"/>
      <c r="BC290" s="149"/>
      <c r="BD290" s="149"/>
      <c r="BE290" s="149"/>
      <c r="BF290" s="149"/>
      <c r="BG290" s="149"/>
      <c r="BH290" s="149"/>
      <c r="BI290" s="149"/>
      <c r="BJ290" s="149"/>
      <c r="BK290" s="149"/>
      <c r="BL290" s="149"/>
      <c r="BM290" s="149"/>
      <c r="BN290" s="149"/>
      <c r="BO290" s="149"/>
      <c r="BP290" s="149"/>
      <c r="BQ290" s="149"/>
      <c r="BR290" s="149"/>
    </row>
    <row r="291" ht="32" customHeight="1" spans="1:70">
      <c r="A291" s="208">
        <v>289</v>
      </c>
      <c r="B291" s="149" t="s">
        <v>1624</v>
      </c>
      <c r="C291" s="149" t="s">
        <v>1521</v>
      </c>
      <c r="D291" s="149" t="s">
        <v>1625</v>
      </c>
      <c r="E291" s="212"/>
      <c r="F291" s="149"/>
      <c r="G291" s="149" t="s">
        <v>1626</v>
      </c>
      <c r="H291" s="149"/>
      <c r="I291" s="149"/>
      <c r="J291" s="149" t="s">
        <v>1627</v>
      </c>
      <c r="K291" s="149" t="s">
        <v>1628</v>
      </c>
      <c r="L291" s="149"/>
      <c r="M291" s="149"/>
      <c r="N291" s="149"/>
      <c r="O291" s="149"/>
      <c r="P291" s="149"/>
      <c r="Q291" s="149"/>
      <c r="R291" s="149"/>
      <c r="S291" s="149"/>
      <c r="T291" s="149"/>
      <c r="U291" s="149"/>
      <c r="V291" s="149"/>
      <c r="W291" s="149"/>
      <c r="X291" s="149"/>
      <c r="Y291" s="149"/>
      <c r="Z291" s="149"/>
      <c r="AA291" s="149"/>
      <c r="AB291" s="149"/>
      <c r="AC291" s="149"/>
      <c r="AD291" s="149"/>
      <c r="AE291" s="161"/>
      <c r="AF291" s="149"/>
      <c r="AG291" s="149"/>
      <c r="AH291" s="149"/>
      <c r="AI291" s="149"/>
      <c r="AJ291" s="149"/>
      <c r="AK291" s="149"/>
      <c r="AL291" s="149"/>
      <c r="AM291" s="149"/>
      <c r="AN291" s="149"/>
      <c r="AO291" s="149"/>
      <c r="AP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ht="32" customHeight="1" spans="1:70">
      <c r="A292" s="208">
        <v>290</v>
      </c>
      <c r="B292" s="149" t="s">
        <v>1629</v>
      </c>
      <c r="C292" s="149" t="s">
        <v>1521</v>
      </c>
      <c r="D292" s="149" t="s">
        <v>1630</v>
      </c>
      <c r="E292" s="149"/>
      <c r="F292" s="149"/>
      <c r="G292" s="149" t="s">
        <v>1631</v>
      </c>
      <c r="H292" s="149"/>
      <c r="I292" s="149"/>
      <c r="J292" s="149" t="s">
        <v>1632</v>
      </c>
      <c r="K292" s="149" t="s">
        <v>1633</v>
      </c>
      <c r="L292" s="149"/>
      <c r="M292" s="149"/>
      <c r="N292" s="149"/>
      <c r="O292" s="149"/>
      <c r="P292" s="149"/>
      <c r="Q292" s="149"/>
      <c r="R292" s="149"/>
      <c r="S292" s="149"/>
      <c r="T292" s="149"/>
      <c r="U292" s="149"/>
      <c r="V292" s="149"/>
      <c r="W292" s="149"/>
      <c r="X292" s="149"/>
      <c r="Y292" s="149"/>
      <c r="Z292" s="149"/>
      <c r="AA292" s="149"/>
      <c r="AB292" s="149"/>
      <c r="AC292" s="149"/>
      <c r="AD292" s="149"/>
      <c r="AE292" s="161"/>
      <c r="AF292" s="149"/>
      <c r="AG292" s="149"/>
      <c r="AH292" s="149"/>
      <c r="AI292" s="149"/>
      <c r="AJ292" s="149"/>
      <c r="AK292" s="149"/>
      <c r="AL292" s="149"/>
      <c r="AM292" s="149"/>
      <c r="AN292" s="149"/>
      <c r="AO292" s="149"/>
      <c r="AP292" s="149"/>
      <c r="AR292" s="149"/>
      <c r="AS292" s="149"/>
      <c r="AT292" s="149"/>
      <c r="AU292" s="149"/>
      <c r="AV292" s="149"/>
      <c r="AW292" s="149"/>
      <c r="AX292" s="149"/>
      <c r="AY292" s="149"/>
      <c r="AZ292" s="149"/>
      <c r="BA292" s="149"/>
      <c r="BB292" s="149"/>
      <c r="BC292" s="149"/>
      <c r="BD292" s="149"/>
      <c r="BE292" s="149"/>
      <c r="BF292" s="149"/>
      <c r="BG292" s="149"/>
      <c r="BH292" s="149"/>
      <c r="BI292" s="149"/>
      <c r="BJ292" s="149"/>
      <c r="BK292" s="149"/>
      <c r="BL292" s="149"/>
      <c r="BM292" s="149"/>
      <c r="BN292" s="149"/>
      <c r="BO292" s="149"/>
      <c r="BP292" s="149"/>
      <c r="BQ292" s="149"/>
      <c r="BR292" s="149"/>
    </row>
    <row r="293" ht="32" customHeight="1" spans="1:70">
      <c r="A293" s="189">
        <v>291</v>
      </c>
      <c r="B293" s="207" t="s">
        <v>1634</v>
      </c>
      <c r="C293" s="207" t="s">
        <v>1521</v>
      </c>
      <c r="D293" s="207" t="s">
        <v>1635</v>
      </c>
      <c r="E293" s="207"/>
      <c r="F293" s="207" t="s">
        <v>310</v>
      </c>
      <c r="G293" s="207" t="s">
        <v>1636</v>
      </c>
      <c r="H293" s="189">
        <v>1000</v>
      </c>
      <c r="I293" s="207" t="s">
        <v>1637</v>
      </c>
      <c r="J293" s="207" t="s">
        <v>1638</v>
      </c>
      <c r="K293" s="207"/>
      <c r="L293" s="207"/>
      <c r="M293" s="207" t="s">
        <v>1639</v>
      </c>
      <c r="N293" s="207"/>
      <c r="O293" s="207" t="s">
        <v>1640</v>
      </c>
      <c r="P293" s="207"/>
      <c r="Q293" s="207" t="s">
        <v>576</v>
      </c>
      <c r="R293" s="207"/>
      <c r="S293" s="207"/>
      <c r="T293" s="207"/>
      <c r="U293" s="207"/>
      <c r="V293" s="207"/>
      <c r="W293" s="207"/>
      <c r="X293" s="207"/>
      <c r="Y293" s="207"/>
      <c r="Z293" s="207" t="s">
        <v>85</v>
      </c>
      <c r="AA293" s="207" t="s">
        <v>85</v>
      </c>
      <c r="AB293" s="207"/>
      <c r="AC293" s="207"/>
      <c r="AD293" s="207">
        <v>15000</v>
      </c>
      <c r="AE293" s="225" t="s">
        <v>85</v>
      </c>
      <c r="AF293" s="207" t="s">
        <v>87</v>
      </c>
      <c r="AG293" s="207"/>
      <c r="AH293" s="207"/>
      <c r="AI293" s="207"/>
      <c r="AJ293" s="207"/>
      <c r="AK293" s="207"/>
      <c r="AL293" s="207" t="s">
        <v>1641</v>
      </c>
      <c r="AM293" s="207"/>
      <c r="AN293" s="207"/>
      <c r="AO293" s="207"/>
      <c r="AP293" s="207"/>
      <c r="AR293" s="207"/>
      <c r="AS293" s="207"/>
      <c r="AT293" s="207"/>
      <c r="AU293" s="207"/>
      <c r="AV293" s="207"/>
      <c r="AW293" s="207"/>
      <c r="AX293" s="207"/>
      <c r="AY293" s="207"/>
      <c r="AZ293" s="207"/>
      <c r="BA293" s="207"/>
      <c r="BB293" s="207"/>
      <c r="BC293" s="207"/>
      <c r="BD293" s="207"/>
      <c r="BE293" s="207"/>
      <c r="BF293" s="207"/>
      <c r="BG293" s="207"/>
      <c r="BH293" s="207"/>
      <c r="BI293" s="207"/>
      <c r="BJ293" s="207"/>
      <c r="BK293" s="207"/>
      <c r="BL293" s="207"/>
      <c r="BM293" s="207"/>
      <c r="BN293" s="207"/>
      <c r="BO293" s="207"/>
      <c r="BP293" s="207"/>
      <c r="BQ293" s="207"/>
      <c r="BR293" s="207"/>
    </row>
    <row r="294" ht="32" customHeight="1" spans="1:70">
      <c r="A294" s="204">
        <v>292</v>
      </c>
      <c r="B294" s="205" t="s">
        <v>1642</v>
      </c>
      <c r="C294" s="205" t="s">
        <v>1521</v>
      </c>
      <c r="D294" s="205" t="s">
        <v>1643</v>
      </c>
      <c r="E294" s="205"/>
      <c r="F294" s="205" t="s">
        <v>80</v>
      </c>
      <c r="G294" s="205" t="s">
        <v>1644</v>
      </c>
      <c r="H294" s="205"/>
      <c r="I294" s="205"/>
      <c r="J294" s="205" t="s">
        <v>1645</v>
      </c>
      <c r="K294" s="205">
        <v>13817609143</v>
      </c>
      <c r="L294" s="205"/>
      <c r="M294" s="205" t="s">
        <v>1646</v>
      </c>
      <c r="N294" s="205"/>
      <c r="O294" s="205"/>
      <c r="P294" s="205"/>
      <c r="Q294" s="205"/>
      <c r="R294" s="205"/>
      <c r="S294" s="205"/>
      <c r="T294" s="205"/>
      <c r="U294" s="205"/>
      <c r="V294" s="205"/>
      <c r="W294" s="205"/>
      <c r="X294" s="205"/>
      <c r="Y294" s="205"/>
      <c r="Z294" s="205"/>
      <c r="AA294" s="205"/>
      <c r="AB294" s="205"/>
      <c r="AD294" s="205"/>
      <c r="AE294" s="161"/>
      <c r="AF294" s="205"/>
      <c r="AG294" s="205"/>
      <c r="AH294" s="205"/>
      <c r="AI294" s="205"/>
      <c r="AJ294" s="205"/>
      <c r="AK294" s="205" t="s">
        <v>1647</v>
      </c>
      <c r="AL294" s="205"/>
      <c r="AM294" s="205"/>
      <c r="AN294" s="205"/>
      <c r="AO294" s="205"/>
      <c r="AP294" s="205"/>
      <c r="AR294" s="205"/>
      <c r="AS294" s="205"/>
      <c r="AT294" s="205"/>
      <c r="AU294" s="205"/>
      <c r="AV294" s="205"/>
      <c r="AW294" s="205"/>
      <c r="AX294" s="205"/>
      <c r="AY294" s="205"/>
      <c r="AZ294" s="205"/>
      <c r="BA294" s="205"/>
      <c r="BB294" s="205"/>
      <c r="BC294" s="205"/>
      <c r="BD294" s="205"/>
      <c r="BE294" s="205"/>
      <c r="BF294" s="205"/>
      <c r="BG294" s="205"/>
      <c r="BH294" s="205"/>
      <c r="BI294" s="205"/>
      <c r="BJ294" s="205"/>
      <c r="BK294" s="205"/>
      <c r="BL294" s="205"/>
      <c r="BM294" s="205"/>
      <c r="BN294" s="205"/>
      <c r="BO294" s="205" t="s">
        <v>394</v>
      </c>
      <c r="BP294" s="205"/>
      <c r="BQ294" s="205"/>
      <c r="BR294" s="205"/>
    </row>
    <row r="295" ht="32" customHeight="1" spans="1:70">
      <c r="A295" s="189">
        <v>293</v>
      </c>
      <c r="B295" s="207" t="s">
        <v>1648</v>
      </c>
      <c r="C295" s="207" t="s">
        <v>1521</v>
      </c>
      <c r="D295" s="207" t="s">
        <v>1649</v>
      </c>
      <c r="E295" s="207"/>
      <c r="F295" s="207" t="s">
        <v>310</v>
      </c>
      <c r="G295" s="207" t="s">
        <v>1650</v>
      </c>
      <c r="H295" s="207"/>
      <c r="I295" s="207"/>
      <c r="J295" s="207" t="s">
        <v>1651</v>
      </c>
      <c r="K295" s="207">
        <v>18797817278</v>
      </c>
      <c r="L295" s="207"/>
      <c r="M295" s="207" t="s">
        <v>1652</v>
      </c>
      <c r="N295" s="207"/>
      <c r="O295" s="207"/>
      <c r="P295" s="207"/>
      <c r="Q295" s="207"/>
      <c r="R295" s="207" t="s">
        <v>146</v>
      </c>
      <c r="S295" s="207"/>
      <c r="T295" s="207"/>
      <c r="U295" s="207"/>
      <c r="V295" s="207"/>
      <c r="W295" s="207"/>
      <c r="X295" s="207"/>
      <c r="Y295" s="207"/>
      <c r="Z295" s="207"/>
      <c r="AA295" s="207"/>
      <c r="AB295" s="207"/>
      <c r="AC295" s="207"/>
      <c r="AD295" s="207"/>
      <c r="AE295" s="225" t="s">
        <v>85</v>
      </c>
      <c r="AF295" s="207" t="s">
        <v>1184</v>
      </c>
      <c r="AG295" s="207"/>
      <c r="AH295" s="207"/>
      <c r="AI295" s="207"/>
      <c r="AJ295" s="225"/>
      <c r="AK295" s="207" t="s">
        <v>1653</v>
      </c>
      <c r="AL295" s="207"/>
      <c r="AM295" s="207"/>
      <c r="AN295" s="207"/>
      <c r="AO295" s="207"/>
      <c r="AP295" s="207"/>
      <c r="AR295" s="207"/>
      <c r="AS295" s="207"/>
      <c r="AT295" s="207"/>
      <c r="AU295" s="207"/>
      <c r="AV295" s="207"/>
      <c r="AW295" s="207"/>
      <c r="AX295" s="207"/>
      <c r="AY295" s="207"/>
      <c r="AZ295" s="207"/>
      <c r="BA295" s="207"/>
      <c r="BB295" s="207"/>
      <c r="BC295" s="207"/>
      <c r="BD295" s="207"/>
      <c r="BE295" s="207"/>
      <c r="BF295" s="207"/>
      <c r="BG295" s="207"/>
      <c r="BH295" s="207"/>
      <c r="BI295" s="207"/>
      <c r="BJ295" s="207"/>
      <c r="BK295" s="207"/>
      <c r="BL295" s="207"/>
      <c r="BM295" s="207"/>
      <c r="BN295" s="207"/>
      <c r="BO295" s="207"/>
      <c r="BP295" s="207"/>
      <c r="BQ295" s="207"/>
      <c r="BR295" s="207"/>
    </row>
    <row r="296" ht="32" customHeight="1" spans="1:70">
      <c r="A296" s="189">
        <v>294</v>
      </c>
      <c r="B296" s="207" t="s">
        <v>1654</v>
      </c>
      <c r="C296" s="207" t="s">
        <v>1521</v>
      </c>
      <c r="D296" s="207" t="s">
        <v>1655</v>
      </c>
      <c r="E296" s="207"/>
      <c r="F296" s="207"/>
      <c r="G296" s="207" t="s">
        <v>581</v>
      </c>
      <c r="H296" s="207">
        <v>57</v>
      </c>
      <c r="I296" s="207" t="s">
        <v>1656</v>
      </c>
      <c r="J296" s="207" t="s">
        <v>1657</v>
      </c>
      <c r="K296" s="207">
        <v>13328199698</v>
      </c>
      <c r="L296" s="207"/>
      <c r="M296" s="207"/>
      <c r="N296" s="207"/>
      <c r="O296" s="207"/>
      <c r="P296" s="207"/>
      <c r="Q296" s="207" t="s">
        <v>576</v>
      </c>
      <c r="R296" s="207" t="s">
        <v>116</v>
      </c>
      <c r="S296" s="207"/>
      <c r="T296" s="207"/>
      <c r="U296" s="207"/>
      <c r="V296" s="207"/>
      <c r="W296" s="207"/>
      <c r="X296" s="207"/>
      <c r="Y296" s="207"/>
      <c r="Z296" s="207"/>
      <c r="AA296" s="207"/>
      <c r="AB296" s="207"/>
      <c r="AC296" s="207"/>
      <c r="AD296" s="207"/>
      <c r="AE296" s="225"/>
      <c r="AF296" s="207"/>
      <c r="AG296" s="207"/>
      <c r="AH296" s="207"/>
      <c r="AI296" s="207"/>
      <c r="AJ296" s="225"/>
      <c r="AK296" s="207"/>
      <c r="AL296" s="207"/>
      <c r="AM296" s="207"/>
      <c r="AN296" s="207"/>
      <c r="AO296" s="207"/>
      <c r="AP296" s="207"/>
      <c r="AR296" s="207"/>
      <c r="AS296" s="207"/>
      <c r="AT296" s="207"/>
      <c r="AU296" s="207"/>
      <c r="AV296" s="207"/>
      <c r="AW296" s="207"/>
      <c r="AX296" s="207"/>
      <c r="AY296" s="207"/>
      <c r="AZ296" s="207"/>
      <c r="BA296" s="207"/>
      <c r="BB296" s="207"/>
      <c r="BC296" s="207"/>
      <c r="BD296" s="207"/>
      <c r="BE296" s="207"/>
      <c r="BF296" s="207"/>
      <c r="BG296" s="207"/>
      <c r="BH296" s="207"/>
      <c r="BI296" s="207"/>
      <c r="BJ296" s="207"/>
      <c r="BK296" s="207"/>
      <c r="BL296" s="207"/>
      <c r="BM296" s="207"/>
      <c r="BN296" s="207"/>
      <c r="BO296" s="207" t="s">
        <v>442</v>
      </c>
      <c r="BP296" s="207"/>
      <c r="BQ296" s="207"/>
      <c r="BR296" s="207"/>
    </row>
    <row r="297" ht="32" customHeight="1" spans="1:70">
      <c r="A297" s="189">
        <v>295</v>
      </c>
      <c r="B297" s="209" t="s">
        <v>1658</v>
      </c>
      <c r="C297" s="207" t="s">
        <v>1521</v>
      </c>
      <c r="D297" s="209" t="s">
        <v>1659</v>
      </c>
      <c r="E297" s="209"/>
      <c r="F297" s="207" t="s">
        <v>80</v>
      </c>
      <c r="G297" s="209" t="s">
        <v>581</v>
      </c>
      <c r="H297" s="209"/>
      <c r="I297" s="209"/>
      <c r="J297" s="239" t="s">
        <v>1660</v>
      </c>
      <c r="K297" s="239">
        <v>13806120327</v>
      </c>
      <c r="L297" s="207"/>
      <c r="M297" s="209" t="s">
        <v>1661</v>
      </c>
      <c r="N297" s="209"/>
      <c r="O297" s="207"/>
      <c r="P297" s="209"/>
      <c r="Q297" s="209" t="s">
        <v>576</v>
      </c>
      <c r="R297" s="209"/>
      <c r="S297" s="209"/>
      <c r="T297" s="207"/>
      <c r="U297" s="209"/>
      <c r="V297" s="209"/>
      <c r="W297" s="209"/>
      <c r="X297" s="209"/>
      <c r="Y297" s="209"/>
      <c r="Z297" s="209"/>
      <c r="AA297" s="209"/>
      <c r="AB297" s="209"/>
      <c r="AC297" s="207"/>
      <c r="AD297" s="209"/>
      <c r="AE297" s="225"/>
      <c r="AF297" s="209"/>
      <c r="AG297" s="209"/>
      <c r="AH297" s="209"/>
      <c r="AI297" s="209"/>
      <c r="AJ297" s="225"/>
      <c r="AK297" s="209"/>
      <c r="AL297" s="209"/>
      <c r="AM297" s="209" t="s">
        <v>1662</v>
      </c>
      <c r="AN297" s="209"/>
      <c r="AO297" s="209"/>
      <c r="AP297" s="209"/>
      <c r="AR297" s="209"/>
      <c r="AS297" s="209"/>
      <c r="AT297" s="209"/>
      <c r="AU297" s="209"/>
      <c r="AV297" s="209"/>
      <c r="AW297" s="209"/>
      <c r="AX297" s="209"/>
      <c r="AY297" s="209"/>
      <c r="AZ297" s="209"/>
      <c r="BA297" s="209"/>
      <c r="BB297" s="209"/>
      <c r="BC297" s="209"/>
      <c r="BD297" s="209"/>
      <c r="BE297" s="209"/>
      <c r="BF297" s="209"/>
      <c r="BG297" s="209"/>
      <c r="BH297" s="209"/>
      <c r="BI297" s="209"/>
      <c r="BJ297" s="209"/>
      <c r="BK297" s="209"/>
      <c r="BL297" s="209"/>
      <c r="BM297" s="209"/>
      <c r="BN297" s="209"/>
      <c r="BO297" s="209" t="s">
        <v>394</v>
      </c>
      <c r="BP297" s="207" t="s">
        <v>442</v>
      </c>
      <c r="BQ297" s="207"/>
      <c r="BR297" s="209"/>
    </row>
    <row r="298" ht="32" customHeight="1" spans="1:70">
      <c r="A298" s="189">
        <v>296</v>
      </c>
      <c r="B298" s="207" t="s">
        <v>1663</v>
      </c>
      <c r="C298" s="207" t="s">
        <v>1521</v>
      </c>
      <c r="D298" s="207" t="s">
        <v>1664</v>
      </c>
      <c r="E298" s="209"/>
      <c r="F298" s="207" t="s">
        <v>80</v>
      </c>
      <c r="G298" s="207" t="s">
        <v>1665</v>
      </c>
      <c r="H298" s="207"/>
      <c r="I298" s="207" t="s">
        <v>1666</v>
      </c>
      <c r="J298" s="207" t="s">
        <v>1667</v>
      </c>
      <c r="K298" s="207">
        <v>13306119123</v>
      </c>
      <c r="L298" s="207"/>
      <c r="M298" s="207" t="s">
        <v>1668</v>
      </c>
      <c r="N298" s="207" t="s">
        <v>1669</v>
      </c>
      <c r="O298" s="207"/>
      <c r="P298" s="207"/>
      <c r="Q298" s="207"/>
      <c r="R298" s="207" t="s">
        <v>116</v>
      </c>
      <c r="S298" s="207"/>
      <c r="T298" s="207"/>
      <c r="U298" s="207"/>
      <c r="V298" s="207"/>
      <c r="W298" s="207"/>
      <c r="X298" s="207"/>
      <c r="Y298" s="207"/>
      <c r="Z298" s="207"/>
      <c r="AA298" s="207"/>
      <c r="AB298" s="207"/>
      <c r="AC298" s="207"/>
      <c r="AD298" s="209"/>
      <c r="AE298" s="225" t="s">
        <v>85</v>
      </c>
      <c r="AF298" s="207" t="s">
        <v>87</v>
      </c>
      <c r="AG298" s="207"/>
      <c r="AH298" s="207"/>
      <c r="AI298" s="207"/>
      <c r="AJ298" s="225"/>
      <c r="AK298" s="207" t="s">
        <v>1670</v>
      </c>
      <c r="AL298" s="207" t="s">
        <v>1671</v>
      </c>
      <c r="AM298" s="207"/>
      <c r="AN298" s="207"/>
      <c r="AO298" s="207"/>
      <c r="AP298" s="207" t="s">
        <v>85</v>
      </c>
      <c r="AR298" s="207"/>
      <c r="AS298" s="207" t="s">
        <v>85</v>
      </c>
      <c r="AT298" s="207" t="s">
        <v>85</v>
      </c>
      <c r="AU298" s="205" t="s">
        <v>85</v>
      </c>
      <c r="AV298" s="207"/>
      <c r="AW298" s="207"/>
      <c r="AX298" s="207"/>
      <c r="AY298" s="207"/>
      <c r="AZ298" s="207"/>
      <c r="BA298" s="207" t="s">
        <v>1672</v>
      </c>
      <c r="BB298" s="207"/>
      <c r="BC298" s="207" t="s">
        <v>85</v>
      </c>
      <c r="BD298" s="207"/>
      <c r="BE298" s="207"/>
      <c r="BF298" s="207"/>
      <c r="BG298" s="207"/>
      <c r="BH298" s="207"/>
      <c r="BI298" s="207"/>
      <c r="BJ298" s="207"/>
      <c r="BK298" s="207">
        <v>3.4</v>
      </c>
      <c r="BL298" s="207" t="s">
        <v>88</v>
      </c>
      <c r="BM298" s="207"/>
      <c r="BN298" s="207"/>
      <c r="BO298" s="207"/>
      <c r="BP298" s="207"/>
      <c r="BQ298" s="207"/>
      <c r="BR298" s="207" t="s">
        <v>415</v>
      </c>
    </row>
    <row r="299" ht="32" customHeight="1" spans="1:70">
      <c r="A299" s="204">
        <v>297</v>
      </c>
      <c r="B299" s="205" t="s">
        <v>1673</v>
      </c>
      <c r="C299" s="205" t="s">
        <v>1674</v>
      </c>
      <c r="D299" s="205" t="s">
        <v>1674</v>
      </c>
      <c r="E299" s="205"/>
      <c r="F299" s="205" t="s">
        <v>156</v>
      </c>
      <c r="G299" s="205" t="s">
        <v>1675</v>
      </c>
      <c r="H299" s="205"/>
      <c r="I299" s="205" t="s">
        <v>1676</v>
      </c>
      <c r="J299" s="205"/>
      <c r="K299" s="205"/>
      <c r="L299" s="205"/>
      <c r="M299" s="205" t="s">
        <v>1675</v>
      </c>
      <c r="N299" s="205"/>
      <c r="O299" s="205"/>
      <c r="P299" s="205"/>
      <c r="Q299" s="205"/>
      <c r="R299" s="205"/>
      <c r="S299" s="205" t="s">
        <v>369</v>
      </c>
      <c r="T299" s="205"/>
      <c r="U299" s="205"/>
      <c r="V299" s="205"/>
      <c r="W299" s="205"/>
      <c r="X299" s="205"/>
      <c r="Y299" s="205"/>
      <c r="Z299" s="205"/>
      <c r="AA299" s="205"/>
      <c r="AB299" s="205"/>
      <c r="AD299" s="205"/>
      <c r="AE299" s="161"/>
      <c r="AF299" s="205"/>
      <c r="AG299" s="205"/>
      <c r="AH299" s="205"/>
      <c r="AI299" s="205"/>
      <c r="AJ299" s="161"/>
      <c r="AK299" s="205" t="s">
        <v>1677</v>
      </c>
      <c r="AL299" s="205"/>
      <c r="AM299" s="205" t="s">
        <v>98</v>
      </c>
      <c r="AN299" s="205"/>
      <c r="AO299" s="205" t="s">
        <v>1678</v>
      </c>
      <c r="AP299" s="205"/>
      <c r="AR299" s="205"/>
      <c r="AS299" s="205"/>
      <c r="AT299" s="205"/>
      <c r="AU299" s="205"/>
      <c r="AV299" s="205"/>
      <c r="AW299" s="205"/>
      <c r="AX299" s="205"/>
      <c r="AY299" s="205"/>
      <c r="AZ299" s="205"/>
      <c r="BA299" s="205"/>
      <c r="BB299" s="205"/>
      <c r="BC299" s="205"/>
      <c r="BD299" s="205"/>
      <c r="BE299" s="205"/>
      <c r="BF299" s="205"/>
      <c r="BG299" s="205"/>
      <c r="BH299" s="205"/>
      <c r="BI299" s="205"/>
      <c r="BJ299" s="205"/>
      <c r="BK299" s="205"/>
      <c r="BL299" s="205"/>
      <c r="BM299" s="205"/>
      <c r="BN299" s="205"/>
      <c r="BO299" s="205"/>
      <c r="BP299" s="205"/>
      <c r="BQ299" s="205"/>
      <c r="BR299" s="205"/>
    </row>
    <row r="300" ht="32" customHeight="1" spans="1:70">
      <c r="A300" s="189">
        <v>298</v>
      </c>
      <c r="B300" s="207" t="s">
        <v>1679</v>
      </c>
      <c r="C300" s="207" t="s">
        <v>1674</v>
      </c>
      <c r="D300" s="207" t="s">
        <v>1680</v>
      </c>
      <c r="E300" s="209" t="s">
        <v>192</v>
      </c>
      <c r="F300" s="207" t="s">
        <v>156</v>
      </c>
      <c r="G300" s="207" t="s">
        <v>320</v>
      </c>
      <c r="H300" s="207"/>
      <c r="I300" s="207">
        <v>350</v>
      </c>
      <c r="J300" s="207" t="s">
        <v>746</v>
      </c>
      <c r="K300" s="207"/>
      <c r="L300" s="207"/>
      <c r="M300" s="207" t="s">
        <v>320</v>
      </c>
      <c r="N300" s="207" t="s">
        <v>1681</v>
      </c>
      <c r="O300" s="207"/>
      <c r="P300" s="207"/>
      <c r="Q300" s="207" t="s">
        <v>576</v>
      </c>
      <c r="R300" s="207"/>
      <c r="S300" s="207"/>
      <c r="T300" s="207"/>
      <c r="U300" s="207"/>
      <c r="V300" s="207"/>
      <c r="W300" s="207"/>
      <c r="X300" s="207"/>
      <c r="Y300" s="207"/>
      <c r="Z300" s="207" t="s">
        <v>85</v>
      </c>
      <c r="AA300" s="207" t="s">
        <v>85</v>
      </c>
      <c r="AB300" s="207"/>
      <c r="AC300" s="207"/>
      <c r="AD300" s="207">
        <v>450</v>
      </c>
      <c r="AE300" s="225" t="s">
        <v>85</v>
      </c>
      <c r="AF300" s="207"/>
      <c r="AG300" s="207"/>
      <c r="AH300" s="207"/>
      <c r="AI300" s="207"/>
      <c r="AJ300" s="225"/>
      <c r="AK300" s="207" t="s">
        <v>1682</v>
      </c>
      <c r="AL300" s="207" t="s">
        <v>1683</v>
      </c>
      <c r="AM300" s="207"/>
      <c r="AN300" s="207"/>
      <c r="AO300" s="207"/>
      <c r="AP300" s="207" t="s">
        <v>1001</v>
      </c>
      <c r="AR300" s="207" t="s">
        <v>85</v>
      </c>
      <c r="AS300" s="207" t="s">
        <v>85</v>
      </c>
      <c r="AT300" s="207" t="s">
        <v>85</v>
      </c>
      <c r="AU300" s="205" t="s">
        <v>85</v>
      </c>
      <c r="AV300" s="207"/>
      <c r="AW300" s="205" t="s">
        <v>85</v>
      </c>
      <c r="AX300" s="207" t="s">
        <v>85</v>
      </c>
      <c r="AY300" s="207"/>
      <c r="AZ300" s="209" t="s">
        <v>85</v>
      </c>
      <c r="BA300" s="207" t="s">
        <v>1684</v>
      </c>
      <c r="BB300" s="207" t="s">
        <v>369</v>
      </c>
      <c r="BC300" s="207" t="s">
        <v>1001</v>
      </c>
      <c r="BD300" s="207" t="s">
        <v>1001</v>
      </c>
      <c r="BE300" s="207" t="s">
        <v>1001</v>
      </c>
      <c r="BF300" s="207" t="s">
        <v>369</v>
      </c>
      <c r="BG300" s="207" t="s">
        <v>369</v>
      </c>
      <c r="BH300" s="207" t="s">
        <v>369</v>
      </c>
      <c r="BI300" s="207"/>
      <c r="BJ300" s="207"/>
      <c r="BK300" s="207">
        <v>3.4</v>
      </c>
      <c r="BL300" s="207" t="s">
        <v>88</v>
      </c>
      <c r="BM300" s="207"/>
      <c r="BN300" s="207"/>
      <c r="BO300" s="207"/>
      <c r="BP300" s="207"/>
      <c r="BQ300" s="207"/>
      <c r="BR300" s="207" t="s">
        <v>1685</v>
      </c>
    </row>
    <row r="301" ht="32" customHeight="1" spans="1:70">
      <c r="A301" s="189">
        <v>299</v>
      </c>
      <c r="B301" s="207" t="s">
        <v>1686</v>
      </c>
      <c r="C301" s="207" t="s">
        <v>1674</v>
      </c>
      <c r="D301" s="207" t="s">
        <v>1687</v>
      </c>
      <c r="E301" s="209" t="s">
        <v>237</v>
      </c>
      <c r="F301" s="207" t="s">
        <v>156</v>
      </c>
      <c r="G301" s="207" t="s">
        <v>1688</v>
      </c>
      <c r="H301" s="189">
        <v>3</v>
      </c>
      <c r="I301" s="207">
        <v>300</v>
      </c>
      <c r="J301" s="207" t="s">
        <v>1605</v>
      </c>
      <c r="K301" s="207"/>
      <c r="L301" s="207"/>
      <c r="M301" s="207" t="s">
        <v>1689</v>
      </c>
      <c r="N301" s="207"/>
      <c r="O301" s="207"/>
      <c r="P301" s="207"/>
      <c r="Q301" s="207"/>
      <c r="R301" s="207" t="s">
        <v>146</v>
      </c>
      <c r="S301" s="207"/>
      <c r="T301" s="207"/>
      <c r="U301" s="207"/>
      <c r="V301" s="207"/>
      <c r="W301" s="207"/>
      <c r="X301" s="207"/>
      <c r="Y301" s="207"/>
      <c r="Z301" s="207" t="s">
        <v>85</v>
      </c>
      <c r="AA301" s="207" t="s">
        <v>85</v>
      </c>
      <c r="AB301" s="207" t="s">
        <v>128</v>
      </c>
      <c r="AC301" s="207"/>
      <c r="AD301" s="207">
        <v>300</v>
      </c>
      <c r="AE301" s="225" t="s">
        <v>85</v>
      </c>
      <c r="AF301" s="207" t="s">
        <v>1690</v>
      </c>
      <c r="AG301" s="207"/>
      <c r="AH301" s="207"/>
      <c r="AI301" s="207"/>
      <c r="AJ301" s="225"/>
      <c r="AK301" s="207"/>
      <c r="AL301" s="207" t="s">
        <v>1691</v>
      </c>
      <c r="AM301" s="207"/>
      <c r="AN301" s="207"/>
      <c r="AO301" s="207"/>
      <c r="AP301" s="207"/>
      <c r="AR301" s="207"/>
      <c r="AS301" s="207"/>
      <c r="AT301" s="207"/>
      <c r="AU301" s="207"/>
      <c r="AV301" s="207"/>
      <c r="AW301" s="207"/>
      <c r="AX301" s="207"/>
      <c r="AY301" s="207"/>
      <c r="AZ301" s="207"/>
      <c r="BA301" s="207"/>
      <c r="BB301" s="207"/>
      <c r="BC301" s="207"/>
      <c r="BD301" s="207"/>
      <c r="BE301" s="207"/>
      <c r="BF301" s="207"/>
      <c r="BG301" s="207"/>
      <c r="BH301" s="207"/>
      <c r="BI301" s="207"/>
      <c r="BJ301" s="207"/>
      <c r="BK301" s="207">
        <v>3.4</v>
      </c>
      <c r="BL301" s="207" t="s">
        <v>88</v>
      </c>
      <c r="BM301" s="207"/>
      <c r="BN301" s="207"/>
      <c r="BO301" s="207"/>
      <c r="BP301" s="207"/>
      <c r="BQ301" s="207"/>
      <c r="BR301" s="207"/>
    </row>
    <row r="302" ht="32" customHeight="1" spans="1:70">
      <c r="A302" s="189">
        <v>300</v>
      </c>
      <c r="B302" s="207" t="s">
        <v>1692</v>
      </c>
      <c r="C302" s="207" t="s">
        <v>1674</v>
      </c>
      <c r="D302" s="207" t="s">
        <v>1693</v>
      </c>
      <c r="E302" s="209" t="s">
        <v>707</v>
      </c>
      <c r="F302" s="207" t="s">
        <v>156</v>
      </c>
      <c r="G302" s="207" t="s">
        <v>1694</v>
      </c>
      <c r="H302" s="207">
        <v>200</v>
      </c>
      <c r="I302" s="207">
        <v>2500</v>
      </c>
      <c r="J302" s="207" t="s">
        <v>1695</v>
      </c>
      <c r="K302" s="207"/>
      <c r="L302" s="207"/>
      <c r="M302" s="207" t="s">
        <v>1696</v>
      </c>
      <c r="N302" s="207"/>
      <c r="O302" s="207"/>
      <c r="P302" s="207"/>
      <c r="Q302" s="207"/>
      <c r="R302" s="207" t="s">
        <v>1697</v>
      </c>
      <c r="S302" s="207"/>
      <c r="T302" s="207"/>
      <c r="U302" s="207"/>
      <c r="V302" s="207"/>
      <c r="W302" s="207"/>
      <c r="X302" s="207"/>
      <c r="Y302" s="207"/>
      <c r="Z302" s="207"/>
      <c r="AA302" s="207"/>
      <c r="AB302" s="207"/>
      <c r="AC302" s="207"/>
      <c r="AD302" s="207"/>
      <c r="AE302" s="225"/>
      <c r="AF302" s="207"/>
      <c r="AG302" s="207"/>
      <c r="AH302" s="207"/>
      <c r="AI302" s="207"/>
      <c r="AJ302" s="225"/>
      <c r="AK302" s="207" t="s">
        <v>1698</v>
      </c>
      <c r="AL302" s="207"/>
      <c r="AM302" s="207"/>
      <c r="AN302" s="207"/>
      <c r="AO302" s="207"/>
      <c r="AP302" s="207"/>
      <c r="AR302" s="207"/>
      <c r="AS302" s="207"/>
      <c r="AT302" s="207"/>
      <c r="AU302" s="207"/>
      <c r="AV302" s="207"/>
      <c r="AW302" s="207"/>
      <c r="AX302" s="207"/>
      <c r="AY302" s="207"/>
      <c r="AZ302" s="207"/>
      <c r="BA302" s="207"/>
      <c r="BB302" s="207"/>
      <c r="BC302" s="207"/>
      <c r="BD302" s="207"/>
      <c r="BE302" s="207"/>
      <c r="BF302" s="207"/>
      <c r="BG302" s="207"/>
      <c r="BH302" s="207"/>
      <c r="BI302" s="207"/>
      <c r="BJ302" s="207"/>
      <c r="BK302" s="207"/>
      <c r="BL302" s="207"/>
      <c r="BM302" s="207"/>
      <c r="BN302" s="207"/>
      <c r="BO302" s="207"/>
      <c r="BP302" s="207"/>
      <c r="BQ302" s="207"/>
      <c r="BR302" s="207"/>
    </row>
    <row r="303" ht="32" customHeight="1" spans="1:70">
      <c r="A303" s="204">
        <v>301</v>
      </c>
      <c r="B303" s="205" t="s">
        <v>1699</v>
      </c>
      <c r="C303" s="205" t="s">
        <v>1674</v>
      </c>
      <c r="D303" s="205"/>
      <c r="E303" s="210" t="s">
        <v>279</v>
      </c>
      <c r="F303" s="205" t="s">
        <v>124</v>
      </c>
      <c r="G303" s="205"/>
      <c r="H303" s="204">
        <v>30</v>
      </c>
      <c r="I303" s="205">
        <v>20000</v>
      </c>
      <c r="J303" s="205" t="s">
        <v>1700</v>
      </c>
      <c r="K303" s="205"/>
      <c r="L303" s="205"/>
      <c r="M303" s="205"/>
      <c r="N303" s="205"/>
      <c r="O303" s="205"/>
      <c r="P303" s="205"/>
      <c r="Q303" s="205"/>
      <c r="R303" s="205"/>
      <c r="S303" s="205"/>
      <c r="T303" s="205"/>
      <c r="U303" s="205"/>
      <c r="V303" s="205"/>
      <c r="W303" s="205"/>
      <c r="X303" s="205"/>
      <c r="Y303" s="205"/>
      <c r="Z303" s="205"/>
      <c r="AA303" s="205"/>
      <c r="AB303" s="205"/>
      <c r="AD303" s="205"/>
      <c r="AE303" s="161"/>
      <c r="AF303" s="205"/>
      <c r="AG303" s="205"/>
      <c r="AH303" s="205"/>
      <c r="AI303" s="205"/>
      <c r="AJ303" s="161"/>
      <c r="AK303" s="205"/>
      <c r="AL303" s="205" t="s">
        <v>1701</v>
      </c>
      <c r="AM303" s="205"/>
      <c r="AN303" s="205"/>
      <c r="AO303" s="205"/>
      <c r="AP303" s="205"/>
      <c r="AR303" s="205"/>
      <c r="AS303" s="205"/>
      <c r="AT303" s="205"/>
      <c r="AU303" s="205"/>
      <c r="AV303" s="205"/>
      <c r="AW303" s="205"/>
      <c r="AX303" s="205"/>
      <c r="AY303" s="205"/>
      <c r="AZ303" s="205"/>
      <c r="BA303" s="205"/>
      <c r="BB303" s="205"/>
      <c r="BC303" s="205"/>
      <c r="BD303" s="205"/>
      <c r="BE303" s="205"/>
      <c r="BF303" s="205"/>
      <c r="BG303" s="205"/>
      <c r="BH303" s="205"/>
      <c r="BI303" s="205"/>
      <c r="BJ303" s="205"/>
      <c r="BK303" s="205"/>
      <c r="BL303" s="205"/>
      <c r="BM303" s="205"/>
      <c r="BN303" s="205"/>
      <c r="BO303" s="205"/>
      <c r="BP303" s="205"/>
      <c r="BQ303" s="205"/>
      <c r="BR303" s="205"/>
    </row>
    <row r="304" ht="32" customHeight="1" spans="1:70">
      <c r="A304" s="208">
        <v>302</v>
      </c>
      <c r="B304" s="149" t="s">
        <v>1702</v>
      </c>
      <c r="C304" s="149" t="s">
        <v>1674</v>
      </c>
      <c r="D304" s="149" t="s">
        <v>1703</v>
      </c>
      <c r="E304" s="149"/>
      <c r="F304" s="149"/>
      <c r="G304" s="149"/>
      <c r="H304" s="149"/>
      <c r="I304" s="149"/>
      <c r="J304" s="149" t="s">
        <v>1704</v>
      </c>
      <c r="K304" s="149"/>
      <c r="L304" s="149"/>
      <c r="M304" s="149"/>
      <c r="N304" s="149"/>
      <c r="O304" s="149"/>
      <c r="P304" s="149"/>
      <c r="Q304" s="149"/>
      <c r="R304" s="149"/>
      <c r="S304" s="149"/>
      <c r="T304" s="149"/>
      <c r="U304" s="149"/>
      <c r="V304" s="149"/>
      <c r="W304" s="149"/>
      <c r="X304" s="149"/>
      <c r="Y304" s="149"/>
      <c r="Z304" s="149"/>
      <c r="AA304" s="149"/>
      <c r="AB304" s="149"/>
      <c r="AD304" s="149"/>
      <c r="AE304" s="161"/>
      <c r="AF304" s="149"/>
      <c r="AG304" s="149"/>
      <c r="AH304" s="149"/>
      <c r="AI304" s="149"/>
      <c r="AJ304" s="161"/>
      <c r="AK304" s="149"/>
      <c r="AL304" s="149"/>
      <c r="AM304" s="149"/>
      <c r="AN304" s="149"/>
      <c r="AO304" s="149"/>
      <c r="AP304" s="149"/>
      <c r="AR304" s="149"/>
      <c r="AS304" s="149"/>
      <c r="AT304" s="149"/>
      <c r="AU304" s="149"/>
      <c r="AV304" s="149"/>
      <c r="AW304" s="149"/>
      <c r="AX304" s="149"/>
      <c r="AY304" s="149"/>
      <c r="AZ304" s="149"/>
      <c r="BA304" s="149"/>
      <c r="BB304" s="149"/>
      <c r="BC304" s="149"/>
      <c r="BD304" s="149"/>
      <c r="BE304" s="149"/>
      <c r="BF304" s="149"/>
      <c r="BG304" s="149"/>
      <c r="BH304" s="149"/>
      <c r="BI304" s="149"/>
      <c r="BJ304" s="149"/>
      <c r="BK304" s="149"/>
      <c r="BL304" s="149"/>
      <c r="BM304" s="149"/>
      <c r="BN304" s="149"/>
      <c r="BO304" s="149"/>
      <c r="BP304" s="149"/>
      <c r="BQ304" s="149"/>
      <c r="BR304" s="149"/>
    </row>
    <row r="305" ht="32" customHeight="1" spans="1:70">
      <c r="A305" s="208">
        <v>303</v>
      </c>
      <c r="B305" s="149" t="s">
        <v>1705</v>
      </c>
      <c r="C305" s="149" t="s">
        <v>1674</v>
      </c>
      <c r="D305" s="149" t="s">
        <v>1706</v>
      </c>
      <c r="E305" s="212" t="s">
        <v>237</v>
      </c>
      <c r="F305" s="149" t="s">
        <v>156</v>
      </c>
      <c r="G305" s="149" t="s">
        <v>301</v>
      </c>
      <c r="H305" s="149"/>
      <c r="I305" s="149"/>
      <c r="J305" s="149" t="s">
        <v>1707</v>
      </c>
      <c r="K305" s="149">
        <v>13151531771</v>
      </c>
      <c r="L305" s="149"/>
      <c r="M305" s="149"/>
      <c r="N305" s="149"/>
      <c r="O305" s="149"/>
      <c r="P305" s="149"/>
      <c r="Q305" s="149"/>
      <c r="R305" s="149"/>
      <c r="S305" s="149"/>
      <c r="T305" s="149"/>
      <c r="U305" s="149"/>
      <c r="V305" s="149"/>
      <c r="W305" s="149"/>
      <c r="X305" s="149"/>
      <c r="Y305" s="149"/>
      <c r="Z305" s="149"/>
      <c r="AA305" s="149"/>
      <c r="AB305" s="149"/>
      <c r="AD305" s="149"/>
      <c r="AE305" s="161"/>
      <c r="AF305" s="149"/>
      <c r="AG305" s="149"/>
      <c r="AH305" s="149"/>
      <c r="AI305" s="149"/>
      <c r="AJ305" s="161"/>
      <c r="AK305" s="149"/>
      <c r="AL305" s="149"/>
      <c r="AM305" s="149"/>
      <c r="AN305" s="149"/>
      <c r="AO305" s="149"/>
      <c r="AP305" s="149"/>
      <c r="AR305" s="149"/>
      <c r="AS305" s="149"/>
      <c r="AT305" s="149"/>
      <c r="AU305" s="149"/>
      <c r="AV305" s="149"/>
      <c r="AW305" s="149"/>
      <c r="AX305" s="149"/>
      <c r="AY305" s="149"/>
      <c r="AZ305" s="149"/>
      <c r="BA305" s="149"/>
      <c r="BB305" s="149"/>
      <c r="BC305" s="149"/>
      <c r="BD305" s="149"/>
      <c r="BE305" s="149"/>
      <c r="BF305" s="149"/>
      <c r="BG305" s="149"/>
      <c r="BH305" s="149"/>
      <c r="BI305" s="149"/>
      <c r="BJ305" s="149"/>
      <c r="BK305" s="149"/>
      <c r="BL305" s="149"/>
      <c r="BM305" s="149"/>
      <c r="BN305" s="149"/>
      <c r="BO305" s="149"/>
      <c r="BP305" s="149"/>
      <c r="BQ305" s="149"/>
      <c r="BR305" s="149"/>
    </row>
    <row r="306" ht="32" customHeight="1" spans="1:70">
      <c r="A306" s="208">
        <v>304</v>
      </c>
      <c r="B306" s="149" t="s">
        <v>1708</v>
      </c>
      <c r="C306" s="149" t="s">
        <v>1674</v>
      </c>
      <c r="D306" s="149" t="s">
        <v>1709</v>
      </c>
      <c r="E306" s="212" t="s">
        <v>271</v>
      </c>
      <c r="F306" s="149" t="s">
        <v>80</v>
      </c>
      <c r="G306" s="149"/>
      <c r="H306" s="149"/>
      <c r="I306" s="149"/>
      <c r="J306" s="149" t="s">
        <v>1710</v>
      </c>
      <c r="K306" s="149">
        <v>13776819251</v>
      </c>
      <c r="L306" s="149"/>
      <c r="M306" s="149"/>
      <c r="N306" s="149"/>
      <c r="O306" s="149"/>
      <c r="P306" s="149"/>
      <c r="Q306" s="149"/>
      <c r="R306" s="149"/>
      <c r="S306" s="149"/>
      <c r="T306" s="149"/>
      <c r="U306" s="149"/>
      <c r="V306" s="149"/>
      <c r="W306" s="149"/>
      <c r="X306" s="149"/>
      <c r="Y306" s="149"/>
      <c r="Z306" s="149"/>
      <c r="AA306" s="149"/>
      <c r="AB306" s="149"/>
      <c r="AD306" s="149"/>
      <c r="AE306" s="161"/>
      <c r="AF306" s="149"/>
      <c r="AG306" s="149"/>
      <c r="AH306" s="149"/>
      <c r="AI306" s="149"/>
      <c r="AJ306" s="161"/>
      <c r="AK306" s="149"/>
      <c r="AL306" s="149"/>
      <c r="AM306" s="149"/>
      <c r="AN306" s="149"/>
      <c r="AO306" s="149"/>
      <c r="AP306" s="149"/>
      <c r="AR306" s="149"/>
      <c r="AS306" s="149"/>
      <c r="AT306" s="149"/>
      <c r="AU306" s="149"/>
      <c r="AV306" s="149"/>
      <c r="AW306" s="149"/>
      <c r="AX306" s="149"/>
      <c r="AY306" s="149"/>
      <c r="AZ306" s="149"/>
      <c r="BA306" s="149"/>
      <c r="BB306" s="149"/>
      <c r="BC306" s="149"/>
      <c r="BD306" s="149"/>
      <c r="BE306" s="149"/>
      <c r="BF306" s="149"/>
      <c r="BG306" s="149"/>
      <c r="BH306" s="149"/>
      <c r="BI306" s="149"/>
      <c r="BJ306" s="149"/>
      <c r="BK306" s="149"/>
      <c r="BL306" s="149"/>
      <c r="BM306" s="149"/>
      <c r="BN306" s="149"/>
      <c r="BO306" s="149"/>
      <c r="BP306" s="149"/>
      <c r="BQ306" s="149"/>
      <c r="BR306" s="149"/>
    </row>
    <row r="307" ht="32" customHeight="1" spans="1:70">
      <c r="A307" s="208">
        <v>305</v>
      </c>
      <c r="B307" s="149" t="s">
        <v>1711</v>
      </c>
      <c r="C307" s="149" t="s">
        <v>1674</v>
      </c>
      <c r="D307" s="149" t="s">
        <v>1712</v>
      </c>
      <c r="E307" s="149"/>
      <c r="F307" s="149"/>
      <c r="G307" s="149" t="s">
        <v>1713</v>
      </c>
      <c r="H307" s="149"/>
      <c r="I307" s="149"/>
      <c r="J307" s="149" t="s">
        <v>1714</v>
      </c>
      <c r="K307" s="149" t="s">
        <v>1715</v>
      </c>
      <c r="L307" s="149"/>
      <c r="M307" s="149"/>
      <c r="N307" s="149"/>
      <c r="O307" s="149"/>
      <c r="P307" s="149"/>
      <c r="Q307" s="149"/>
      <c r="R307" s="149"/>
      <c r="S307" s="149"/>
      <c r="T307" s="149"/>
      <c r="U307" s="149"/>
      <c r="V307" s="149"/>
      <c r="W307" s="149"/>
      <c r="X307" s="149"/>
      <c r="Y307" s="149"/>
      <c r="Z307" s="149"/>
      <c r="AA307" s="149"/>
      <c r="AB307" s="149"/>
      <c r="AD307" s="149"/>
      <c r="AE307" s="161"/>
      <c r="AF307" s="149"/>
      <c r="AG307" s="149"/>
      <c r="AH307" s="149"/>
      <c r="AI307" s="149"/>
      <c r="AJ307" s="161"/>
      <c r="AK307" s="149"/>
      <c r="AL307" s="149"/>
      <c r="AM307" s="149"/>
      <c r="AN307" s="149"/>
      <c r="AO307" s="149"/>
      <c r="AP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ht="32" customHeight="1" spans="1:70">
      <c r="A308" s="189">
        <v>306</v>
      </c>
      <c r="B308" s="207" t="s">
        <v>1716</v>
      </c>
      <c r="C308" s="207" t="s">
        <v>1674</v>
      </c>
      <c r="D308" s="207" t="s">
        <v>1717</v>
      </c>
      <c r="E308" s="207"/>
      <c r="F308" s="207" t="s">
        <v>310</v>
      </c>
      <c r="G308" s="207" t="s">
        <v>1718</v>
      </c>
      <c r="H308" s="189">
        <v>10</v>
      </c>
      <c r="I308" s="207" t="s">
        <v>1719</v>
      </c>
      <c r="J308" s="207" t="s">
        <v>1720</v>
      </c>
      <c r="K308" s="207"/>
      <c r="L308" s="207"/>
      <c r="M308" s="207" t="s">
        <v>1721</v>
      </c>
      <c r="N308" s="207" t="s">
        <v>1722</v>
      </c>
      <c r="O308" s="207"/>
      <c r="P308" s="207"/>
      <c r="Q308" s="207"/>
      <c r="R308" s="207" t="s">
        <v>116</v>
      </c>
      <c r="S308" s="207"/>
      <c r="T308" s="207"/>
      <c r="U308" s="207"/>
      <c r="V308" s="207"/>
      <c r="W308" s="207"/>
      <c r="X308" s="207"/>
      <c r="Y308" s="207"/>
      <c r="Z308" s="207"/>
      <c r="AA308" s="207"/>
      <c r="AB308" s="207"/>
      <c r="AC308" s="207"/>
      <c r="AD308" s="207"/>
      <c r="AE308" s="225"/>
      <c r="AF308" s="207"/>
      <c r="AG308" s="207"/>
      <c r="AH308" s="207"/>
      <c r="AI308" s="207"/>
      <c r="AJ308" s="225"/>
      <c r="AK308" s="207" t="s">
        <v>1723</v>
      </c>
      <c r="AL308" s="207" t="s">
        <v>1724</v>
      </c>
      <c r="AM308" s="207"/>
      <c r="AN308" s="207"/>
      <c r="AO308" s="207" t="s">
        <v>1725</v>
      </c>
      <c r="AP308" s="207" t="s">
        <v>1001</v>
      </c>
      <c r="AR308" s="207"/>
      <c r="AS308" s="207" t="s">
        <v>85</v>
      </c>
      <c r="AT308" s="207" t="s">
        <v>85</v>
      </c>
      <c r="AU308" s="205" t="s">
        <v>85</v>
      </c>
      <c r="AV308" s="207" t="s">
        <v>85</v>
      </c>
      <c r="AW308" s="207"/>
      <c r="AX308" s="207"/>
      <c r="AY308" s="207"/>
      <c r="AZ308" s="207"/>
      <c r="BA308" s="207" t="s">
        <v>1726</v>
      </c>
      <c r="BB308" s="207"/>
      <c r="BC308" s="207" t="s">
        <v>1727</v>
      </c>
      <c r="BD308" s="207"/>
      <c r="BE308" s="207" t="s">
        <v>1727</v>
      </c>
      <c r="BF308" s="207" t="s">
        <v>1727</v>
      </c>
      <c r="BG308" s="207" t="s">
        <v>1727</v>
      </c>
      <c r="BH308" s="207" t="s">
        <v>1728</v>
      </c>
      <c r="BI308" s="207"/>
      <c r="BJ308" s="207"/>
      <c r="BK308" s="221" t="s">
        <v>1729</v>
      </c>
      <c r="BL308" s="207" t="s">
        <v>88</v>
      </c>
      <c r="BM308" s="207" t="s">
        <v>1727</v>
      </c>
      <c r="BN308" s="207" t="s">
        <v>1728</v>
      </c>
      <c r="BO308" s="207" t="s">
        <v>1730</v>
      </c>
      <c r="BP308" s="207"/>
      <c r="BQ308" s="207"/>
      <c r="BR308" s="207" t="s">
        <v>1731</v>
      </c>
    </row>
    <row r="309" ht="32" customHeight="1" spans="1:70">
      <c r="A309" s="204">
        <v>307</v>
      </c>
      <c r="B309" s="205" t="s">
        <v>1732</v>
      </c>
      <c r="C309" s="205" t="s">
        <v>1674</v>
      </c>
      <c r="D309" s="205" t="s">
        <v>1733</v>
      </c>
      <c r="E309" s="205"/>
      <c r="F309" s="205"/>
      <c r="G309" s="205"/>
      <c r="H309" s="205"/>
      <c r="I309" s="205"/>
      <c r="J309" s="205"/>
      <c r="K309" s="205"/>
      <c r="L309" s="205"/>
      <c r="M309" s="205"/>
      <c r="N309" s="205"/>
      <c r="O309" s="205"/>
      <c r="P309" s="205"/>
      <c r="Q309" s="205"/>
      <c r="R309" s="205"/>
      <c r="S309" s="205"/>
      <c r="T309" s="205"/>
      <c r="U309" s="205"/>
      <c r="V309" s="205"/>
      <c r="W309" s="205"/>
      <c r="X309" s="205"/>
      <c r="Y309" s="205"/>
      <c r="Z309" s="205"/>
      <c r="AA309" s="205"/>
      <c r="AB309" s="205"/>
      <c r="AD309" s="205"/>
      <c r="AE309" s="161"/>
      <c r="AF309" s="205"/>
      <c r="AG309" s="205"/>
      <c r="AH309" s="205"/>
      <c r="AI309" s="205"/>
      <c r="AJ309" s="161"/>
      <c r="AK309" s="205"/>
      <c r="AL309" s="205"/>
      <c r="AM309" s="205"/>
      <c r="AN309" s="205"/>
      <c r="AO309" s="205"/>
      <c r="AP309" s="205"/>
      <c r="AR309" s="205"/>
      <c r="AS309" s="205"/>
      <c r="AT309" s="205"/>
      <c r="AU309" s="205"/>
      <c r="AV309" s="205"/>
      <c r="AW309" s="205"/>
      <c r="AX309" s="205"/>
      <c r="AY309" s="205"/>
      <c r="AZ309" s="205"/>
      <c r="BA309" s="205"/>
      <c r="BB309" s="205"/>
      <c r="BC309" s="205"/>
      <c r="BD309" s="205"/>
      <c r="BE309" s="205"/>
      <c r="BF309" s="205"/>
      <c r="BG309" s="205"/>
      <c r="BH309" s="205"/>
      <c r="BI309" s="205"/>
      <c r="BJ309" s="205"/>
      <c r="BK309" s="222" t="s">
        <v>1734</v>
      </c>
      <c r="BL309" s="205" t="s">
        <v>88</v>
      </c>
      <c r="BM309" s="205"/>
      <c r="BN309" s="205"/>
      <c r="BO309" s="205"/>
      <c r="BP309" s="205"/>
      <c r="BQ309" s="205"/>
      <c r="BR309" s="205"/>
    </row>
    <row r="310" ht="32" customHeight="1" spans="1:70">
      <c r="A310" s="208">
        <v>308</v>
      </c>
      <c r="B310" s="149" t="s">
        <v>1735</v>
      </c>
      <c r="C310" s="149" t="s">
        <v>1674</v>
      </c>
      <c r="D310" s="149" t="s">
        <v>1733</v>
      </c>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D310" s="149"/>
      <c r="AE310" s="161"/>
      <c r="AF310" s="149"/>
      <c r="AG310" s="149"/>
      <c r="AH310" s="149"/>
      <c r="AI310" s="149"/>
      <c r="AJ310" s="161"/>
      <c r="AK310" s="149"/>
      <c r="AL310" s="149"/>
      <c r="AM310" s="149"/>
      <c r="AN310" s="149"/>
      <c r="AO310" s="149"/>
      <c r="AP310" s="149"/>
      <c r="AR310" s="149"/>
      <c r="AS310" s="149"/>
      <c r="AT310" s="149"/>
      <c r="AU310" s="149"/>
      <c r="AV310" s="149"/>
      <c r="AW310" s="149"/>
      <c r="AX310" s="149"/>
      <c r="AY310" s="149"/>
      <c r="AZ310" s="149"/>
      <c r="BA310" s="149"/>
      <c r="BB310" s="149"/>
      <c r="BC310" s="149"/>
      <c r="BD310" s="149"/>
      <c r="BE310" s="149"/>
      <c r="BF310" s="149"/>
      <c r="BG310" s="149"/>
      <c r="BH310" s="149"/>
      <c r="BI310" s="149"/>
      <c r="BJ310" s="149"/>
      <c r="BK310" s="223" t="s">
        <v>1736</v>
      </c>
      <c r="BL310" s="149" t="s">
        <v>88</v>
      </c>
      <c r="BM310" s="149"/>
      <c r="BN310" s="149"/>
      <c r="BO310" s="149"/>
      <c r="BP310" s="149"/>
      <c r="BQ310" s="149"/>
      <c r="BR310" s="149"/>
    </row>
    <row r="311" ht="32" customHeight="1" spans="1:70">
      <c r="A311" s="208">
        <v>309</v>
      </c>
      <c r="B311" s="149" t="s">
        <v>1737</v>
      </c>
      <c r="C311" s="149" t="s">
        <v>1674</v>
      </c>
      <c r="D311" s="149" t="s">
        <v>1733</v>
      </c>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D311" s="149"/>
      <c r="AE311" s="161"/>
      <c r="AF311" s="149"/>
      <c r="AG311" s="149"/>
      <c r="AH311" s="149"/>
      <c r="AI311" s="149"/>
      <c r="AJ311" s="161"/>
      <c r="AK311" s="149"/>
      <c r="AL311" s="149"/>
      <c r="AM311" s="149"/>
      <c r="AN311" s="149"/>
      <c r="AO311" s="149"/>
      <c r="AP311" s="149"/>
      <c r="AR311" s="149"/>
      <c r="AS311" s="149"/>
      <c r="AT311" s="149"/>
      <c r="AU311" s="149"/>
      <c r="AV311" s="149"/>
      <c r="AW311" s="149"/>
      <c r="AX311" s="149"/>
      <c r="AY311" s="149"/>
      <c r="AZ311" s="149"/>
      <c r="BA311" s="149"/>
      <c r="BB311" s="149"/>
      <c r="BC311" s="149"/>
      <c r="BD311" s="149"/>
      <c r="BE311" s="149"/>
      <c r="BF311" s="149"/>
      <c r="BG311" s="149"/>
      <c r="BH311" s="149"/>
      <c r="BI311" s="149"/>
      <c r="BJ311" s="149"/>
      <c r="BK311" s="223" t="s">
        <v>1736</v>
      </c>
      <c r="BL311" s="149" t="s">
        <v>88</v>
      </c>
      <c r="BM311" s="149"/>
      <c r="BN311" s="149"/>
      <c r="BO311" s="149"/>
      <c r="BP311" s="149"/>
      <c r="BQ311" s="149"/>
      <c r="BR311" s="149"/>
    </row>
    <row r="312" ht="32" customHeight="1" spans="1:70">
      <c r="A312" s="208">
        <v>310</v>
      </c>
      <c r="B312" s="149" t="s">
        <v>1738</v>
      </c>
      <c r="C312" s="149" t="s">
        <v>1674</v>
      </c>
      <c r="D312" s="149" t="s">
        <v>1733</v>
      </c>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D312" s="149"/>
      <c r="AE312" s="161"/>
      <c r="AF312" s="149"/>
      <c r="AG312" s="149"/>
      <c r="AH312" s="149"/>
      <c r="AI312" s="149"/>
      <c r="AJ312" s="161"/>
      <c r="AK312" s="149"/>
      <c r="AL312" s="149"/>
      <c r="AM312" s="149"/>
      <c r="AN312" s="149"/>
      <c r="AO312" s="149"/>
      <c r="AP312" s="149"/>
      <c r="AR312" s="149"/>
      <c r="AS312" s="149"/>
      <c r="AT312" s="149"/>
      <c r="AU312" s="149"/>
      <c r="AV312" s="149"/>
      <c r="AW312" s="149"/>
      <c r="AX312" s="149"/>
      <c r="AY312" s="149"/>
      <c r="AZ312" s="149"/>
      <c r="BA312" s="149"/>
      <c r="BB312" s="149"/>
      <c r="BC312" s="149"/>
      <c r="BD312" s="149"/>
      <c r="BE312" s="149"/>
      <c r="BF312" s="149"/>
      <c r="BG312" s="149"/>
      <c r="BH312" s="149"/>
      <c r="BI312" s="149"/>
      <c r="BJ312" s="149"/>
      <c r="BK312" s="149"/>
      <c r="BL312" s="149"/>
      <c r="BM312" s="149"/>
      <c r="BN312" s="149"/>
      <c r="BO312" s="149"/>
      <c r="BP312" s="149"/>
      <c r="BQ312" s="149"/>
      <c r="BR312" s="149"/>
    </row>
    <row r="313" ht="32" customHeight="1" spans="1:70">
      <c r="A313" s="208">
        <v>311</v>
      </c>
      <c r="B313" s="149" t="s">
        <v>1739</v>
      </c>
      <c r="C313" s="149" t="s">
        <v>1674</v>
      </c>
      <c r="D313" s="149" t="s">
        <v>1733</v>
      </c>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D313" s="149"/>
      <c r="AE313" s="161"/>
      <c r="AF313" s="149"/>
      <c r="AG313" s="149"/>
      <c r="AH313" s="149"/>
      <c r="AI313" s="149"/>
      <c r="AJ313" s="161"/>
      <c r="AK313" s="149"/>
      <c r="AL313" s="149"/>
      <c r="AM313" s="149"/>
      <c r="AN313" s="149"/>
      <c r="AO313" s="149"/>
      <c r="AP313" s="149"/>
      <c r="AR313" s="149"/>
      <c r="AS313" s="149"/>
      <c r="AT313" s="149"/>
      <c r="AU313" s="149"/>
      <c r="AV313" s="149"/>
      <c r="AW313" s="149"/>
      <c r="AX313" s="149"/>
      <c r="AY313" s="149"/>
      <c r="AZ313" s="149"/>
      <c r="BA313" s="149"/>
      <c r="BB313" s="149"/>
      <c r="BC313" s="149"/>
      <c r="BD313" s="149"/>
      <c r="BE313" s="149"/>
      <c r="BF313" s="149"/>
      <c r="BG313" s="149"/>
      <c r="BH313" s="149"/>
      <c r="BI313" s="149"/>
      <c r="BJ313" s="149"/>
      <c r="BK313" s="149"/>
      <c r="BL313" s="149"/>
      <c r="BM313" s="149"/>
      <c r="BN313" s="149"/>
      <c r="BO313" s="149"/>
      <c r="BP313" s="149"/>
      <c r="BQ313" s="149"/>
      <c r="BR313" s="149"/>
    </row>
    <row r="314" ht="32" customHeight="1" spans="1:70">
      <c r="A314" s="208">
        <v>312</v>
      </c>
      <c r="B314" s="149" t="s">
        <v>1740</v>
      </c>
      <c r="C314" s="149" t="s">
        <v>1674</v>
      </c>
      <c r="D314" s="149" t="s">
        <v>1733</v>
      </c>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D314" s="149"/>
      <c r="AE314" s="161"/>
      <c r="AF314" s="149"/>
      <c r="AG314" s="149"/>
      <c r="AH314" s="149"/>
      <c r="AI314" s="149"/>
      <c r="AJ314" s="161"/>
      <c r="AK314" s="149"/>
      <c r="AL314" s="149"/>
      <c r="AM314" s="149"/>
      <c r="AN314" s="149"/>
      <c r="AO314" s="149"/>
      <c r="AP314" s="149"/>
      <c r="AR314" s="149"/>
      <c r="AS314" s="149"/>
      <c r="AT314" s="149"/>
      <c r="AU314" s="149"/>
      <c r="AV314" s="149"/>
      <c r="AW314" s="149"/>
      <c r="AX314" s="149"/>
      <c r="AY314" s="149"/>
      <c r="AZ314" s="149"/>
      <c r="BA314" s="149"/>
      <c r="BB314" s="149"/>
      <c r="BC314" s="149"/>
      <c r="BD314" s="149"/>
      <c r="BE314" s="149"/>
      <c r="BF314" s="149"/>
      <c r="BG314" s="149"/>
      <c r="BH314" s="149"/>
      <c r="BI314" s="149"/>
      <c r="BJ314" s="149"/>
      <c r="BK314" s="149"/>
      <c r="BL314" s="149"/>
      <c r="BM314" s="149"/>
      <c r="BN314" s="149"/>
      <c r="BO314" s="149"/>
      <c r="BP314" s="149"/>
      <c r="BQ314" s="149"/>
      <c r="BR314" s="149"/>
    </row>
    <row r="315" ht="32" customHeight="1" spans="1:70">
      <c r="A315" s="208">
        <v>313</v>
      </c>
      <c r="B315" s="149" t="s">
        <v>1741</v>
      </c>
      <c r="C315" s="149" t="s">
        <v>1674</v>
      </c>
      <c r="D315" s="149" t="s">
        <v>1733</v>
      </c>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D315" s="149"/>
      <c r="AE315" s="161"/>
      <c r="AF315" s="149"/>
      <c r="AG315" s="149"/>
      <c r="AH315" s="149"/>
      <c r="AI315" s="149"/>
      <c r="AJ315" s="161"/>
      <c r="AK315" s="149"/>
      <c r="AL315" s="149"/>
      <c r="AM315" s="149"/>
      <c r="AN315" s="149"/>
      <c r="AO315" s="149"/>
      <c r="AP315" s="149"/>
      <c r="AR315" s="149"/>
      <c r="AS315" s="149"/>
      <c r="AT315" s="149"/>
      <c r="AU315" s="149"/>
      <c r="AV315" s="149"/>
      <c r="AW315" s="149"/>
      <c r="AX315" s="149"/>
      <c r="AY315" s="149"/>
      <c r="AZ315" s="149"/>
      <c r="BA315" s="149"/>
      <c r="BB315" s="149"/>
      <c r="BC315" s="149"/>
      <c r="BD315" s="149"/>
      <c r="BE315" s="149"/>
      <c r="BF315" s="149"/>
      <c r="BG315" s="149"/>
      <c r="BH315" s="149"/>
      <c r="BI315" s="149"/>
      <c r="BJ315" s="149"/>
      <c r="BK315" s="149"/>
      <c r="BL315" s="149"/>
      <c r="BM315" s="149"/>
      <c r="BN315" s="149"/>
      <c r="BO315" s="149"/>
      <c r="BP315" s="149"/>
      <c r="BQ315" s="149"/>
      <c r="BR315" s="149"/>
    </row>
    <row r="316" ht="32" customHeight="1" spans="1:70">
      <c r="A316" s="208">
        <v>314</v>
      </c>
      <c r="B316" s="149" t="s">
        <v>1742</v>
      </c>
      <c r="C316" s="149" t="s">
        <v>1674</v>
      </c>
      <c r="D316" s="149" t="s">
        <v>1733</v>
      </c>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D316" s="149"/>
      <c r="AE316" s="161"/>
      <c r="AF316" s="149"/>
      <c r="AG316" s="149"/>
      <c r="AH316" s="149"/>
      <c r="AI316" s="149"/>
      <c r="AJ316" s="161"/>
      <c r="AK316" s="149"/>
      <c r="AL316" s="149"/>
      <c r="AM316" s="149"/>
      <c r="AN316" s="149"/>
      <c r="AO316" s="149"/>
      <c r="AP316" s="149"/>
      <c r="AR316" s="149"/>
      <c r="AS316" s="149"/>
      <c r="AT316" s="149"/>
      <c r="AU316" s="149"/>
      <c r="AV316" s="149"/>
      <c r="AW316" s="149"/>
      <c r="AX316" s="149"/>
      <c r="AY316" s="149"/>
      <c r="AZ316" s="149"/>
      <c r="BA316" s="149"/>
      <c r="BB316" s="149"/>
      <c r="BC316" s="149"/>
      <c r="BD316" s="149"/>
      <c r="BE316" s="149"/>
      <c r="BF316" s="149"/>
      <c r="BG316" s="149"/>
      <c r="BH316" s="149"/>
      <c r="BI316" s="149"/>
      <c r="BJ316" s="149"/>
      <c r="BK316" s="149"/>
      <c r="BL316" s="149"/>
      <c r="BM316" s="149"/>
      <c r="BN316" s="149"/>
      <c r="BO316" s="149"/>
      <c r="BP316" s="149"/>
      <c r="BQ316" s="149"/>
      <c r="BR316" s="149"/>
    </row>
    <row r="317" ht="32" customHeight="1" spans="1:70">
      <c r="A317" s="208">
        <v>315</v>
      </c>
      <c r="B317" s="149" t="s">
        <v>1743</v>
      </c>
      <c r="C317" s="149" t="s">
        <v>1674</v>
      </c>
      <c r="D317" s="149" t="s">
        <v>1733</v>
      </c>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D317" s="149"/>
      <c r="AE317" s="161"/>
      <c r="AF317" s="149"/>
      <c r="AG317" s="149"/>
      <c r="AH317" s="149"/>
      <c r="AI317" s="149"/>
      <c r="AJ317" s="161"/>
      <c r="AK317" s="149"/>
      <c r="AL317" s="149"/>
      <c r="AM317" s="149"/>
      <c r="AN317" s="149"/>
      <c r="AO317" s="149"/>
      <c r="AP317" s="149"/>
      <c r="AR317" s="149"/>
      <c r="AS317" s="149"/>
      <c r="AT317" s="149"/>
      <c r="AU317" s="149"/>
      <c r="AV317" s="149"/>
      <c r="AW317" s="149"/>
      <c r="AX317" s="149"/>
      <c r="AY317" s="149"/>
      <c r="AZ317" s="149"/>
      <c r="BA317" s="149"/>
      <c r="BB317" s="149"/>
      <c r="BC317" s="149"/>
      <c r="BD317" s="149"/>
      <c r="BE317" s="149"/>
      <c r="BF317" s="149"/>
      <c r="BG317" s="149"/>
      <c r="BH317" s="149"/>
      <c r="BI317" s="149"/>
      <c r="BJ317" s="149"/>
      <c r="BK317" s="149"/>
      <c r="BL317" s="149"/>
      <c r="BM317" s="149"/>
      <c r="BN317" s="149"/>
      <c r="BO317" s="149"/>
      <c r="BP317" s="149"/>
      <c r="BQ317" s="149"/>
      <c r="BR317" s="149"/>
    </row>
    <row r="318" ht="32" customHeight="1" spans="1:70">
      <c r="A318" s="208">
        <v>316</v>
      </c>
      <c r="B318" s="149" t="s">
        <v>1744</v>
      </c>
      <c r="C318" s="149" t="s">
        <v>1674</v>
      </c>
      <c r="D318" s="149" t="s">
        <v>1733</v>
      </c>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D318" s="149"/>
      <c r="AE318" s="161"/>
      <c r="AF318" s="149"/>
      <c r="AG318" s="149"/>
      <c r="AH318" s="149"/>
      <c r="AI318" s="149"/>
      <c r="AJ318" s="161"/>
      <c r="AK318" s="149"/>
      <c r="AL318" s="149"/>
      <c r="AM318" s="149"/>
      <c r="AN318" s="149"/>
      <c r="AO318" s="149"/>
      <c r="AP318" s="149"/>
      <c r="AR318" s="149"/>
      <c r="AS318" s="149"/>
      <c r="AT318" s="149"/>
      <c r="AU318" s="149"/>
      <c r="AV318" s="149"/>
      <c r="AW318" s="149"/>
      <c r="AX318" s="149"/>
      <c r="AY318" s="149"/>
      <c r="AZ318" s="149"/>
      <c r="BA318" s="149"/>
      <c r="BB318" s="149"/>
      <c r="BC318" s="149"/>
      <c r="BD318" s="149"/>
      <c r="BE318" s="149"/>
      <c r="BF318" s="149"/>
      <c r="BG318" s="149"/>
      <c r="BH318" s="149"/>
      <c r="BI318" s="149"/>
      <c r="BJ318" s="149"/>
      <c r="BK318" s="149"/>
      <c r="BL318" s="149"/>
      <c r="BM318" s="149"/>
      <c r="BN318" s="149"/>
      <c r="BO318" s="149"/>
      <c r="BP318" s="149"/>
      <c r="BQ318" s="149"/>
      <c r="BR318" s="149"/>
    </row>
    <row r="319" ht="32" customHeight="1" spans="1:70">
      <c r="A319" s="208">
        <v>317</v>
      </c>
      <c r="B319" s="149" t="s">
        <v>1745</v>
      </c>
      <c r="C319" s="149" t="s">
        <v>1674</v>
      </c>
      <c r="D319" s="149" t="s">
        <v>1733</v>
      </c>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D319" s="149"/>
      <c r="AE319" s="161"/>
      <c r="AF319" s="149"/>
      <c r="AG319" s="149"/>
      <c r="AH319" s="149"/>
      <c r="AI319" s="149"/>
      <c r="AJ319" s="161"/>
      <c r="AK319" s="149"/>
      <c r="AL319" s="149"/>
      <c r="AM319" s="149"/>
      <c r="AN319" s="149"/>
      <c r="AO319" s="149"/>
      <c r="AP319" s="149"/>
      <c r="AR319" s="149"/>
      <c r="AS319" s="149"/>
      <c r="AT319" s="149"/>
      <c r="AU319" s="149"/>
      <c r="AV319" s="149"/>
      <c r="AW319" s="149"/>
      <c r="AX319" s="149"/>
      <c r="AY319" s="149"/>
      <c r="AZ319" s="149"/>
      <c r="BA319" s="149"/>
      <c r="BB319" s="149"/>
      <c r="BC319" s="149"/>
      <c r="BD319" s="149"/>
      <c r="BE319" s="149"/>
      <c r="BF319" s="149"/>
      <c r="BG319" s="149"/>
      <c r="BH319" s="149"/>
      <c r="BI319" s="149"/>
      <c r="BJ319" s="149"/>
      <c r="BK319" s="149"/>
      <c r="BL319" s="149"/>
      <c r="BM319" s="149"/>
      <c r="BN319" s="149"/>
      <c r="BO319" s="149"/>
      <c r="BP319" s="149"/>
      <c r="BQ319" s="149"/>
      <c r="BR319" s="149"/>
    </row>
    <row r="320" ht="32" customHeight="1" spans="1:70">
      <c r="A320" s="208">
        <v>318</v>
      </c>
      <c r="B320" s="149" t="s">
        <v>1746</v>
      </c>
      <c r="C320" s="149" t="s">
        <v>1674</v>
      </c>
      <c r="D320" s="149" t="s">
        <v>1733</v>
      </c>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D320" s="149"/>
      <c r="AE320" s="161"/>
      <c r="AF320" s="149"/>
      <c r="AG320" s="149"/>
      <c r="AH320" s="149"/>
      <c r="AI320" s="149"/>
      <c r="AJ320" s="161"/>
      <c r="AK320" s="149"/>
      <c r="AL320" s="149"/>
      <c r="AM320" s="149"/>
      <c r="AN320" s="149"/>
      <c r="AO320" s="149"/>
      <c r="AP320" s="149"/>
      <c r="AR320" s="149"/>
      <c r="AS320" s="149"/>
      <c r="AT320" s="149"/>
      <c r="AU320" s="149"/>
      <c r="AV320" s="149"/>
      <c r="AW320" s="149"/>
      <c r="AX320" s="149"/>
      <c r="AY320" s="149"/>
      <c r="AZ320" s="149"/>
      <c r="BA320" s="149"/>
      <c r="BB320" s="149"/>
      <c r="BC320" s="149"/>
      <c r="BD320" s="149"/>
      <c r="BE320" s="149"/>
      <c r="BF320" s="149"/>
      <c r="BG320" s="149"/>
      <c r="BH320" s="149"/>
      <c r="BI320" s="149"/>
      <c r="BJ320" s="149"/>
      <c r="BK320" s="149"/>
      <c r="BL320" s="149"/>
      <c r="BM320" s="149"/>
      <c r="BN320" s="149"/>
      <c r="BO320" s="149"/>
      <c r="BP320" s="149"/>
      <c r="BQ320" s="149"/>
      <c r="BR320" s="149"/>
    </row>
    <row r="321" ht="32" customHeight="1" spans="1:70">
      <c r="A321" s="208">
        <v>319</v>
      </c>
      <c r="B321" s="149" t="s">
        <v>1747</v>
      </c>
      <c r="C321" s="149" t="s">
        <v>1674</v>
      </c>
      <c r="D321" s="149" t="s">
        <v>1733</v>
      </c>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D321" s="149"/>
      <c r="AE321" s="161"/>
      <c r="AF321" s="149"/>
      <c r="AG321" s="149"/>
      <c r="AH321" s="149"/>
      <c r="AI321" s="149"/>
      <c r="AJ321" s="161"/>
      <c r="AK321" s="149"/>
      <c r="AL321" s="149"/>
      <c r="AM321" s="149"/>
      <c r="AN321" s="149"/>
      <c r="AO321" s="149"/>
      <c r="AP321" s="149"/>
      <c r="AR321" s="149"/>
      <c r="AS321" s="149"/>
      <c r="AT321" s="149"/>
      <c r="AU321" s="149"/>
      <c r="AV321" s="149"/>
      <c r="AW321" s="149"/>
      <c r="AX321" s="149"/>
      <c r="AY321" s="149"/>
      <c r="AZ321" s="149"/>
      <c r="BA321" s="149"/>
      <c r="BB321" s="149"/>
      <c r="BC321" s="149"/>
      <c r="BD321" s="149"/>
      <c r="BE321" s="149"/>
      <c r="BF321" s="149"/>
      <c r="BG321" s="149"/>
      <c r="BH321" s="149"/>
      <c r="BI321" s="149"/>
      <c r="BJ321" s="149"/>
      <c r="BK321" s="149"/>
      <c r="BL321" s="149"/>
      <c r="BM321" s="149"/>
      <c r="BN321" s="149"/>
      <c r="BO321" s="149"/>
      <c r="BP321" s="149"/>
      <c r="BQ321" s="149"/>
      <c r="BR321" s="149"/>
    </row>
    <row r="322" ht="32" customHeight="1" spans="1:70">
      <c r="A322" s="208">
        <v>320</v>
      </c>
      <c r="B322" s="149" t="s">
        <v>1748</v>
      </c>
      <c r="C322" s="149" t="s">
        <v>1674</v>
      </c>
      <c r="D322" s="149" t="s">
        <v>1733</v>
      </c>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D322" s="149"/>
      <c r="AE322" s="161"/>
      <c r="AF322" s="149"/>
      <c r="AG322" s="149"/>
      <c r="AH322" s="149"/>
      <c r="AI322" s="149"/>
      <c r="AJ322" s="161"/>
      <c r="AK322" s="149"/>
      <c r="AL322" s="149"/>
      <c r="AM322" s="149"/>
      <c r="AN322" s="149"/>
      <c r="AO322" s="149"/>
      <c r="AP322" s="149"/>
      <c r="AR322" s="149"/>
      <c r="AS322" s="149"/>
      <c r="AT322" s="149"/>
      <c r="AU322" s="149"/>
      <c r="AV322" s="149"/>
      <c r="AW322" s="149"/>
      <c r="AX322" s="149"/>
      <c r="AY322" s="149"/>
      <c r="AZ322" s="149"/>
      <c r="BA322" s="149"/>
      <c r="BB322" s="149"/>
      <c r="BC322" s="149"/>
      <c r="BD322" s="149"/>
      <c r="BE322" s="149"/>
      <c r="BF322" s="149"/>
      <c r="BG322" s="149"/>
      <c r="BH322" s="149"/>
      <c r="BI322" s="149"/>
      <c r="BJ322" s="149"/>
      <c r="BK322" s="149"/>
      <c r="BL322" s="149"/>
      <c r="BM322" s="149"/>
      <c r="BN322" s="149"/>
      <c r="BO322" s="149"/>
      <c r="BP322" s="149"/>
      <c r="BQ322" s="149"/>
      <c r="BR322" s="149"/>
    </row>
    <row r="323" ht="32" customHeight="1" spans="1:70">
      <c r="A323" s="208">
        <v>321</v>
      </c>
      <c r="B323" s="149" t="s">
        <v>1749</v>
      </c>
      <c r="C323" s="149" t="s">
        <v>1674</v>
      </c>
      <c r="D323" s="149" t="s">
        <v>1733</v>
      </c>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D323" s="149"/>
      <c r="AE323" s="161"/>
      <c r="AF323" s="149"/>
      <c r="AG323" s="149"/>
      <c r="AH323" s="149"/>
      <c r="AI323" s="149"/>
      <c r="AJ323" s="161"/>
      <c r="AK323" s="149"/>
      <c r="AL323" s="149"/>
      <c r="AM323" s="149"/>
      <c r="AN323" s="149"/>
      <c r="AO323" s="149"/>
      <c r="AP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ht="32" customHeight="1" spans="1:70">
      <c r="A324" s="208">
        <v>322</v>
      </c>
      <c r="B324" s="149" t="s">
        <v>1750</v>
      </c>
      <c r="C324" s="149" t="s">
        <v>1674</v>
      </c>
      <c r="D324" s="149" t="s">
        <v>1733</v>
      </c>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D324" s="149"/>
      <c r="AE324" s="161"/>
      <c r="AF324" s="149"/>
      <c r="AG324" s="149"/>
      <c r="AH324" s="149"/>
      <c r="AI324" s="149"/>
      <c r="AJ324" s="161"/>
      <c r="AK324" s="149"/>
      <c r="AL324" s="149"/>
      <c r="AM324" s="149"/>
      <c r="AN324" s="149"/>
      <c r="AO324" s="149"/>
      <c r="AP324" s="149"/>
      <c r="AR324" s="149"/>
      <c r="AS324" s="149"/>
      <c r="AT324" s="149"/>
      <c r="AU324" s="149"/>
      <c r="AV324" s="149"/>
      <c r="AW324" s="149"/>
      <c r="AX324" s="149"/>
      <c r="AY324" s="149"/>
      <c r="AZ324" s="149"/>
      <c r="BA324" s="149"/>
      <c r="BB324" s="149"/>
      <c r="BC324" s="149"/>
      <c r="BD324" s="149"/>
      <c r="BE324" s="149"/>
      <c r="BF324" s="149"/>
      <c r="BG324" s="149"/>
      <c r="BH324" s="149"/>
      <c r="BI324" s="149"/>
      <c r="BJ324" s="149"/>
      <c r="BK324" s="149"/>
      <c r="BL324" s="149"/>
      <c r="BM324" s="149"/>
      <c r="BN324" s="149"/>
      <c r="BO324" s="149"/>
      <c r="BP324" s="149"/>
      <c r="BQ324" s="149"/>
      <c r="BR324" s="149"/>
    </row>
    <row r="325" ht="32" customHeight="1" spans="1:70">
      <c r="A325" s="208">
        <v>323</v>
      </c>
      <c r="B325" s="149" t="s">
        <v>1751</v>
      </c>
      <c r="C325" s="149" t="s">
        <v>1674</v>
      </c>
      <c r="D325" s="149" t="s">
        <v>1733</v>
      </c>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D325" s="149"/>
      <c r="AE325" s="161"/>
      <c r="AF325" s="149"/>
      <c r="AG325" s="149"/>
      <c r="AH325" s="149"/>
      <c r="AI325" s="149"/>
      <c r="AJ325" s="161"/>
      <c r="AK325" s="149"/>
      <c r="AL325" s="149"/>
      <c r="AM325" s="149"/>
      <c r="AN325" s="149"/>
      <c r="AO325" s="149"/>
      <c r="AP325" s="149"/>
      <c r="AR325" s="149"/>
      <c r="AS325" s="149"/>
      <c r="AT325" s="149"/>
      <c r="AU325" s="149"/>
      <c r="AV325" s="149"/>
      <c r="AW325" s="149"/>
      <c r="AX325" s="149"/>
      <c r="AY325" s="149"/>
      <c r="AZ325" s="149"/>
      <c r="BA325" s="149"/>
      <c r="BB325" s="149"/>
      <c r="BC325" s="149"/>
      <c r="BD325" s="149"/>
      <c r="BE325" s="149"/>
      <c r="BF325" s="149"/>
      <c r="BG325" s="149"/>
      <c r="BH325" s="149"/>
      <c r="BI325" s="149"/>
      <c r="BJ325" s="149"/>
      <c r="BK325" s="149"/>
      <c r="BL325" s="149"/>
      <c r="BM325" s="149"/>
      <c r="BN325" s="149"/>
      <c r="BO325" s="149"/>
      <c r="BP325" s="149"/>
      <c r="BQ325" s="149"/>
      <c r="BR325" s="149"/>
    </row>
    <row r="326" ht="32" customHeight="1" spans="1:70">
      <c r="A326" s="208">
        <v>324</v>
      </c>
      <c r="B326" s="149" t="s">
        <v>1752</v>
      </c>
      <c r="C326" s="149" t="s">
        <v>1674</v>
      </c>
      <c r="D326" s="149" t="s">
        <v>1733</v>
      </c>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D326" s="149"/>
      <c r="AE326" s="161"/>
      <c r="AF326" s="149"/>
      <c r="AG326" s="149"/>
      <c r="AH326" s="149"/>
      <c r="AI326" s="149"/>
      <c r="AJ326" s="161"/>
      <c r="AK326" s="149"/>
      <c r="AL326" s="149"/>
      <c r="AM326" s="149"/>
      <c r="AN326" s="149"/>
      <c r="AO326" s="149"/>
      <c r="AP326" s="149"/>
      <c r="AR326" s="149"/>
      <c r="AS326" s="149"/>
      <c r="AT326" s="149"/>
      <c r="AU326" s="149"/>
      <c r="AV326" s="149"/>
      <c r="AW326" s="149"/>
      <c r="AX326" s="149"/>
      <c r="AY326" s="149"/>
      <c r="AZ326" s="149"/>
      <c r="BA326" s="149"/>
      <c r="BB326" s="149"/>
      <c r="BC326" s="149"/>
      <c r="BD326" s="149"/>
      <c r="BE326" s="149"/>
      <c r="BF326" s="149"/>
      <c r="BG326" s="149"/>
      <c r="BH326" s="149"/>
      <c r="BI326" s="149"/>
      <c r="BJ326" s="149"/>
      <c r="BK326" s="149"/>
      <c r="BL326" s="149"/>
      <c r="BM326" s="149"/>
      <c r="BN326" s="149"/>
      <c r="BO326" s="149"/>
      <c r="BP326" s="149"/>
      <c r="BQ326" s="149"/>
      <c r="BR326" s="149"/>
    </row>
    <row r="327" ht="32" customHeight="1" spans="1:70">
      <c r="A327" s="208">
        <v>325</v>
      </c>
      <c r="B327" s="149" t="s">
        <v>1753</v>
      </c>
      <c r="C327" s="149" t="s">
        <v>1674</v>
      </c>
      <c r="D327" s="149" t="s">
        <v>1733</v>
      </c>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D327" s="149"/>
      <c r="AE327" s="161"/>
      <c r="AF327" s="149"/>
      <c r="AG327" s="149"/>
      <c r="AH327" s="149"/>
      <c r="AI327" s="149"/>
      <c r="AJ327" s="161"/>
      <c r="AK327" s="149"/>
      <c r="AL327" s="149"/>
      <c r="AM327" s="149"/>
      <c r="AN327" s="149"/>
      <c r="AO327" s="149"/>
      <c r="AP327" s="149"/>
      <c r="AR327" s="149"/>
      <c r="AS327" s="149"/>
      <c r="AT327" s="149"/>
      <c r="AU327" s="149"/>
      <c r="AV327" s="149"/>
      <c r="AW327" s="149"/>
      <c r="AX327" s="149"/>
      <c r="AY327" s="149"/>
      <c r="AZ327" s="149"/>
      <c r="BA327" s="149"/>
      <c r="BB327" s="149"/>
      <c r="BC327" s="149"/>
      <c r="BD327" s="149"/>
      <c r="BE327" s="149"/>
      <c r="BF327" s="149"/>
      <c r="BG327" s="149"/>
      <c r="BH327" s="149"/>
      <c r="BI327" s="149"/>
      <c r="BJ327" s="149"/>
      <c r="BK327" s="149"/>
      <c r="BL327" s="149"/>
      <c r="BM327" s="149"/>
      <c r="BN327" s="149"/>
      <c r="BO327" s="149"/>
      <c r="BP327" s="149"/>
      <c r="BQ327" s="149"/>
      <c r="BR327" s="149"/>
    </row>
    <row r="328" ht="32" customHeight="1" spans="1:70">
      <c r="A328" s="208">
        <v>326</v>
      </c>
      <c r="B328" s="149" t="s">
        <v>1754</v>
      </c>
      <c r="C328" s="149" t="s">
        <v>1674</v>
      </c>
      <c r="D328" s="149" t="s">
        <v>1733</v>
      </c>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D328" s="149"/>
      <c r="AE328" s="161"/>
      <c r="AF328" s="149"/>
      <c r="AG328" s="149"/>
      <c r="AH328" s="149"/>
      <c r="AI328" s="149"/>
      <c r="AJ328" s="161"/>
      <c r="AK328" s="149"/>
      <c r="AL328" s="149"/>
      <c r="AM328" s="149"/>
      <c r="AN328" s="149"/>
      <c r="AO328" s="149"/>
      <c r="AP328" s="149"/>
      <c r="AR328" s="149"/>
      <c r="AS328" s="149"/>
      <c r="AT328" s="149"/>
      <c r="AU328" s="149"/>
      <c r="AV328" s="149"/>
      <c r="AW328" s="149"/>
      <c r="AX328" s="149"/>
      <c r="AY328" s="149"/>
      <c r="AZ328" s="149"/>
      <c r="BA328" s="149"/>
      <c r="BB328" s="149"/>
      <c r="BC328" s="149"/>
      <c r="BD328" s="149"/>
      <c r="BE328" s="149"/>
      <c r="BF328" s="149"/>
      <c r="BG328" s="149"/>
      <c r="BH328" s="149"/>
      <c r="BI328" s="149"/>
      <c r="BJ328" s="149"/>
      <c r="BK328" s="149"/>
      <c r="BL328" s="149"/>
      <c r="BM328" s="149"/>
      <c r="BN328" s="149"/>
      <c r="BO328" s="149"/>
      <c r="BP328" s="149"/>
      <c r="BQ328" s="149"/>
      <c r="BR328" s="149"/>
    </row>
    <row r="329" ht="32" customHeight="1" spans="1:70">
      <c r="A329" s="208">
        <v>327</v>
      </c>
      <c r="B329" s="149" t="s">
        <v>1755</v>
      </c>
      <c r="C329" s="149" t="s">
        <v>1674</v>
      </c>
      <c r="D329" s="149" t="s">
        <v>1733</v>
      </c>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D329" s="149"/>
      <c r="AE329" s="161"/>
      <c r="AF329" s="149"/>
      <c r="AG329" s="149"/>
      <c r="AH329" s="149"/>
      <c r="AI329" s="149"/>
      <c r="AJ329" s="161"/>
      <c r="AK329" s="149"/>
      <c r="AL329" s="149"/>
      <c r="AM329" s="149"/>
      <c r="AN329" s="149"/>
      <c r="AO329" s="149"/>
      <c r="AP329" s="149"/>
      <c r="AR329" s="149"/>
      <c r="AS329" s="149"/>
      <c r="AT329" s="149"/>
      <c r="AU329" s="149"/>
      <c r="AV329" s="149"/>
      <c r="AW329" s="149"/>
      <c r="AX329" s="149"/>
      <c r="AY329" s="149"/>
      <c r="AZ329" s="149"/>
      <c r="BA329" s="149"/>
      <c r="BB329" s="149"/>
      <c r="BC329" s="149"/>
      <c r="BD329" s="149"/>
      <c r="BE329" s="149"/>
      <c r="BF329" s="149"/>
      <c r="BG329" s="149"/>
      <c r="BH329" s="149"/>
      <c r="BI329" s="149"/>
      <c r="BJ329" s="149"/>
      <c r="BK329" s="149"/>
      <c r="BL329" s="149"/>
      <c r="BM329" s="149"/>
      <c r="BN329" s="149"/>
      <c r="BO329" s="149"/>
      <c r="BP329" s="149"/>
      <c r="BQ329" s="149"/>
      <c r="BR329" s="149"/>
    </row>
    <row r="330" ht="32" customHeight="1" spans="1:70">
      <c r="A330" s="208">
        <v>328</v>
      </c>
      <c r="B330" s="149" t="s">
        <v>1756</v>
      </c>
      <c r="C330" s="149" t="s">
        <v>1674</v>
      </c>
      <c r="D330" s="149" t="s">
        <v>1733</v>
      </c>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D330" s="149"/>
      <c r="AE330" s="161"/>
      <c r="AF330" s="149"/>
      <c r="AG330" s="149"/>
      <c r="AH330" s="149"/>
      <c r="AI330" s="149"/>
      <c r="AJ330" s="161"/>
      <c r="AK330" s="149"/>
      <c r="AL330" s="149"/>
      <c r="AM330" s="149"/>
      <c r="AN330" s="149"/>
      <c r="AO330" s="149"/>
      <c r="AP330" s="149"/>
      <c r="AR330" s="149"/>
      <c r="AS330" s="149"/>
      <c r="AT330" s="149"/>
      <c r="AU330" s="149"/>
      <c r="AV330" s="149"/>
      <c r="AW330" s="149"/>
      <c r="AX330" s="149"/>
      <c r="AY330" s="149"/>
      <c r="AZ330" s="149"/>
      <c r="BA330" s="149"/>
      <c r="BB330" s="149"/>
      <c r="BC330" s="149"/>
      <c r="BD330" s="149"/>
      <c r="BE330" s="149"/>
      <c r="BF330" s="149"/>
      <c r="BG330" s="149"/>
      <c r="BH330" s="149"/>
      <c r="BI330" s="149"/>
      <c r="BJ330" s="149"/>
      <c r="BK330" s="149"/>
      <c r="BL330" s="149"/>
      <c r="BM330" s="149"/>
      <c r="BN330" s="149"/>
      <c r="BO330" s="149"/>
      <c r="BP330" s="149"/>
      <c r="BQ330" s="149"/>
      <c r="BR330" s="149"/>
    </row>
    <row r="331" ht="32" customHeight="1" spans="1:70">
      <c r="A331" s="208">
        <v>329</v>
      </c>
      <c r="B331" s="149" t="s">
        <v>1757</v>
      </c>
      <c r="C331" s="149" t="s">
        <v>1674</v>
      </c>
      <c r="D331" s="149" t="s">
        <v>1733</v>
      </c>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D331" s="149"/>
      <c r="AE331" s="161"/>
      <c r="AF331" s="149"/>
      <c r="AG331" s="149"/>
      <c r="AH331" s="149"/>
      <c r="AI331" s="149"/>
      <c r="AJ331" s="161"/>
      <c r="AK331" s="149"/>
      <c r="AL331" s="149"/>
      <c r="AM331" s="149"/>
      <c r="AN331" s="149"/>
      <c r="AO331" s="149"/>
      <c r="AP331" s="149"/>
      <c r="AR331" s="149"/>
      <c r="AS331" s="149"/>
      <c r="AT331" s="149"/>
      <c r="AU331" s="149"/>
      <c r="AV331" s="149"/>
      <c r="AW331" s="149"/>
      <c r="AX331" s="149"/>
      <c r="AY331" s="149"/>
      <c r="AZ331" s="149"/>
      <c r="BA331" s="149"/>
      <c r="BB331" s="149"/>
      <c r="BC331" s="149"/>
      <c r="BD331" s="149"/>
      <c r="BE331" s="149"/>
      <c r="BF331" s="149"/>
      <c r="BG331" s="149"/>
      <c r="BH331" s="149"/>
      <c r="BI331" s="149"/>
      <c r="BJ331" s="149"/>
      <c r="BK331" s="149"/>
      <c r="BL331" s="149"/>
      <c r="BM331" s="149"/>
      <c r="BN331" s="149"/>
      <c r="BO331" s="149"/>
      <c r="BP331" s="149"/>
      <c r="BQ331" s="149"/>
      <c r="BR331" s="149"/>
    </row>
    <row r="332" ht="32" customHeight="1" spans="1:70">
      <c r="A332" s="208">
        <v>330</v>
      </c>
      <c r="B332" s="149" t="s">
        <v>1758</v>
      </c>
      <c r="C332" s="149" t="s">
        <v>1674</v>
      </c>
      <c r="D332" s="149" t="s">
        <v>1733</v>
      </c>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D332" s="149"/>
      <c r="AE332" s="161"/>
      <c r="AF332" s="149"/>
      <c r="AG332" s="149"/>
      <c r="AH332" s="149"/>
      <c r="AI332" s="149"/>
      <c r="AJ332" s="161"/>
      <c r="AK332" s="149"/>
      <c r="AL332" s="149"/>
      <c r="AM332" s="149"/>
      <c r="AN332" s="149"/>
      <c r="AO332" s="149"/>
      <c r="AP332" s="149"/>
      <c r="AR332" s="149"/>
      <c r="AS332" s="149"/>
      <c r="AT332" s="149"/>
      <c r="AU332" s="149"/>
      <c r="AV332" s="149"/>
      <c r="AW332" s="149"/>
      <c r="AX332" s="149"/>
      <c r="AY332" s="149"/>
      <c r="AZ332" s="149"/>
      <c r="BA332" s="149"/>
      <c r="BB332" s="149"/>
      <c r="BC332" s="149"/>
      <c r="BD332" s="149"/>
      <c r="BE332" s="149"/>
      <c r="BF332" s="149"/>
      <c r="BG332" s="149"/>
      <c r="BH332" s="149"/>
      <c r="BI332" s="149"/>
      <c r="BJ332" s="149"/>
      <c r="BK332" s="149"/>
      <c r="BL332" s="149"/>
      <c r="BM332" s="149"/>
      <c r="BN332" s="149"/>
      <c r="BO332" s="149"/>
      <c r="BP332" s="149"/>
      <c r="BQ332" s="149"/>
      <c r="BR332" s="149"/>
    </row>
    <row r="333" ht="32" customHeight="1" spans="1:70">
      <c r="A333" s="208">
        <v>331</v>
      </c>
      <c r="B333" s="149" t="s">
        <v>1759</v>
      </c>
      <c r="C333" s="149" t="s">
        <v>1674</v>
      </c>
      <c r="D333" s="149" t="s">
        <v>1733</v>
      </c>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D333" s="149"/>
      <c r="AE333" s="161"/>
      <c r="AF333" s="149"/>
      <c r="AG333" s="149"/>
      <c r="AH333" s="149"/>
      <c r="AI333" s="149"/>
      <c r="AJ333" s="161"/>
      <c r="AK333" s="149"/>
      <c r="AL333" s="149"/>
      <c r="AM333" s="149"/>
      <c r="AN333" s="149"/>
      <c r="AO333" s="149"/>
      <c r="AP333" s="149"/>
      <c r="AR333" s="149"/>
      <c r="AS333" s="149"/>
      <c r="AT333" s="149"/>
      <c r="AU333" s="149"/>
      <c r="AV333" s="149"/>
      <c r="AW333" s="149"/>
      <c r="AX333" s="149"/>
      <c r="AY333" s="149"/>
      <c r="AZ333" s="149"/>
      <c r="BA333" s="149"/>
      <c r="BB333" s="149"/>
      <c r="BC333" s="149"/>
      <c r="BD333" s="149"/>
      <c r="BE333" s="149"/>
      <c r="BF333" s="149"/>
      <c r="BG333" s="149"/>
      <c r="BH333" s="149"/>
      <c r="BI333" s="149"/>
      <c r="BJ333" s="149"/>
      <c r="BK333" s="149"/>
      <c r="BL333" s="149"/>
      <c r="BM333" s="149"/>
      <c r="BN333" s="149"/>
      <c r="BO333" s="149"/>
      <c r="BP333" s="149"/>
      <c r="BQ333" s="149"/>
      <c r="BR333" s="149"/>
    </row>
    <row r="334" ht="32" customHeight="1" spans="1:70">
      <c r="A334" s="208">
        <v>332</v>
      </c>
      <c r="B334" s="149" t="s">
        <v>1760</v>
      </c>
      <c r="C334" s="149" t="s">
        <v>1674</v>
      </c>
      <c r="D334" s="149" t="s">
        <v>1733</v>
      </c>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D334" s="149"/>
      <c r="AE334" s="161"/>
      <c r="AF334" s="149"/>
      <c r="AG334" s="149"/>
      <c r="AH334" s="149"/>
      <c r="AI334" s="149"/>
      <c r="AJ334" s="161"/>
      <c r="AK334" s="149"/>
      <c r="AL334" s="149"/>
      <c r="AM334" s="149"/>
      <c r="AN334" s="149"/>
      <c r="AO334" s="149"/>
      <c r="AP334" s="149"/>
      <c r="AR334" s="149"/>
      <c r="AS334" s="149"/>
      <c r="AT334" s="149"/>
      <c r="AU334" s="149"/>
      <c r="AV334" s="149"/>
      <c r="AW334" s="149"/>
      <c r="AX334" s="149"/>
      <c r="AY334" s="149"/>
      <c r="AZ334" s="149"/>
      <c r="BA334" s="149"/>
      <c r="BB334" s="149"/>
      <c r="BC334" s="149"/>
      <c r="BD334" s="149"/>
      <c r="BE334" s="149"/>
      <c r="BF334" s="149"/>
      <c r="BG334" s="149"/>
      <c r="BH334" s="149"/>
      <c r="BI334" s="149"/>
      <c r="BJ334" s="149"/>
      <c r="BK334" s="149"/>
      <c r="BL334" s="149"/>
      <c r="BM334" s="149"/>
      <c r="BN334" s="149"/>
      <c r="BO334" s="149"/>
      <c r="BP334" s="149"/>
      <c r="BQ334" s="149"/>
      <c r="BR334" s="149"/>
    </row>
    <row r="335" ht="32" customHeight="1" spans="1:70">
      <c r="A335" s="208">
        <v>333</v>
      </c>
      <c r="B335" s="149" t="s">
        <v>1761</v>
      </c>
      <c r="C335" s="149" t="s">
        <v>1674</v>
      </c>
      <c r="D335" s="149" t="s">
        <v>1733</v>
      </c>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D335" s="149"/>
      <c r="AE335" s="161"/>
      <c r="AF335" s="149"/>
      <c r="AG335" s="149"/>
      <c r="AH335" s="149"/>
      <c r="AI335" s="149"/>
      <c r="AJ335" s="161"/>
      <c r="AK335" s="149"/>
      <c r="AL335" s="149"/>
      <c r="AM335" s="149"/>
      <c r="AN335" s="149"/>
      <c r="AO335" s="149"/>
      <c r="AP335" s="149"/>
      <c r="AR335" s="149"/>
      <c r="AS335" s="149"/>
      <c r="AT335" s="149"/>
      <c r="AU335" s="149"/>
      <c r="AV335" s="149"/>
      <c r="AW335" s="149"/>
      <c r="AX335" s="149"/>
      <c r="AY335" s="149"/>
      <c r="AZ335" s="149"/>
      <c r="BA335" s="149"/>
      <c r="BB335" s="149"/>
      <c r="BC335" s="149"/>
      <c r="BD335" s="149"/>
      <c r="BE335" s="149"/>
      <c r="BF335" s="149"/>
      <c r="BG335" s="149"/>
      <c r="BH335" s="149"/>
      <c r="BI335" s="149"/>
      <c r="BJ335" s="149"/>
      <c r="BK335" s="149"/>
      <c r="BL335" s="149"/>
      <c r="BM335" s="149"/>
      <c r="BN335" s="149"/>
      <c r="BO335" s="149"/>
      <c r="BP335" s="149"/>
      <c r="BQ335" s="149"/>
      <c r="BR335" s="149"/>
    </row>
    <row r="336" ht="32" customHeight="1" spans="1:70">
      <c r="A336" s="208">
        <v>334</v>
      </c>
      <c r="B336" s="149" t="s">
        <v>1762</v>
      </c>
      <c r="C336" s="149" t="s">
        <v>1674</v>
      </c>
      <c r="D336" s="149" t="s">
        <v>1733</v>
      </c>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D336" s="149"/>
      <c r="AE336" s="161"/>
      <c r="AF336" s="149"/>
      <c r="AG336" s="149"/>
      <c r="AH336" s="149"/>
      <c r="AI336" s="149"/>
      <c r="AJ336" s="161"/>
      <c r="AK336" s="149"/>
      <c r="AL336" s="149"/>
      <c r="AM336" s="149"/>
      <c r="AN336" s="149"/>
      <c r="AO336" s="149"/>
      <c r="AP336" s="149"/>
      <c r="AR336" s="149"/>
      <c r="AS336" s="149"/>
      <c r="AT336" s="149"/>
      <c r="AU336" s="149"/>
      <c r="AV336" s="149"/>
      <c r="AW336" s="149"/>
      <c r="AX336" s="149"/>
      <c r="AY336" s="149"/>
      <c r="AZ336" s="149"/>
      <c r="BA336" s="149"/>
      <c r="BB336" s="149"/>
      <c r="BC336" s="149"/>
      <c r="BD336" s="149"/>
      <c r="BE336" s="149"/>
      <c r="BF336" s="149"/>
      <c r="BG336" s="149"/>
      <c r="BH336" s="149"/>
      <c r="BI336" s="149"/>
      <c r="BJ336" s="149"/>
      <c r="BK336" s="149"/>
      <c r="BL336" s="149"/>
      <c r="BM336" s="149"/>
      <c r="BN336" s="149"/>
      <c r="BO336" s="149"/>
      <c r="BP336" s="149"/>
      <c r="BQ336" s="149"/>
      <c r="BR336" s="149"/>
    </row>
    <row r="337" ht="32" customHeight="1" spans="1:70">
      <c r="A337" s="208">
        <v>335</v>
      </c>
      <c r="B337" s="149" t="s">
        <v>1763</v>
      </c>
      <c r="C337" s="149" t="s">
        <v>1674</v>
      </c>
      <c r="D337" s="149" t="s">
        <v>1733</v>
      </c>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D337" s="149"/>
      <c r="AE337" s="161"/>
      <c r="AF337" s="149"/>
      <c r="AG337" s="149"/>
      <c r="AH337" s="149"/>
      <c r="AI337" s="149"/>
      <c r="AJ337" s="161"/>
      <c r="AK337" s="149"/>
      <c r="AL337" s="149"/>
      <c r="AM337" s="149"/>
      <c r="AN337" s="149"/>
      <c r="AO337" s="149"/>
      <c r="AP337" s="149"/>
      <c r="AR337" s="149"/>
      <c r="AS337" s="149"/>
      <c r="AT337" s="149"/>
      <c r="AU337" s="149"/>
      <c r="AV337" s="149"/>
      <c r="AW337" s="149"/>
      <c r="AX337" s="149"/>
      <c r="AY337" s="149"/>
      <c r="AZ337" s="149"/>
      <c r="BA337" s="149"/>
      <c r="BB337" s="149"/>
      <c r="BC337" s="149"/>
      <c r="BD337" s="149"/>
      <c r="BE337" s="149"/>
      <c r="BF337" s="149"/>
      <c r="BG337" s="149"/>
      <c r="BH337" s="149"/>
      <c r="BI337" s="149"/>
      <c r="BJ337" s="149"/>
      <c r="BK337" s="149"/>
      <c r="BL337" s="149"/>
      <c r="BM337" s="149"/>
      <c r="BN337" s="149"/>
      <c r="BO337" s="149"/>
      <c r="BP337" s="149"/>
      <c r="BQ337" s="149"/>
      <c r="BR337" s="149"/>
    </row>
    <row r="338" ht="32" customHeight="1" spans="1:70">
      <c r="A338" s="208">
        <v>336</v>
      </c>
      <c r="B338" s="149" t="s">
        <v>1764</v>
      </c>
      <c r="C338" s="149" t="s">
        <v>1674</v>
      </c>
      <c r="D338" s="149" t="s">
        <v>1733</v>
      </c>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D338" s="149"/>
      <c r="AE338" s="161"/>
      <c r="AF338" s="149"/>
      <c r="AG338" s="149"/>
      <c r="AH338" s="149"/>
      <c r="AI338" s="149"/>
      <c r="AJ338" s="161"/>
      <c r="AK338" s="149"/>
      <c r="AL338" s="149"/>
      <c r="AM338" s="149"/>
      <c r="AN338" s="149"/>
      <c r="AO338" s="149"/>
      <c r="AP338" s="149"/>
      <c r="AR338" s="149"/>
      <c r="AS338" s="149"/>
      <c r="AT338" s="149"/>
      <c r="AU338" s="149"/>
      <c r="AV338" s="149"/>
      <c r="AW338" s="149"/>
      <c r="AX338" s="149"/>
      <c r="AY338" s="149"/>
      <c r="AZ338" s="149"/>
      <c r="BA338" s="149"/>
      <c r="BB338" s="149"/>
      <c r="BC338" s="149"/>
      <c r="BD338" s="149"/>
      <c r="BE338" s="149"/>
      <c r="BF338" s="149"/>
      <c r="BG338" s="149"/>
      <c r="BH338" s="149"/>
      <c r="BI338" s="149"/>
      <c r="BJ338" s="149"/>
      <c r="BK338" s="149"/>
      <c r="BL338" s="149"/>
      <c r="BM338" s="149"/>
      <c r="BN338" s="149"/>
      <c r="BO338" s="149"/>
      <c r="BP338" s="149"/>
      <c r="BQ338" s="149"/>
      <c r="BR338" s="149"/>
    </row>
    <row r="339" ht="32" customHeight="1" spans="1:70">
      <c r="A339" s="208">
        <v>337</v>
      </c>
      <c r="B339" s="149" t="s">
        <v>1765</v>
      </c>
      <c r="C339" s="149" t="s">
        <v>1674</v>
      </c>
      <c r="D339" s="149" t="s">
        <v>1733</v>
      </c>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D339" s="149"/>
      <c r="AE339" s="161"/>
      <c r="AF339" s="149"/>
      <c r="AG339" s="149"/>
      <c r="AH339" s="149"/>
      <c r="AI339" s="149"/>
      <c r="AJ339" s="161"/>
      <c r="AK339" s="149"/>
      <c r="AL339" s="149"/>
      <c r="AM339" s="149"/>
      <c r="AN339" s="149"/>
      <c r="AO339" s="149"/>
      <c r="AP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ht="32" customHeight="1" spans="1:70">
      <c r="A340" s="208">
        <v>338</v>
      </c>
      <c r="B340" s="149" t="s">
        <v>1766</v>
      </c>
      <c r="C340" s="149" t="s">
        <v>1674</v>
      </c>
      <c r="D340" s="149" t="s">
        <v>1733</v>
      </c>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D340" s="149"/>
      <c r="AE340" s="161"/>
      <c r="AF340" s="149"/>
      <c r="AG340" s="149"/>
      <c r="AH340" s="149"/>
      <c r="AI340" s="149"/>
      <c r="AJ340" s="161"/>
      <c r="AK340" s="149"/>
      <c r="AL340" s="149"/>
      <c r="AM340" s="149"/>
      <c r="AN340" s="149"/>
      <c r="AO340" s="149"/>
      <c r="AP340" s="149"/>
      <c r="AR340" s="149"/>
      <c r="AS340" s="149"/>
      <c r="AT340" s="149"/>
      <c r="AU340" s="149"/>
      <c r="AV340" s="149"/>
      <c r="AW340" s="149"/>
      <c r="AX340" s="149"/>
      <c r="AY340" s="149"/>
      <c r="AZ340" s="149"/>
      <c r="BA340" s="149"/>
      <c r="BB340" s="149"/>
      <c r="BC340" s="149"/>
      <c r="BD340" s="149"/>
      <c r="BE340" s="149"/>
      <c r="BF340" s="149"/>
      <c r="BG340" s="149"/>
      <c r="BH340" s="149"/>
      <c r="BI340" s="149"/>
      <c r="BJ340" s="149"/>
      <c r="BK340" s="149"/>
      <c r="BL340" s="149"/>
      <c r="BM340" s="149"/>
      <c r="BN340" s="149"/>
      <c r="BO340" s="149"/>
      <c r="BP340" s="149"/>
      <c r="BQ340" s="149"/>
      <c r="BR340" s="149"/>
    </row>
    <row r="341" ht="32" customHeight="1" spans="1:70">
      <c r="A341" s="208">
        <v>339</v>
      </c>
      <c r="B341" s="149" t="s">
        <v>1767</v>
      </c>
      <c r="C341" s="149" t="s">
        <v>1674</v>
      </c>
      <c r="D341" s="149" t="s">
        <v>1733</v>
      </c>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D341" s="149"/>
      <c r="AE341" s="161"/>
      <c r="AF341" s="149"/>
      <c r="AG341" s="149"/>
      <c r="AH341" s="149"/>
      <c r="AI341" s="149"/>
      <c r="AJ341" s="161"/>
      <c r="AK341" s="149"/>
      <c r="AL341" s="149"/>
      <c r="AM341" s="149"/>
      <c r="AN341" s="149"/>
      <c r="AO341" s="149"/>
      <c r="AP341" s="149"/>
      <c r="AR341" s="149"/>
      <c r="AS341" s="149"/>
      <c r="AT341" s="149"/>
      <c r="AU341" s="149"/>
      <c r="AV341" s="149"/>
      <c r="AW341" s="149"/>
      <c r="AX341" s="149"/>
      <c r="AY341" s="149"/>
      <c r="AZ341" s="149"/>
      <c r="BA341" s="149"/>
      <c r="BB341" s="149"/>
      <c r="BC341" s="149"/>
      <c r="BD341" s="149"/>
      <c r="BE341" s="149"/>
      <c r="BF341" s="149"/>
      <c r="BG341" s="149"/>
      <c r="BH341" s="149"/>
      <c r="BI341" s="149"/>
      <c r="BJ341" s="149"/>
      <c r="BK341" s="149"/>
      <c r="BL341" s="149"/>
      <c r="BM341" s="149"/>
      <c r="BN341" s="149"/>
      <c r="BO341" s="149"/>
      <c r="BP341" s="149"/>
      <c r="BQ341" s="149"/>
      <c r="BR341" s="149"/>
    </row>
    <row r="342" ht="32" customHeight="1" spans="1:70">
      <c r="A342" s="208">
        <v>340</v>
      </c>
      <c r="B342" s="149" t="s">
        <v>1768</v>
      </c>
      <c r="C342" s="149" t="s">
        <v>1674</v>
      </c>
      <c r="D342" s="149" t="s">
        <v>1733</v>
      </c>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D342" s="149"/>
      <c r="AE342" s="161"/>
      <c r="AF342" s="149"/>
      <c r="AG342" s="149"/>
      <c r="AH342" s="149"/>
      <c r="AI342" s="149"/>
      <c r="AJ342" s="161"/>
      <c r="AK342" s="149"/>
      <c r="AL342" s="149"/>
      <c r="AM342" s="149"/>
      <c r="AN342" s="149"/>
      <c r="AO342" s="149"/>
      <c r="AP342" s="149"/>
      <c r="AR342" s="149"/>
      <c r="AS342" s="149"/>
      <c r="AT342" s="149"/>
      <c r="AU342" s="149"/>
      <c r="AV342" s="149"/>
      <c r="AW342" s="149"/>
      <c r="AX342" s="149"/>
      <c r="AY342" s="149"/>
      <c r="AZ342" s="149"/>
      <c r="BA342" s="149"/>
      <c r="BB342" s="149"/>
      <c r="BC342" s="149"/>
      <c r="BD342" s="149"/>
      <c r="BE342" s="149"/>
      <c r="BF342" s="149"/>
      <c r="BG342" s="149"/>
      <c r="BH342" s="149"/>
      <c r="BI342" s="149"/>
      <c r="BJ342" s="149"/>
      <c r="BK342" s="149"/>
      <c r="BL342" s="149"/>
      <c r="BM342" s="149"/>
      <c r="BN342" s="149"/>
      <c r="BO342" s="149"/>
      <c r="BP342" s="149"/>
      <c r="BQ342" s="149"/>
      <c r="BR342" s="149"/>
    </row>
    <row r="343" ht="32" customHeight="1" spans="1:70">
      <c r="A343" s="208">
        <v>341</v>
      </c>
      <c r="B343" s="149" t="s">
        <v>1769</v>
      </c>
      <c r="C343" s="149" t="s">
        <v>1674</v>
      </c>
      <c r="D343" s="149" t="s">
        <v>1733</v>
      </c>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D343" s="149"/>
      <c r="AE343" s="161"/>
      <c r="AF343" s="149"/>
      <c r="AG343" s="149"/>
      <c r="AH343" s="149"/>
      <c r="AI343" s="149"/>
      <c r="AJ343" s="161"/>
      <c r="AK343" s="149"/>
      <c r="AL343" s="149"/>
      <c r="AM343" s="149"/>
      <c r="AN343" s="149"/>
      <c r="AO343" s="149"/>
      <c r="AP343" s="149"/>
      <c r="AR343" s="149"/>
      <c r="AS343" s="149"/>
      <c r="AT343" s="149"/>
      <c r="AU343" s="149"/>
      <c r="AV343" s="149"/>
      <c r="AW343" s="149"/>
      <c r="AX343" s="149"/>
      <c r="AY343" s="149"/>
      <c r="AZ343" s="149"/>
      <c r="BA343" s="149"/>
      <c r="BB343" s="149"/>
      <c r="BC343" s="149"/>
      <c r="BD343" s="149"/>
      <c r="BE343" s="149"/>
      <c r="BF343" s="149"/>
      <c r="BG343" s="149"/>
      <c r="BH343" s="149"/>
      <c r="BI343" s="149"/>
      <c r="BJ343" s="149"/>
      <c r="BK343" s="149"/>
      <c r="BL343" s="149"/>
      <c r="BM343" s="149"/>
      <c r="BN343" s="149"/>
      <c r="BO343" s="149"/>
      <c r="BP343" s="149"/>
      <c r="BQ343" s="149"/>
      <c r="BR343" s="149"/>
    </row>
    <row r="344" ht="32" customHeight="1" spans="1:70">
      <c r="A344" s="208">
        <v>342</v>
      </c>
      <c r="B344" s="149" t="s">
        <v>1770</v>
      </c>
      <c r="C344" s="149" t="s">
        <v>1674</v>
      </c>
      <c r="D344" s="149" t="s">
        <v>1733</v>
      </c>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D344" s="149"/>
      <c r="AE344" s="161"/>
      <c r="AF344" s="149"/>
      <c r="AG344" s="149"/>
      <c r="AH344" s="149"/>
      <c r="AI344" s="149"/>
      <c r="AJ344" s="161"/>
      <c r="AK344" s="149"/>
      <c r="AL344" s="149"/>
      <c r="AM344" s="149"/>
      <c r="AN344" s="149"/>
      <c r="AO344" s="149"/>
      <c r="AP344" s="149"/>
      <c r="AR344" s="149"/>
      <c r="AS344" s="149"/>
      <c r="AT344" s="149"/>
      <c r="AU344" s="149"/>
      <c r="AV344" s="149"/>
      <c r="AW344" s="149"/>
      <c r="AX344" s="149"/>
      <c r="AY344" s="149"/>
      <c r="AZ344" s="149"/>
      <c r="BA344" s="149"/>
      <c r="BB344" s="149"/>
      <c r="BC344" s="149"/>
      <c r="BD344" s="149"/>
      <c r="BE344" s="149"/>
      <c r="BF344" s="149"/>
      <c r="BG344" s="149"/>
      <c r="BH344" s="149"/>
      <c r="BI344" s="149"/>
      <c r="BJ344" s="149"/>
      <c r="BK344" s="149"/>
      <c r="BL344" s="149"/>
      <c r="BM344" s="149"/>
      <c r="BN344" s="149"/>
      <c r="BO344" s="149"/>
      <c r="BP344" s="149"/>
      <c r="BQ344" s="149"/>
      <c r="BR344" s="149"/>
    </row>
    <row r="345" ht="32" customHeight="1" spans="1:70">
      <c r="A345" s="208">
        <v>343</v>
      </c>
      <c r="B345" s="149" t="s">
        <v>1771</v>
      </c>
      <c r="C345" s="149" t="s">
        <v>1674</v>
      </c>
      <c r="D345" s="149" t="s">
        <v>1772</v>
      </c>
      <c r="E345" s="212"/>
      <c r="F345" s="149"/>
      <c r="G345" s="149"/>
      <c r="H345" s="149">
        <v>10</v>
      </c>
      <c r="I345" s="149" t="s">
        <v>1773</v>
      </c>
      <c r="J345" s="149" t="s">
        <v>1774</v>
      </c>
      <c r="K345" s="149">
        <v>15961290231</v>
      </c>
      <c r="L345" s="149"/>
      <c r="M345" s="149"/>
      <c r="N345" s="149"/>
      <c r="O345" s="149"/>
      <c r="P345" s="149"/>
      <c r="Q345" s="149"/>
      <c r="R345" s="149"/>
      <c r="S345" s="149"/>
      <c r="T345" s="149"/>
      <c r="U345" s="149"/>
      <c r="V345" s="149"/>
      <c r="W345" s="149"/>
      <c r="X345" s="149"/>
      <c r="Y345" s="149"/>
      <c r="Z345" s="149"/>
      <c r="AA345" s="149"/>
      <c r="AB345" s="149"/>
      <c r="AD345" s="149"/>
      <c r="AE345" s="161"/>
      <c r="AF345" s="149"/>
      <c r="AG345" s="149"/>
      <c r="AH345" s="149"/>
      <c r="AI345" s="149"/>
      <c r="AJ345" s="161"/>
      <c r="AK345" s="149"/>
      <c r="AL345" s="149"/>
      <c r="AM345" s="149"/>
      <c r="AN345" s="149" t="s">
        <v>1775</v>
      </c>
      <c r="AO345" s="149"/>
      <c r="AP345" s="149"/>
      <c r="AR345" s="149"/>
      <c r="AS345" s="149"/>
      <c r="AT345" s="149"/>
      <c r="AU345" s="149"/>
      <c r="AV345" s="149"/>
      <c r="AW345" s="149"/>
      <c r="AX345" s="207" t="s">
        <v>85</v>
      </c>
      <c r="AY345" s="149"/>
      <c r="AZ345" s="209" t="s">
        <v>85</v>
      </c>
      <c r="BA345" s="149" t="s">
        <v>85</v>
      </c>
      <c r="BB345" s="149"/>
      <c r="BC345" s="149" t="s">
        <v>1776</v>
      </c>
      <c r="BD345" s="149"/>
      <c r="BE345" s="149"/>
      <c r="BF345" s="149"/>
      <c r="BG345" s="149"/>
      <c r="BH345" s="149"/>
      <c r="BI345" s="149"/>
      <c r="BJ345" s="149"/>
      <c r="BK345" s="149" t="s">
        <v>1777</v>
      </c>
      <c r="BL345" s="149" t="s">
        <v>88</v>
      </c>
      <c r="BM345" s="149"/>
      <c r="BN345" s="149" t="s">
        <v>413</v>
      </c>
      <c r="BO345" s="149" t="s">
        <v>1778</v>
      </c>
      <c r="BP345" s="149" t="s">
        <v>1779</v>
      </c>
      <c r="BQ345" s="149"/>
      <c r="BR345" s="149" t="s">
        <v>1092</v>
      </c>
    </row>
    <row r="346" ht="32" customHeight="1" spans="1:70">
      <c r="A346" s="189">
        <v>344</v>
      </c>
      <c r="B346" s="207" t="s">
        <v>1780</v>
      </c>
      <c r="C346" s="207" t="s">
        <v>1674</v>
      </c>
      <c r="D346" s="207" t="s">
        <v>1680</v>
      </c>
      <c r="E346" s="207"/>
      <c r="F346" s="207" t="s">
        <v>310</v>
      </c>
      <c r="G346" s="207" t="s">
        <v>1650</v>
      </c>
      <c r="H346" s="189">
        <v>55</v>
      </c>
      <c r="I346" s="207" t="s">
        <v>1781</v>
      </c>
      <c r="J346" s="207"/>
      <c r="K346" s="207"/>
      <c r="L346" s="207"/>
      <c r="M346" s="207" t="s">
        <v>1650</v>
      </c>
      <c r="N346" s="207" t="s">
        <v>1782</v>
      </c>
      <c r="O346" s="207"/>
      <c r="P346" s="207" t="s">
        <v>1783</v>
      </c>
      <c r="Q346" s="207" t="s">
        <v>1784</v>
      </c>
      <c r="R346" s="207" t="s">
        <v>1785</v>
      </c>
      <c r="S346" s="207"/>
      <c r="T346" s="207"/>
      <c r="U346" s="207"/>
      <c r="V346" s="207"/>
      <c r="W346" s="207"/>
      <c r="X346" s="207"/>
      <c r="Y346" s="207"/>
      <c r="Z346" s="207" t="s">
        <v>85</v>
      </c>
      <c r="AA346" s="207" t="s">
        <v>85</v>
      </c>
      <c r="AB346" s="207"/>
      <c r="AC346" s="207"/>
      <c r="AD346" s="207">
        <v>5000</v>
      </c>
      <c r="AE346" s="225" t="s">
        <v>85</v>
      </c>
      <c r="AF346" s="207" t="s">
        <v>1184</v>
      </c>
      <c r="AG346" s="207"/>
      <c r="AH346" s="207"/>
      <c r="AI346" s="207"/>
      <c r="AJ346" s="225"/>
      <c r="AK346" s="207" t="s">
        <v>1786</v>
      </c>
      <c r="AL346" s="207" t="s">
        <v>1787</v>
      </c>
      <c r="AM346" s="207"/>
      <c r="AN346" s="207"/>
      <c r="AO346" s="207"/>
      <c r="AP346" s="207"/>
      <c r="AR346" s="207"/>
      <c r="AS346" s="207"/>
      <c r="AT346" s="207" t="s">
        <v>85</v>
      </c>
      <c r="AU346" s="207"/>
      <c r="AV346" s="207"/>
      <c r="AW346" s="207"/>
      <c r="AX346" s="207"/>
      <c r="AY346" s="207"/>
      <c r="AZ346" s="207"/>
      <c r="BA346" s="207" t="s">
        <v>1788</v>
      </c>
      <c r="BB346" s="207"/>
      <c r="BC346" s="207"/>
      <c r="BD346" s="207"/>
      <c r="BE346" s="207"/>
      <c r="BF346" s="207"/>
      <c r="BG346" s="207"/>
      <c r="BH346" s="207"/>
      <c r="BI346" s="207"/>
      <c r="BJ346" s="207"/>
      <c r="BK346" s="221" t="s">
        <v>1789</v>
      </c>
      <c r="BL346" s="207" t="s">
        <v>88</v>
      </c>
      <c r="BM346" s="207"/>
      <c r="BN346" s="207"/>
      <c r="BO346" s="207"/>
      <c r="BP346" s="207"/>
      <c r="BQ346" s="207"/>
      <c r="BR346" s="207" t="s">
        <v>1790</v>
      </c>
    </row>
    <row r="347" ht="32" customHeight="1" spans="1:70">
      <c r="A347" s="189">
        <v>345</v>
      </c>
      <c r="B347" s="207" t="s">
        <v>1791</v>
      </c>
      <c r="C347" s="207" t="s">
        <v>1674</v>
      </c>
      <c r="D347" s="207" t="s">
        <v>1792</v>
      </c>
      <c r="E347" s="207"/>
      <c r="F347" s="207" t="s">
        <v>80</v>
      </c>
      <c r="G347" s="207" t="s">
        <v>1793</v>
      </c>
      <c r="H347" s="207"/>
      <c r="I347" s="207"/>
      <c r="J347" s="207" t="s">
        <v>1794</v>
      </c>
      <c r="K347" s="207">
        <v>15295178068</v>
      </c>
      <c r="L347" s="207"/>
      <c r="M347" s="207" t="s">
        <v>1795</v>
      </c>
      <c r="N347" s="207"/>
      <c r="O347" s="207"/>
      <c r="P347" s="207"/>
      <c r="Q347" s="207" t="s">
        <v>448</v>
      </c>
      <c r="R347" s="207"/>
      <c r="S347" s="207"/>
      <c r="T347" s="207"/>
      <c r="U347" s="207"/>
      <c r="V347" s="207"/>
      <c r="W347" s="207"/>
      <c r="X347" s="207"/>
      <c r="Y347" s="207"/>
      <c r="Z347" s="207"/>
      <c r="AA347" s="207"/>
      <c r="AB347" s="207"/>
      <c r="AC347" s="207"/>
      <c r="AD347" s="207"/>
      <c r="AE347" s="225"/>
      <c r="AF347" s="207"/>
      <c r="AG347" s="207"/>
      <c r="AH347" s="207"/>
      <c r="AI347" s="207"/>
      <c r="AJ347" s="225"/>
      <c r="AK347" s="207"/>
      <c r="AL347" s="207"/>
      <c r="AM347" s="207"/>
      <c r="AN347" s="207"/>
      <c r="AO347" s="207"/>
      <c r="AP347" s="207"/>
      <c r="AR347" s="207"/>
      <c r="AS347" s="207"/>
      <c r="AT347" s="207"/>
      <c r="AU347" s="207"/>
      <c r="AV347" s="207"/>
      <c r="AW347" s="207"/>
      <c r="AX347" s="207"/>
      <c r="AY347" s="207"/>
      <c r="AZ347" s="207"/>
      <c r="BA347" s="207"/>
      <c r="BB347" s="207"/>
      <c r="BC347" s="207"/>
      <c r="BD347" s="207"/>
      <c r="BE347" s="207"/>
      <c r="BF347" s="207"/>
      <c r="BG347" s="207"/>
      <c r="BH347" s="207"/>
      <c r="BI347" s="207"/>
      <c r="BJ347" s="207"/>
      <c r="BK347" s="207"/>
      <c r="BL347" s="207"/>
      <c r="BM347" s="207"/>
      <c r="BN347" s="207"/>
      <c r="BO347" s="207" t="s">
        <v>394</v>
      </c>
      <c r="BP347" s="207"/>
      <c r="BQ347" s="207"/>
      <c r="BR347" s="207"/>
    </row>
    <row r="348" ht="32" customHeight="1" spans="1:70">
      <c r="A348" s="204">
        <v>346</v>
      </c>
      <c r="B348" s="205" t="s">
        <v>1796</v>
      </c>
      <c r="C348" s="205" t="s">
        <v>1674</v>
      </c>
      <c r="D348" s="205" t="s">
        <v>1797</v>
      </c>
      <c r="E348" s="205"/>
      <c r="F348" s="205" t="s">
        <v>291</v>
      </c>
      <c r="G348" s="205" t="s">
        <v>1798</v>
      </c>
      <c r="H348" s="205"/>
      <c r="I348" s="205"/>
      <c r="J348" s="205" t="s">
        <v>1799</v>
      </c>
      <c r="K348" s="205">
        <v>13701504812</v>
      </c>
      <c r="L348" s="205"/>
      <c r="M348" s="205" t="s">
        <v>1800</v>
      </c>
      <c r="N348" s="205"/>
      <c r="O348" s="205"/>
      <c r="P348" s="205"/>
      <c r="Q348" s="205"/>
      <c r="R348" s="205"/>
      <c r="S348" s="205"/>
      <c r="T348" s="205"/>
      <c r="U348" s="205"/>
      <c r="V348" s="205"/>
      <c r="W348" s="205"/>
      <c r="X348" s="205"/>
      <c r="Y348" s="205"/>
      <c r="Z348" s="205"/>
      <c r="AA348" s="205"/>
      <c r="AB348" s="205"/>
      <c r="AD348" s="205"/>
      <c r="AE348" s="161"/>
      <c r="AF348" s="205"/>
      <c r="AG348" s="205"/>
      <c r="AH348" s="205"/>
      <c r="AI348" s="205"/>
      <c r="AJ348" s="161"/>
      <c r="AK348" s="205"/>
      <c r="AL348" s="205"/>
      <c r="AM348" s="205"/>
      <c r="AN348" s="205"/>
      <c r="AO348" s="205"/>
      <c r="AP348" s="205"/>
      <c r="AR348" s="205"/>
      <c r="AS348" s="205"/>
      <c r="AT348" s="205"/>
      <c r="AU348" s="205"/>
      <c r="AV348" s="205"/>
      <c r="AW348" s="205"/>
      <c r="AX348" s="205"/>
      <c r="AY348" s="205"/>
      <c r="AZ348" s="205"/>
      <c r="BA348" s="205"/>
      <c r="BB348" s="205"/>
      <c r="BC348" s="205"/>
      <c r="BD348" s="205"/>
      <c r="BE348" s="205"/>
      <c r="BF348" s="205"/>
      <c r="BG348" s="205"/>
      <c r="BH348" s="205"/>
      <c r="BI348" s="205"/>
      <c r="BJ348" s="205"/>
      <c r="BK348" s="205"/>
      <c r="BL348" s="205"/>
      <c r="BM348" s="205"/>
      <c r="BN348" s="205"/>
      <c r="BO348" s="205" t="s">
        <v>394</v>
      </c>
      <c r="BP348" s="205"/>
      <c r="BQ348" s="205"/>
      <c r="BR348" s="205"/>
    </row>
    <row r="349" ht="32" customHeight="1" spans="1:70">
      <c r="A349" s="208">
        <v>347</v>
      </c>
      <c r="B349" s="149" t="s">
        <v>1801</v>
      </c>
      <c r="C349" s="149" t="s">
        <v>1674</v>
      </c>
      <c r="D349" s="149" t="s">
        <v>1802</v>
      </c>
      <c r="E349" s="149"/>
      <c r="F349" s="149" t="s">
        <v>291</v>
      </c>
      <c r="G349" s="149" t="s">
        <v>430</v>
      </c>
      <c r="H349" s="149"/>
      <c r="I349" s="149"/>
      <c r="J349" s="149" t="s">
        <v>1803</v>
      </c>
      <c r="K349" s="149">
        <v>18362009520</v>
      </c>
      <c r="L349" s="149"/>
      <c r="M349" s="149" t="s">
        <v>1804</v>
      </c>
      <c r="N349" s="149"/>
      <c r="O349" s="149"/>
      <c r="P349" s="149"/>
      <c r="Q349" s="149"/>
      <c r="R349" s="149"/>
      <c r="S349" s="149"/>
      <c r="T349" s="149"/>
      <c r="U349" s="149"/>
      <c r="V349" s="149"/>
      <c r="W349" s="149"/>
      <c r="X349" s="149"/>
      <c r="Y349" s="149"/>
      <c r="Z349" s="149"/>
      <c r="AA349" s="149"/>
      <c r="AB349" s="149"/>
      <c r="AD349" s="149"/>
      <c r="AE349" s="161"/>
      <c r="AF349" s="149"/>
      <c r="AG349" s="149"/>
      <c r="AH349" s="149"/>
      <c r="AI349" s="149"/>
      <c r="AJ349" s="161"/>
      <c r="AK349" s="149"/>
      <c r="AL349" s="149"/>
      <c r="AM349" s="149"/>
      <c r="AN349" s="149"/>
      <c r="AO349" s="149"/>
      <c r="AP349" s="149"/>
      <c r="AR349" s="149"/>
      <c r="AS349" s="149"/>
      <c r="AT349" s="149"/>
      <c r="AU349" s="149"/>
      <c r="AV349" s="149"/>
      <c r="AW349" s="149"/>
      <c r="AX349" s="149"/>
      <c r="AY349" s="149"/>
      <c r="AZ349" s="149"/>
      <c r="BA349" s="149"/>
      <c r="BB349" s="149"/>
      <c r="BC349" s="149"/>
      <c r="BD349" s="149"/>
      <c r="BE349" s="149"/>
      <c r="BF349" s="149"/>
      <c r="BG349" s="149"/>
      <c r="BH349" s="149"/>
      <c r="BI349" s="149"/>
      <c r="BJ349" s="149"/>
      <c r="BK349" s="149"/>
      <c r="BL349" s="149"/>
      <c r="BM349" s="149"/>
      <c r="BN349" s="149"/>
      <c r="BO349" s="149" t="s">
        <v>394</v>
      </c>
      <c r="BP349" s="149"/>
      <c r="BQ349" s="149"/>
      <c r="BR349" s="149"/>
    </row>
    <row r="350" ht="40.25" customHeight="1" spans="1:70">
      <c r="A350" s="189">
        <v>348</v>
      </c>
      <c r="B350" s="207" t="s">
        <v>1805</v>
      </c>
      <c r="C350" s="207" t="s">
        <v>1674</v>
      </c>
      <c r="D350" s="207" t="s">
        <v>1806</v>
      </c>
      <c r="E350" s="207"/>
      <c r="F350" s="207" t="s">
        <v>156</v>
      </c>
      <c r="G350" s="207" t="s">
        <v>1807</v>
      </c>
      <c r="H350" s="207"/>
      <c r="I350" s="207">
        <v>500</v>
      </c>
      <c r="J350" s="207" t="s">
        <v>1808</v>
      </c>
      <c r="K350" s="207">
        <v>13861222852</v>
      </c>
      <c r="L350" s="207"/>
      <c r="M350" s="207" t="s">
        <v>1809</v>
      </c>
      <c r="N350" s="207"/>
      <c r="O350" s="207"/>
      <c r="P350" s="207"/>
      <c r="Q350" s="207" t="s">
        <v>1810</v>
      </c>
      <c r="R350" s="207" t="s">
        <v>116</v>
      </c>
      <c r="S350" s="207"/>
      <c r="T350" s="207"/>
      <c r="U350" s="207"/>
      <c r="V350" s="207"/>
      <c r="W350" s="207"/>
      <c r="X350" s="207"/>
      <c r="Y350" s="207"/>
      <c r="Z350" s="207"/>
      <c r="AA350" s="207"/>
      <c r="AB350" s="207"/>
      <c r="AC350" s="207"/>
      <c r="AD350" s="207"/>
      <c r="AE350" s="225"/>
      <c r="AF350" s="207"/>
      <c r="AG350" s="207"/>
      <c r="AH350" s="207"/>
      <c r="AI350" s="207"/>
      <c r="AJ350" s="225"/>
      <c r="AK350" s="207"/>
      <c r="AL350" s="207"/>
      <c r="AM350" s="207"/>
      <c r="AN350" s="207"/>
      <c r="AO350" s="207"/>
      <c r="AP350" s="207"/>
      <c r="AR350" s="207"/>
      <c r="AS350" s="207"/>
      <c r="AT350" s="207"/>
      <c r="AU350" s="207"/>
      <c r="AV350" s="207"/>
      <c r="AW350" s="207"/>
      <c r="AX350" s="207"/>
      <c r="AY350" s="207"/>
      <c r="AZ350" s="207"/>
      <c r="BA350" s="207"/>
      <c r="BB350" s="207"/>
      <c r="BC350" s="207"/>
      <c r="BD350" s="207"/>
      <c r="BE350" s="207"/>
      <c r="BF350" s="207"/>
      <c r="BG350" s="207"/>
      <c r="BH350" s="207"/>
      <c r="BI350" s="207"/>
      <c r="BJ350" s="207"/>
      <c r="BK350" s="207"/>
      <c r="BL350" s="207"/>
      <c r="BM350" s="207"/>
      <c r="BN350" s="207"/>
      <c r="BO350" s="207"/>
      <c r="BP350" s="207"/>
      <c r="BQ350" s="207"/>
      <c r="BR350" s="207"/>
    </row>
    <row r="351" ht="60" customHeight="1" spans="1:70">
      <c r="A351" s="204">
        <v>349</v>
      </c>
      <c r="B351" s="246" t="s">
        <v>1811</v>
      </c>
      <c r="C351" s="205" t="s">
        <v>1812</v>
      </c>
      <c r="D351" s="205" t="s">
        <v>1813</v>
      </c>
      <c r="E351" s="210" t="s">
        <v>205</v>
      </c>
      <c r="F351" s="205" t="s">
        <v>80</v>
      </c>
      <c r="G351" s="205" t="s">
        <v>520</v>
      </c>
      <c r="H351" s="205">
        <v>400</v>
      </c>
      <c r="I351" s="205">
        <v>3000</v>
      </c>
      <c r="J351" s="205"/>
      <c r="K351" s="205"/>
      <c r="L351" s="205"/>
      <c r="M351" s="205"/>
      <c r="N351" s="205"/>
      <c r="O351" s="205"/>
      <c r="P351" s="205"/>
      <c r="Q351" s="205"/>
      <c r="R351" s="205"/>
      <c r="S351" s="205"/>
      <c r="T351" s="205"/>
      <c r="U351" s="205"/>
      <c r="V351" s="205"/>
      <c r="W351" s="205"/>
      <c r="X351" s="205"/>
      <c r="Y351" s="205"/>
      <c r="Z351" s="205"/>
      <c r="AA351" s="205"/>
      <c r="AB351" s="205"/>
      <c r="AD351" s="205"/>
      <c r="AE351" s="161"/>
      <c r="AF351" s="205"/>
      <c r="AG351" s="205"/>
      <c r="AH351" s="205"/>
      <c r="AI351" s="205"/>
      <c r="AJ351" s="161"/>
      <c r="AK351" s="205"/>
      <c r="AL351" s="205"/>
      <c r="AM351" s="205"/>
      <c r="AN351" s="205"/>
      <c r="AO351" s="205"/>
      <c r="AP351" s="205"/>
      <c r="AR351" s="205"/>
      <c r="AS351" s="205"/>
      <c r="AT351" s="205"/>
      <c r="AU351" s="205"/>
      <c r="AV351" s="205"/>
      <c r="AW351" s="205"/>
      <c r="AX351" s="205"/>
      <c r="AY351" s="205"/>
      <c r="AZ351" s="205"/>
      <c r="BA351" s="205"/>
      <c r="BB351" s="205"/>
      <c r="BC351" s="205"/>
      <c r="BD351" s="205"/>
      <c r="BE351" s="205"/>
      <c r="BF351" s="205"/>
      <c r="BG351" s="205"/>
      <c r="BH351" s="205"/>
      <c r="BI351" s="205"/>
      <c r="BJ351" s="205"/>
      <c r="BK351" s="205"/>
      <c r="BL351" s="205"/>
      <c r="BM351" s="205"/>
      <c r="BN351" s="205"/>
      <c r="BO351" s="205"/>
      <c r="BP351" s="205"/>
      <c r="BQ351" s="205"/>
      <c r="BR351" s="205"/>
    </row>
    <row r="352" s="183" customFormat="1" ht="31" customHeight="1" spans="1:70">
      <c r="A352" s="208">
        <v>350</v>
      </c>
      <c r="B352" s="247" t="s">
        <v>1814</v>
      </c>
      <c r="C352" s="247" t="s">
        <v>1815</v>
      </c>
      <c r="D352" s="212" t="s">
        <v>1816</v>
      </c>
      <c r="E352" s="212" t="s">
        <v>219</v>
      </c>
      <c r="F352" s="149" t="s">
        <v>80</v>
      </c>
      <c r="G352" s="212" t="s">
        <v>520</v>
      </c>
      <c r="H352" s="212">
        <v>7</v>
      </c>
      <c r="I352" s="212"/>
      <c r="J352" s="212" t="s">
        <v>1817</v>
      </c>
      <c r="K352" s="212"/>
      <c r="L352" s="212"/>
      <c r="M352" s="212" t="s">
        <v>1818</v>
      </c>
      <c r="N352" s="212"/>
      <c r="O352" s="212"/>
      <c r="P352" s="212"/>
      <c r="Q352" s="212"/>
      <c r="R352" s="212"/>
      <c r="S352" s="212"/>
      <c r="T352" s="212"/>
      <c r="U352" s="212"/>
      <c r="V352" s="212"/>
      <c r="W352" s="212"/>
      <c r="X352" s="212"/>
      <c r="Y352" s="289" t="s">
        <v>84</v>
      </c>
      <c r="Z352" s="149" t="s">
        <v>85</v>
      </c>
      <c r="AA352" s="149" t="s">
        <v>85</v>
      </c>
      <c r="AB352" s="149" t="s">
        <v>86</v>
      </c>
      <c r="AD352" s="212"/>
      <c r="AE352" s="161" t="s">
        <v>85</v>
      </c>
      <c r="AF352" s="212" t="s">
        <v>1819</v>
      </c>
      <c r="AG352" s="212"/>
      <c r="AH352" s="212"/>
      <c r="AI352" s="212"/>
      <c r="AK352" s="212"/>
      <c r="AL352" s="212"/>
      <c r="AM352" s="212"/>
      <c r="AN352" s="212"/>
      <c r="AO352" s="212"/>
      <c r="AP352" s="212"/>
      <c r="AR352" s="212"/>
      <c r="AS352" s="212"/>
      <c r="AT352" s="212"/>
      <c r="AU352" s="212"/>
      <c r="AV352" s="212"/>
      <c r="AW352" s="212"/>
      <c r="AX352" s="212"/>
      <c r="AY352" s="212"/>
      <c r="AZ352" s="212"/>
      <c r="BA352" s="212"/>
      <c r="BB352" s="212"/>
      <c r="BC352" s="212"/>
      <c r="BD352" s="212"/>
      <c r="BE352" s="212"/>
      <c r="BF352" s="212"/>
      <c r="BG352" s="212"/>
      <c r="BH352" s="212"/>
      <c r="BI352" s="212"/>
      <c r="BJ352" s="212"/>
      <c r="BK352" s="212"/>
      <c r="BL352" s="212"/>
      <c r="BM352" s="212"/>
      <c r="BN352" s="212"/>
      <c r="BO352" s="212" t="s">
        <v>1820</v>
      </c>
      <c r="BP352" s="212"/>
      <c r="BQ352" s="212"/>
      <c r="BR352" s="212"/>
    </row>
    <row r="353" s="183" customFormat="1" ht="49.75" customHeight="1" spans="1:70">
      <c r="A353" s="189">
        <v>351</v>
      </c>
      <c r="B353" s="209" t="s">
        <v>1821</v>
      </c>
      <c r="C353" s="248" t="s">
        <v>1815</v>
      </c>
      <c r="D353" s="209" t="s">
        <v>1822</v>
      </c>
      <c r="E353" s="209"/>
      <c r="F353" s="207" t="s">
        <v>156</v>
      </c>
      <c r="G353" s="209" t="s">
        <v>879</v>
      </c>
      <c r="H353" s="209">
        <v>10</v>
      </c>
      <c r="I353" s="209" t="s">
        <v>1823</v>
      </c>
      <c r="J353" s="209" t="s">
        <v>1824</v>
      </c>
      <c r="K353" s="209"/>
      <c r="L353" s="209"/>
      <c r="M353" s="209" t="s">
        <v>1825</v>
      </c>
      <c r="N353" s="209"/>
      <c r="O353" s="209"/>
      <c r="P353" s="209"/>
      <c r="Q353" s="209"/>
      <c r="R353" s="209" t="s">
        <v>1826</v>
      </c>
      <c r="S353" s="209"/>
      <c r="T353" s="209"/>
      <c r="U353" s="209"/>
      <c r="V353" s="209"/>
      <c r="W353" s="209"/>
      <c r="X353" s="209"/>
      <c r="Y353" s="288" t="s">
        <v>84</v>
      </c>
      <c r="Z353" s="207" t="s">
        <v>85</v>
      </c>
      <c r="AA353" s="207" t="s">
        <v>85</v>
      </c>
      <c r="AB353" s="207" t="s">
        <v>86</v>
      </c>
      <c r="AC353" s="249"/>
      <c r="AD353" s="209" t="s">
        <v>1827</v>
      </c>
      <c r="AE353" s="225" t="s">
        <v>85</v>
      </c>
      <c r="AF353" s="209" t="s">
        <v>87</v>
      </c>
      <c r="AG353" s="209"/>
      <c r="AH353" s="209"/>
      <c r="AI353" s="209"/>
      <c r="AJ353" s="249"/>
      <c r="AK353" s="209"/>
      <c r="AL353" s="209" t="s">
        <v>1828</v>
      </c>
      <c r="AM353" s="209"/>
      <c r="AN353" s="209"/>
      <c r="AO353" s="209"/>
      <c r="AP353" s="209"/>
      <c r="AR353" s="209"/>
      <c r="AS353" s="209"/>
      <c r="AT353" s="209"/>
      <c r="AU353" s="209"/>
      <c r="AV353" s="207" t="s">
        <v>85</v>
      </c>
      <c r="AW353" s="209"/>
      <c r="AX353" s="209"/>
      <c r="AY353" s="209"/>
      <c r="AZ353" s="209"/>
      <c r="BA353" s="209"/>
      <c r="BB353" s="209"/>
      <c r="BC353" s="209"/>
      <c r="BD353" s="209"/>
      <c r="BE353" s="209"/>
      <c r="BF353" s="209"/>
      <c r="BG353" s="209"/>
      <c r="BH353" s="209"/>
      <c r="BI353" s="209"/>
      <c r="BJ353" s="209"/>
      <c r="BK353" s="209"/>
      <c r="BL353" s="209"/>
      <c r="BM353" s="209"/>
      <c r="BN353" s="209"/>
      <c r="BO353" s="209" t="s">
        <v>1829</v>
      </c>
      <c r="BP353" s="209" t="s">
        <v>1830</v>
      </c>
      <c r="BQ353" s="209"/>
      <c r="BR353" s="209" t="s">
        <v>1831</v>
      </c>
    </row>
    <row r="354" s="183" customFormat="1" ht="64.75" customHeight="1" spans="1:70">
      <c r="A354" s="204">
        <v>352</v>
      </c>
      <c r="B354" s="210" t="s">
        <v>1832</v>
      </c>
      <c r="C354" s="250" t="s">
        <v>1815</v>
      </c>
      <c r="D354" s="210" t="s">
        <v>1833</v>
      </c>
      <c r="E354" s="210" t="s">
        <v>319</v>
      </c>
      <c r="F354" s="205" t="s">
        <v>156</v>
      </c>
      <c r="G354" s="210" t="s">
        <v>379</v>
      </c>
      <c r="H354" s="210"/>
      <c r="I354" s="210"/>
      <c r="J354" s="210"/>
      <c r="K354" s="210"/>
      <c r="L354" s="210"/>
      <c r="M354" s="210"/>
      <c r="N354" s="210"/>
      <c r="O354" s="210"/>
      <c r="P354" s="210"/>
      <c r="Q354" s="210"/>
      <c r="R354" s="210"/>
      <c r="S354" s="210"/>
      <c r="T354" s="210"/>
      <c r="U354" s="210"/>
      <c r="V354" s="210"/>
      <c r="W354" s="210"/>
      <c r="X354" s="210"/>
      <c r="Y354" s="210"/>
      <c r="Z354" s="210"/>
      <c r="AA354" s="210"/>
      <c r="AB354" s="210"/>
      <c r="AC354" s="210"/>
      <c r="AD354" s="210"/>
      <c r="AE354" s="210"/>
      <c r="AF354" s="210"/>
      <c r="AG354" s="210"/>
      <c r="AH354" s="210"/>
      <c r="AI354" s="210"/>
      <c r="AJ354" s="210"/>
      <c r="AK354" s="210"/>
      <c r="AL354" s="210"/>
      <c r="AM354" s="210"/>
      <c r="AN354" s="210"/>
      <c r="AO354" s="210"/>
      <c r="AP354" s="210"/>
      <c r="AR354" s="210"/>
      <c r="AS354" s="210"/>
      <c r="AT354" s="210"/>
      <c r="AU354" s="210"/>
      <c r="AV354" s="210"/>
      <c r="AW354" s="210"/>
      <c r="AX354" s="210"/>
      <c r="AY354" s="210"/>
      <c r="AZ354" s="210"/>
      <c r="BA354" s="210"/>
      <c r="BB354" s="210"/>
      <c r="BC354" s="210"/>
      <c r="BD354" s="210"/>
      <c r="BE354" s="210"/>
      <c r="BF354" s="210"/>
      <c r="BG354" s="210"/>
      <c r="BH354" s="210"/>
      <c r="BI354" s="210"/>
      <c r="BJ354" s="210"/>
      <c r="BK354" s="210"/>
      <c r="BL354" s="210"/>
      <c r="BM354" s="210"/>
      <c r="BN354" s="210"/>
      <c r="BO354" s="210"/>
      <c r="BP354" s="210"/>
      <c r="BQ354" s="210"/>
      <c r="BR354" s="210"/>
    </row>
    <row r="355" s="183" customFormat="1" ht="58.25" customHeight="1" spans="1:70">
      <c r="A355" s="208">
        <v>353</v>
      </c>
      <c r="B355" s="212" t="s">
        <v>1834</v>
      </c>
      <c r="C355" s="247" t="s">
        <v>1815</v>
      </c>
      <c r="D355" s="212" t="s">
        <v>1835</v>
      </c>
      <c r="E355" s="212"/>
      <c r="F355" s="212"/>
      <c r="G355" s="212" t="s">
        <v>1836</v>
      </c>
      <c r="H355" s="212"/>
      <c r="I355" s="212"/>
      <c r="J355" s="212" t="s">
        <v>1837</v>
      </c>
      <c r="K355" s="212"/>
      <c r="L355" s="212"/>
      <c r="M355" s="212"/>
      <c r="N355" s="212"/>
      <c r="O355" s="212"/>
      <c r="P355" s="212"/>
      <c r="Q355" s="212"/>
      <c r="R355" s="212"/>
      <c r="S355" s="212"/>
      <c r="T355" s="212"/>
      <c r="U355" s="212"/>
      <c r="V355" s="212"/>
      <c r="W355" s="212"/>
      <c r="X355" s="212"/>
      <c r="Y355" s="212"/>
      <c r="Z355" s="212"/>
      <c r="AA355" s="212"/>
      <c r="AB355" s="212"/>
      <c r="AC355" s="212"/>
      <c r="AD355" s="212"/>
      <c r="AE355" s="212"/>
      <c r="AF355" s="212"/>
      <c r="AG355" s="212"/>
      <c r="AH355" s="212"/>
      <c r="AI355" s="212"/>
      <c r="AJ355" s="212"/>
      <c r="AK355" s="212" t="s">
        <v>1838</v>
      </c>
      <c r="AL355" s="212"/>
      <c r="AM355" s="212"/>
      <c r="AN355" s="212"/>
      <c r="AO355" s="212"/>
      <c r="AP355" s="212"/>
      <c r="AR355" s="212"/>
      <c r="AS355" s="212"/>
      <c r="AT355" s="212"/>
      <c r="AU355" s="212"/>
      <c r="AV355" s="212"/>
      <c r="AW355" s="212"/>
      <c r="AX355" s="212"/>
      <c r="AY355" s="212"/>
      <c r="AZ355" s="212"/>
      <c r="BA355" s="212"/>
      <c r="BB355" s="212"/>
      <c r="BC355" s="212"/>
      <c r="BD355" s="212"/>
      <c r="BE355" s="212"/>
      <c r="BF355" s="212"/>
      <c r="BG355" s="212"/>
      <c r="BH355" s="212"/>
      <c r="BI355" s="212"/>
      <c r="BJ355" s="212"/>
      <c r="BK355" s="212"/>
      <c r="BL355" s="212"/>
      <c r="BM355" s="212"/>
      <c r="BN355" s="212"/>
      <c r="BO355" s="212"/>
      <c r="BP355" s="212"/>
      <c r="BQ355" s="212"/>
      <c r="BR355" s="212"/>
    </row>
    <row r="356" s="183" customFormat="1" ht="54.5" customHeight="1" spans="1:70">
      <c r="A356" s="208">
        <v>354</v>
      </c>
      <c r="B356" s="212" t="s">
        <v>1839</v>
      </c>
      <c r="C356" s="247" t="s">
        <v>1815</v>
      </c>
      <c r="D356" s="212" t="s">
        <v>1840</v>
      </c>
      <c r="E356" s="212"/>
      <c r="F356" s="212" t="s">
        <v>310</v>
      </c>
      <c r="G356" s="212" t="s">
        <v>1110</v>
      </c>
      <c r="H356" s="212"/>
      <c r="I356" s="212"/>
      <c r="J356" s="212" t="s">
        <v>1841</v>
      </c>
      <c r="K356" s="212">
        <v>18861125288</v>
      </c>
      <c r="L356" s="251"/>
      <c r="M356" s="212" t="s">
        <v>1842</v>
      </c>
      <c r="N356" s="212"/>
      <c r="O356" s="212"/>
      <c r="P356" s="212"/>
      <c r="Q356" s="212"/>
      <c r="R356" s="212"/>
      <c r="S356" s="212"/>
      <c r="T356" s="212"/>
      <c r="U356" s="212"/>
      <c r="V356" s="212"/>
      <c r="W356" s="212"/>
      <c r="X356" s="212"/>
      <c r="Y356" s="212"/>
      <c r="Z356" s="212"/>
      <c r="AA356" s="212"/>
      <c r="AB356" s="212"/>
      <c r="AC356" s="212"/>
      <c r="AD356" s="212"/>
      <c r="AE356" s="212"/>
      <c r="AF356" s="212"/>
      <c r="AG356" s="212"/>
      <c r="AH356" s="212"/>
      <c r="AI356" s="212"/>
      <c r="AJ356" s="212"/>
      <c r="AK356" s="212"/>
      <c r="AL356" s="212"/>
      <c r="AM356" s="212"/>
      <c r="AN356" s="212"/>
      <c r="AO356" s="212"/>
      <c r="AP356" s="212"/>
      <c r="AR356" s="212"/>
      <c r="AS356" s="212"/>
      <c r="AT356" s="212"/>
      <c r="AU356" s="212"/>
      <c r="AV356" s="212"/>
      <c r="AW356" s="212"/>
      <c r="AX356" s="212"/>
      <c r="AY356" s="212"/>
      <c r="AZ356" s="212"/>
      <c r="BA356" s="212"/>
      <c r="BB356" s="212"/>
      <c r="BC356" s="212"/>
      <c r="BD356" s="212"/>
      <c r="BE356" s="212"/>
      <c r="BF356" s="212"/>
      <c r="BG356" s="212"/>
      <c r="BH356" s="212"/>
      <c r="BI356" s="212"/>
      <c r="BJ356" s="212"/>
      <c r="BK356" s="212"/>
      <c r="BL356" s="212"/>
      <c r="BM356" s="212"/>
      <c r="BN356" s="212"/>
      <c r="BO356" s="212" t="s">
        <v>394</v>
      </c>
      <c r="BP356" s="212"/>
      <c r="BQ356" s="212"/>
      <c r="BR356" s="212"/>
    </row>
    <row r="357" s="184" customFormat="1" ht="48.75" customHeight="1" spans="1:70">
      <c r="A357" s="208">
        <v>355</v>
      </c>
      <c r="B357" s="252" t="s">
        <v>1843</v>
      </c>
      <c r="C357" s="252" t="s">
        <v>956</v>
      </c>
      <c r="D357" s="252" t="s">
        <v>1844</v>
      </c>
      <c r="E357" s="253" t="s">
        <v>279</v>
      </c>
      <c r="F357" s="252"/>
      <c r="G357" s="252" t="s">
        <v>1845</v>
      </c>
      <c r="H357" s="254">
        <v>20</v>
      </c>
      <c r="I357" s="252"/>
      <c r="J357" s="252" t="s">
        <v>1846</v>
      </c>
      <c r="K357" s="252">
        <v>15061991819</v>
      </c>
      <c r="L357" s="252" t="s">
        <v>1847</v>
      </c>
      <c r="M357" s="252" t="s">
        <v>1848</v>
      </c>
      <c r="N357" s="252" t="s">
        <v>1849</v>
      </c>
      <c r="O357" s="252"/>
      <c r="P357" s="252" t="s">
        <v>1850</v>
      </c>
      <c r="Q357" s="252"/>
      <c r="R357" s="252"/>
      <c r="S357" s="252"/>
      <c r="T357" s="252"/>
      <c r="U357" s="252"/>
      <c r="V357" s="252"/>
      <c r="W357" s="252"/>
      <c r="X357" s="252"/>
      <c r="Y357" s="252"/>
      <c r="Z357" s="252"/>
      <c r="AA357" s="252"/>
      <c r="AB357" s="252"/>
      <c r="AC357" s="252"/>
      <c r="AD357" s="252"/>
      <c r="AE357" s="252"/>
      <c r="AF357" s="252"/>
      <c r="AG357" s="252"/>
      <c r="AH357" s="252"/>
      <c r="AI357" s="252"/>
      <c r="AJ357" s="252"/>
      <c r="AK357" s="252"/>
      <c r="AL357" s="252"/>
      <c r="AM357" s="252"/>
      <c r="AN357" s="252"/>
      <c r="AO357" s="252"/>
      <c r="AP357" s="252"/>
      <c r="AR357" s="252"/>
      <c r="AS357" s="252"/>
      <c r="AT357" s="252"/>
      <c r="AU357" s="252"/>
      <c r="AV357" s="252"/>
      <c r="AW357" s="252"/>
      <c r="AX357" s="252"/>
      <c r="AY357" s="252"/>
      <c r="AZ357" s="252"/>
      <c r="BA357" s="252"/>
      <c r="BB357" s="252"/>
      <c r="BC357" s="252"/>
      <c r="BD357" s="252"/>
      <c r="BE357" s="252"/>
      <c r="BF357" s="252"/>
      <c r="BG357" s="252"/>
      <c r="BH357" s="252"/>
      <c r="BI357" s="252"/>
      <c r="BJ357" s="252"/>
      <c r="BK357" s="252"/>
      <c r="BL357" s="252"/>
      <c r="BM357" s="252"/>
      <c r="BN357" s="252"/>
      <c r="BO357" s="252"/>
      <c r="BP357" s="252"/>
      <c r="BQ357" s="255"/>
      <c r="BR357" s="252"/>
    </row>
    <row r="358" s="184" customFormat="1" ht="37.5" customHeight="1" spans="1:70">
      <c r="A358" s="208">
        <v>356</v>
      </c>
      <c r="B358" s="252" t="s">
        <v>1851</v>
      </c>
      <c r="C358" s="252" t="s">
        <v>1674</v>
      </c>
      <c r="D358" s="252" t="s">
        <v>1852</v>
      </c>
      <c r="E358" s="253" t="s">
        <v>205</v>
      </c>
      <c r="F358" s="252"/>
      <c r="G358" s="252" t="s">
        <v>1853</v>
      </c>
      <c r="H358" s="252"/>
      <c r="I358" s="252"/>
      <c r="J358" s="252" t="s">
        <v>1854</v>
      </c>
      <c r="K358" s="252">
        <v>13921720087</v>
      </c>
      <c r="L358" s="252"/>
      <c r="M358" s="252" t="s">
        <v>1855</v>
      </c>
      <c r="N358" s="252" t="s">
        <v>1856</v>
      </c>
      <c r="O358" s="252"/>
      <c r="P358" s="252"/>
      <c r="Q358" s="252"/>
      <c r="R358" s="252"/>
      <c r="S358" s="252"/>
      <c r="T358" s="252"/>
      <c r="U358" s="252"/>
      <c r="V358" s="252"/>
      <c r="W358" s="252"/>
      <c r="X358" s="252"/>
      <c r="Y358" s="252"/>
      <c r="Z358" s="252"/>
      <c r="AA358" s="252"/>
      <c r="AB358" s="252"/>
      <c r="AC358" s="252"/>
      <c r="AD358" s="252"/>
      <c r="AE358" s="252"/>
      <c r="AF358" s="252"/>
      <c r="AG358" s="252"/>
      <c r="AH358" s="252"/>
      <c r="AI358" s="252"/>
      <c r="AJ358" s="252"/>
      <c r="AK358" s="252"/>
      <c r="AL358" s="252"/>
      <c r="AM358" s="252"/>
      <c r="AN358" s="252"/>
      <c r="AO358" s="252"/>
      <c r="AP358" s="252"/>
      <c r="AR358" s="252"/>
      <c r="AS358" s="252"/>
      <c r="AT358" s="252"/>
      <c r="AU358" s="252"/>
      <c r="AV358" s="252"/>
      <c r="AW358" s="252"/>
      <c r="AX358" s="252"/>
      <c r="AY358" s="252"/>
      <c r="AZ358" s="252"/>
      <c r="BA358" s="252"/>
      <c r="BB358" s="252"/>
      <c r="BC358" s="252"/>
      <c r="BD358" s="252"/>
      <c r="BE358" s="252"/>
      <c r="BF358" s="252"/>
      <c r="BG358" s="252"/>
      <c r="BH358" s="252"/>
      <c r="BI358" s="252"/>
      <c r="BJ358" s="252"/>
      <c r="BK358" s="252"/>
      <c r="BL358" s="252"/>
      <c r="BM358" s="252"/>
      <c r="BN358" s="252"/>
      <c r="BO358" s="252"/>
      <c r="BP358" s="252"/>
      <c r="BQ358" s="255"/>
      <c r="BR358" s="252"/>
    </row>
    <row r="359" s="185" customFormat="1" ht="31" customHeight="1" spans="1:70">
      <c r="A359" s="189">
        <v>357</v>
      </c>
      <c r="B359" s="256" t="s">
        <v>1857</v>
      </c>
      <c r="C359" s="256" t="s">
        <v>956</v>
      </c>
      <c r="D359" s="256" t="s">
        <v>1858</v>
      </c>
      <c r="E359" s="257" t="s">
        <v>348</v>
      </c>
      <c r="F359" s="256"/>
      <c r="G359" s="256" t="s">
        <v>1859</v>
      </c>
      <c r="H359" s="256"/>
      <c r="I359" s="256"/>
      <c r="J359" s="256" t="s">
        <v>1860</v>
      </c>
      <c r="K359" s="256">
        <v>18961186287</v>
      </c>
      <c r="L359" s="256" t="s">
        <v>1861</v>
      </c>
      <c r="M359" s="256" t="s">
        <v>1862</v>
      </c>
      <c r="N359" s="256" t="s">
        <v>1863</v>
      </c>
      <c r="O359" s="256"/>
      <c r="P359" s="256" t="s">
        <v>1864</v>
      </c>
      <c r="Q359" s="256"/>
      <c r="R359" s="207" t="s">
        <v>116</v>
      </c>
      <c r="S359" s="256"/>
      <c r="T359" s="256"/>
      <c r="U359" s="256"/>
      <c r="V359" s="256"/>
      <c r="W359" s="256"/>
      <c r="X359" s="256"/>
      <c r="Y359" s="256"/>
      <c r="Z359" s="256"/>
      <c r="AA359" s="256"/>
      <c r="AB359" s="256"/>
      <c r="AC359" s="256"/>
      <c r="AD359" s="256"/>
      <c r="AE359" s="256"/>
      <c r="AF359" s="256"/>
      <c r="AG359" s="256"/>
      <c r="AH359" s="256"/>
      <c r="AI359" s="256"/>
      <c r="AJ359" s="256"/>
      <c r="AK359" s="256"/>
      <c r="AL359" s="256"/>
      <c r="AM359" s="256"/>
      <c r="AN359" s="256"/>
      <c r="AO359" s="256"/>
      <c r="AP359" s="256"/>
      <c r="AR359" s="256"/>
      <c r="AS359" s="256"/>
      <c r="AT359" s="256"/>
      <c r="AU359" s="256"/>
      <c r="AV359" s="256"/>
      <c r="AW359" s="256"/>
      <c r="AX359" s="256"/>
      <c r="AY359" s="256"/>
      <c r="AZ359" s="256"/>
      <c r="BA359" s="256"/>
      <c r="BB359" s="256"/>
      <c r="BC359" s="256"/>
      <c r="BD359" s="256"/>
      <c r="BE359" s="256"/>
      <c r="BF359" s="256"/>
      <c r="BG359" s="256"/>
      <c r="BH359" s="256"/>
      <c r="BI359" s="256"/>
      <c r="BJ359" s="256"/>
      <c r="BK359" s="256"/>
      <c r="BL359" s="256"/>
      <c r="BM359" s="256"/>
      <c r="BN359" s="256"/>
      <c r="BO359" s="256"/>
      <c r="BP359" s="256"/>
      <c r="BQ359" s="256"/>
      <c r="BR359" s="256"/>
    </row>
    <row r="360" s="184" customFormat="1" ht="31" customHeight="1" spans="1:70">
      <c r="A360" s="204">
        <v>358</v>
      </c>
      <c r="B360" s="258" t="s">
        <v>1865</v>
      </c>
      <c r="C360" s="258" t="s">
        <v>956</v>
      </c>
      <c r="D360" s="258" t="s">
        <v>1866</v>
      </c>
      <c r="E360" s="259" t="s">
        <v>290</v>
      </c>
      <c r="F360" s="258"/>
      <c r="G360" s="258" t="s">
        <v>1867</v>
      </c>
      <c r="H360" s="260"/>
      <c r="I360" s="258"/>
      <c r="J360" s="258" t="s">
        <v>1868</v>
      </c>
      <c r="K360" s="258">
        <v>15861199996</v>
      </c>
      <c r="L360" s="258"/>
      <c r="M360" s="258" t="s">
        <v>1869</v>
      </c>
      <c r="N360" s="258" t="s">
        <v>1870</v>
      </c>
      <c r="O360" s="258"/>
      <c r="P360" s="258" t="s">
        <v>1871</v>
      </c>
      <c r="Q360" s="258"/>
      <c r="R360" s="258"/>
      <c r="S360" s="258"/>
      <c r="T360" s="258"/>
      <c r="U360" s="258"/>
      <c r="V360" s="258"/>
      <c r="W360" s="258"/>
      <c r="X360" s="258"/>
      <c r="Y360" s="258"/>
      <c r="Z360" s="258"/>
      <c r="AA360" s="258"/>
      <c r="AB360" s="258"/>
      <c r="AC360" s="258"/>
      <c r="AD360" s="258"/>
      <c r="AE360" s="258"/>
      <c r="AF360" s="258"/>
      <c r="AG360" s="258"/>
      <c r="AH360" s="258"/>
      <c r="AI360" s="258"/>
      <c r="AJ360" s="258"/>
      <c r="AK360" s="258"/>
      <c r="AL360" s="258"/>
      <c r="AM360" s="258"/>
      <c r="AN360" s="258"/>
      <c r="AO360" s="258"/>
      <c r="AP360" s="258"/>
      <c r="AR360" s="258"/>
      <c r="AS360" s="258"/>
      <c r="AT360" s="258"/>
      <c r="AU360" s="258"/>
      <c r="AV360" s="258"/>
      <c r="AW360" s="258"/>
      <c r="AX360" s="258"/>
      <c r="AY360" s="258"/>
      <c r="AZ360" s="258"/>
      <c r="BA360" s="258"/>
      <c r="BB360" s="258"/>
      <c r="BC360" s="258"/>
      <c r="BD360" s="258"/>
      <c r="BE360" s="258"/>
      <c r="BF360" s="258"/>
      <c r="BG360" s="258"/>
      <c r="BH360" s="258"/>
      <c r="BI360" s="258"/>
      <c r="BJ360" s="258"/>
      <c r="BK360" s="258"/>
      <c r="BL360" s="258"/>
      <c r="BM360" s="258"/>
      <c r="BN360" s="258"/>
      <c r="BO360" s="258"/>
      <c r="BP360" s="258"/>
      <c r="BQ360" s="261"/>
      <c r="BR360" s="258"/>
    </row>
    <row r="361" s="184" customFormat="1" ht="31" customHeight="1" spans="1:70">
      <c r="A361" s="208">
        <v>359</v>
      </c>
      <c r="B361" s="252" t="s">
        <v>1872</v>
      </c>
      <c r="C361" s="252" t="s">
        <v>956</v>
      </c>
      <c r="D361" s="252" t="s">
        <v>1873</v>
      </c>
      <c r="E361" s="253" t="s">
        <v>223</v>
      </c>
      <c r="F361" s="252"/>
      <c r="G361" s="252" t="s">
        <v>1874</v>
      </c>
      <c r="H361" s="252"/>
      <c r="I361" s="252"/>
      <c r="J361" s="252" t="s">
        <v>1875</v>
      </c>
      <c r="K361" s="252">
        <v>15951212288</v>
      </c>
      <c r="L361" s="252"/>
      <c r="M361" s="252" t="s">
        <v>1876</v>
      </c>
      <c r="N361" s="252" t="s">
        <v>1877</v>
      </c>
      <c r="O361" s="252"/>
      <c r="P361" s="252" t="s">
        <v>1878</v>
      </c>
      <c r="Q361" s="252"/>
      <c r="R361" s="252"/>
      <c r="S361" s="252"/>
      <c r="T361" s="252"/>
      <c r="U361" s="252"/>
      <c r="V361" s="252"/>
      <c r="W361" s="252"/>
      <c r="X361" s="252"/>
      <c r="Y361" s="252"/>
      <c r="Z361" s="252"/>
      <c r="AA361" s="252"/>
      <c r="AB361" s="252"/>
      <c r="AC361" s="252"/>
      <c r="AD361" s="252"/>
      <c r="AE361" s="252"/>
      <c r="AF361" s="252"/>
      <c r="AG361" s="252"/>
      <c r="AH361" s="252"/>
      <c r="AI361" s="252"/>
      <c r="AJ361" s="252"/>
      <c r="AK361" s="252"/>
      <c r="AL361" s="252"/>
      <c r="AM361" s="252"/>
      <c r="AN361" s="252"/>
      <c r="AO361" s="252"/>
      <c r="AP361" s="252"/>
      <c r="AR361" s="252"/>
      <c r="AS361" s="252"/>
      <c r="AT361" s="252"/>
      <c r="AU361" s="252"/>
      <c r="AV361" s="252"/>
      <c r="AW361" s="252"/>
      <c r="AX361" s="252"/>
      <c r="AY361" s="252"/>
      <c r="AZ361" s="252"/>
      <c r="BA361" s="252"/>
      <c r="BB361" s="252"/>
      <c r="BC361" s="252"/>
      <c r="BD361" s="252"/>
      <c r="BE361" s="252"/>
      <c r="BF361" s="252"/>
      <c r="BG361" s="252"/>
      <c r="BH361" s="252"/>
      <c r="BI361" s="252"/>
      <c r="BJ361" s="252"/>
      <c r="BK361" s="252"/>
      <c r="BL361" s="252"/>
      <c r="BM361" s="252"/>
      <c r="BN361" s="252"/>
      <c r="BO361" s="252"/>
      <c r="BP361" s="252"/>
      <c r="BQ361" s="255"/>
      <c r="BR361" s="252"/>
    </row>
    <row r="362" s="184" customFormat="1" ht="31" customHeight="1" spans="1:70">
      <c r="A362" s="189">
        <v>360</v>
      </c>
      <c r="B362" s="256" t="s">
        <v>1879</v>
      </c>
      <c r="C362" s="256" t="s">
        <v>956</v>
      </c>
      <c r="D362" s="256" t="s">
        <v>1880</v>
      </c>
      <c r="E362" s="257" t="s">
        <v>323</v>
      </c>
      <c r="F362" s="256"/>
      <c r="G362" s="256" t="s">
        <v>1881</v>
      </c>
      <c r="H362" s="262">
        <v>300</v>
      </c>
      <c r="I362" s="256"/>
      <c r="J362" s="256" t="s">
        <v>1882</v>
      </c>
      <c r="K362" s="256">
        <v>17798922163</v>
      </c>
      <c r="L362" s="256"/>
      <c r="M362" s="256" t="s">
        <v>1883</v>
      </c>
      <c r="N362" s="256" t="s">
        <v>1884</v>
      </c>
      <c r="O362" s="256"/>
      <c r="P362" s="256"/>
      <c r="Q362" s="256"/>
      <c r="R362" s="207" t="s">
        <v>116</v>
      </c>
      <c r="S362" s="256"/>
      <c r="T362" s="256"/>
      <c r="U362" s="256"/>
      <c r="V362" s="256"/>
      <c r="W362" s="256"/>
      <c r="X362" s="256"/>
      <c r="Y362" s="256"/>
      <c r="Z362" s="256"/>
      <c r="AA362" s="256"/>
      <c r="AB362" s="256"/>
      <c r="AC362" s="256"/>
      <c r="AD362" s="256"/>
      <c r="AE362" s="256"/>
      <c r="AF362" s="256"/>
      <c r="AG362" s="256"/>
      <c r="AH362" s="256"/>
      <c r="AI362" s="256"/>
      <c r="AJ362" s="256"/>
      <c r="AK362" s="256"/>
      <c r="AL362" s="256"/>
      <c r="AM362" s="256"/>
      <c r="AN362" s="256"/>
      <c r="AO362" s="256"/>
      <c r="AP362" s="256"/>
      <c r="AR362" s="256"/>
      <c r="AS362" s="256"/>
      <c r="AT362" s="256"/>
      <c r="AU362" s="256"/>
      <c r="AV362" s="256"/>
      <c r="AW362" s="256"/>
      <c r="AX362" s="256"/>
      <c r="AY362" s="256"/>
      <c r="AZ362" s="256"/>
      <c r="BA362" s="256"/>
      <c r="BB362" s="256"/>
      <c r="BC362" s="256"/>
      <c r="BD362" s="256"/>
      <c r="BE362" s="256"/>
      <c r="BF362" s="256"/>
      <c r="BG362" s="256"/>
      <c r="BH362" s="256"/>
      <c r="BI362" s="256"/>
      <c r="BJ362" s="256"/>
      <c r="BK362" s="256"/>
      <c r="BL362" s="256"/>
      <c r="BM362" s="256"/>
      <c r="BN362" s="256"/>
      <c r="BO362" s="256"/>
      <c r="BP362" s="256"/>
      <c r="BQ362" s="263"/>
      <c r="BR362" s="256"/>
    </row>
    <row r="363" s="184" customFormat="1" ht="31" customHeight="1" spans="1:70">
      <c r="A363" s="189">
        <v>361</v>
      </c>
      <c r="B363" s="256" t="s">
        <v>1885</v>
      </c>
      <c r="C363" s="256" t="s">
        <v>956</v>
      </c>
      <c r="D363" s="256" t="s">
        <v>1886</v>
      </c>
      <c r="E363" s="257" t="s">
        <v>323</v>
      </c>
      <c r="F363" s="256"/>
      <c r="G363" s="256" t="s">
        <v>1887</v>
      </c>
      <c r="H363" s="262">
        <v>100</v>
      </c>
      <c r="I363" s="256"/>
      <c r="J363" s="256" t="s">
        <v>1888</v>
      </c>
      <c r="K363" s="256"/>
      <c r="L363" s="256" t="s">
        <v>1889</v>
      </c>
      <c r="M363" s="256" t="s">
        <v>1890</v>
      </c>
      <c r="N363" s="256" t="s">
        <v>1891</v>
      </c>
      <c r="O363" s="256"/>
      <c r="P363" s="256" t="s">
        <v>1892</v>
      </c>
      <c r="Q363" s="256"/>
      <c r="R363" s="207" t="s">
        <v>116</v>
      </c>
      <c r="S363" s="256"/>
      <c r="T363" s="256"/>
      <c r="U363" s="256"/>
      <c r="V363" s="256"/>
      <c r="W363" s="256"/>
      <c r="X363" s="256"/>
      <c r="Y363" s="256"/>
      <c r="Z363" s="256"/>
      <c r="AA363" s="256"/>
      <c r="AB363" s="256"/>
      <c r="AC363" s="256"/>
      <c r="AD363" s="256"/>
      <c r="AE363" s="256"/>
      <c r="AF363" s="256"/>
      <c r="AG363" s="256"/>
      <c r="AH363" s="256"/>
      <c r="AI363" s="256"/>
      <c r="AJ363" s="256"/>
      <c r="AK363" s="256"/>
      <c r="AL363" s="256"/>
      <c r="AM363" s="256"/>
      <c r="AN363" s="256"/>
      <c r="AO363" s="256"/>
      <c r="AP363" s="256"/>
      <c r="AR363" s="256"/>
      <c r="AS363" s="256"/>
      <c r="AT363" s="256"/>
      <c r="AU363" s="256"/>
      <c r="AV363" s="256"/>
      <c r="AW363" s="256"/>
      <c r="AX363" s="256"/>
      <c r="AY363" s="256"/>
      <c r="AZ363" s="256"/>
      <c r="BA363" s="256"/>
      <c r="BB363" s="256"/>
      <c r="BC363" s="256"/>
      <c r="BD363" s="256"/>
      <c r="BE363" s="256"/>
      <c r="BF363" s="256"/>
      <c r="BG363" s="256"/>
      <c r="BH363" s="256"/>
      <c r="BI363" s="256"/>
      <c r="BJ363" s="256"/>
      <c r="BK363" s="256"/>
      <c r="BL363" s="256"/>
      <c r="BM363" s="256"/>
      <c r="BN363" s="256"/>
      <c r="BO363" s="256"/>
      <c r="BP363" s="256"/>
      <c r="BQ363" s="263"/>
      <c r="BR363" s="256"/>
    </row>
    <row r="364" ht="44" customHeight="1" spans="1:70">
      <c r="A364" s="189">
        <v>362</v>
      </c>
      <c r="B364" s="240" t="s">
        <v>1893</v>
      </c>
      <c r="C364" s="240" t="s">
        <v>78</v>
      </c>
      <c r="D364" s="240" t="s">
        <v>1894</v>
      </c>
      <c r="E364" s="209"/>
      <c r="F364" s="207" t="s">
        <v>124</v>
      </c>
      <c r="G364" s="240" t="s">
        <v>1895</v>
      </c>
      <c r="H364" s="207">
        <v>4</v>
      </c>
      <c r="I364" s="240" t="s">
        <v>420</v>
      </c>
      <c r="J364" s="240" t="s">
        <v>1896</v>
      </c>
      <c r="K364" s="207">
        <v>15295076763</v>
      </c>
      <c r="L364" s="207"/>
      <c r="M364" s="240" t="s">
        <v>1897</v>
      </c>
      <c r="N364" s="207"/>
      <c r="O364" s="207"/>
      <c r="P364" s="207"/>
      <c r="Q364" s="207"/>
      <c r="R364" s="240" t="s">
        <v>146</v>
      </c>
      <c r="S364" s="240" t="s">
        <v>1898</v>
      </c>
      <c r="T364" s="207"/>
      <c r="U364" s="207"/>
      <c r="V364" s="207"/>
      <c r="W364" s="207"/>
      <c r="X364" s="207"/>
      <c r="Y364" s="290" t="s">
        <v>84</v>
      </c>
      <c r="Z364" s="240"/>
      <c r="AA364" s="240"/>
      <c r="AB364" s="240"/>
      <c r="AC364" s="207" t="s">
        <v>96</v>
      </c>
      <c r="AD364" s="264"/>
      <c r="AE364" s="240" t="s">
        <v>85</v>
      </c>
      <c r="AF364" s="240" t="s">
        <v>1184</v>
      </c>
      <c r="AG364" s="211">
        <v>1</v>
      </c>
      <c r="AH364" s="240" t="s">
        <v>366</v>
      </c>
      <c r="AI364" s="207"/>
      <c r="AJ364" s="207">
        <v>3</v>
      </c>
      <c r="AK364" s="207"/>
      <c r="AL364" s="240" t="s">
        <v>1899</v>
      </c>
      <c r="AM364" s="240" t="s">
        <v>1900</v>
      </c>
      <c r="AN364" s="207"/>
      <c r="AO364" s="207"/>
      <c r="AP364" s="240" t="s">
        <v>1901</v>
      </c>
      <c r="AR364" s="207" t="s">
        <v>85</v>
      </c>
      <c r="AS364" s="240"/>
      <c r="AT364" s="240"/>
      <c r="AU364" s="205" t="s">
        <v>85</v>
      </c>
      <c r="AV364" s="240"/>
      <c r="AW364" s="240"/>
      <c r="AX364" s="240"/>
      <c r="AY364" s="240"/>
      <c r="AZ364" s="240"/>
      <c r="BA364" s="207"/>
      <c r="BB364" s="207"/>
      <c r="BC364" s="240" t="s">
        <v>1902</v>
      </c>
      <c r="BD364" s="240" t="s">
        <v>413</v>
      </c>
      <c r="BE364" s="207"/>
      <c r="BF364" s="207"/>
      <c r="BG364" s="207"/>
      <c r="BH364" s="207"/>
      <c r="BI364" s="207"/>
      <c r="BJ364" s="207"/>
      <c r="BK364" s="240" t="s">
        <v>1903</v>
      </c>
      <c r="BL364" s="240" t="s">
        <v>88</v>
      </c>
      <c r="BM364" s="207"/>
      <c r="BN364" s="207"/>
      <c r="BO364" s="207"/>
      <c r="BP364" s="207"/>
      <c r="BQ364" s="207"/>
      <c r="BR364" s="240"/>
    </row>
    <row r="365" ht="34" customHeight="1" spans="1:70">
      <c r="A365" s="204">
        <v>363</v>
      </c>
      <c r="B365" s="265" t="s">
        <v>1904</v>
      </c>
      <c r="C365" s="266" t="s">
        <v>1905</v>
      </c>
      <c r="D365" s="266" t="s">
        <v>1906</v>
      </c>
      <c r="E365" s="267"/>
      <c r="F365" s="268"/>
      <c r="G365" s="269" t="s">
        <v>1907</v>
      </c>
      <c r="H365" s="270">
        <v>75</v>
      </c>
      <c r="I365" s="268"/>
      <c r="J365" s="268"/>
      <c r="K365" s="268"/>
      <c r="L365" s="271"/>
      <c r="M365" s="271" t="s">
        <v>1908</v>
      </c>
      <c r="N365" s="268"/>
      <c r="O365" s="268"/>
      <c r="P365" s="268" t="s">
        <v>1909</v>
      </c>
      <c r="R365" s="268"/>
      <c r="S365" s="268"/>
      <c r="T365" s="268"/>
      <c r="U365" s="268"/>
      <c r="V365" s="268"/>
      <c r="W365" s="268"/>
      <c r="X365" s="268"/>
      <c r="Y365" s="268"/>
      <c r="Z365" s="268"/>
      <c r="AA365" s="268"/>
      <c r="AB365" s="268"/>
      <c r="AC365" s="268"/>
      <c r="AD365" s="268"/>
      <c r="AE365" s="268"/>
      <c r="AF365" s="272"/>
      <c r="AG365" s="272"/>
      <c r="AH365" s="272"/>
      <c r="AI365" s="272"/>
      <c r="AJ365" s="272"/>
      <c r="AK365" s="272"/>
      <c r="AL365" s="272"/>
      <c r="AM365" s="272"/>
      <c r="AN365" s="272"/>
      <c r="AO365" s="272"/>
      <c r="AP365" s="272"/>
      <c r="AR365" s="272"/>
      <c r="AS365" s="272"/>
      <c r="AT365" s="272"/>
      <c r="AU365" s="272"/>
      <c r="AV365" s="272"/>
      <c r="AW365" s="272"/>
      <c r="AX365" s="272"/>
      <c r="AY365" s="272"/>
      <c r="AZ365" s="272"/>
      <c r="BA365" s="272"/>
      <c r="BB365" s="272"/>
      <c r="BC365" s="272"/>
      <c r="BD365" s="272"/>
      <c r="BE365" s="272"/>
      <c r="BF365" s="272"/>
      <c r="BG365" s="272"/>
      <c r="BH365" s="272"/>
      <c r="BI365" s="272"/>
      <c r="BJ365" s="272"/>
      <c r="BK365" s="272"/>
      <c r="BL365" s="272"/>
      <c r="BM365" s="272"/>
      <c r="BN365" s="272"/>
      <c r="BO365" s="272"/>
      <c r="BP365" s="272" t="s">
        <v>1910</v>
      </c>
      <c r="BQ365" s="272"/>
      <c r="BR365" s="272"/>
    </row>
    <row r="366" ht="34" customHeight="1" spans="1:70">
      <c r="A366" s="208">
        <v>364</v>
      </c>
      <c r="B366" s="265" t="s">
        <v>1911</v>
      </c>
      <c r="C366" s="266" t="s">
        <v>1674</v>
      </c>
      <c r="D366" s="266" t="s">
        <v>1912</v>
      </c>
      <c r="E366" s="267"/>
      <c r="F366" s="149" t="s">
        <v>156</v>
      </c>
      <c r="G366" s="268" t="s">
        <v>1913</v>
      </c>
      <c r="H366" s="273">
        <v>50</v>
      </c>
      <c r="I366" s="268"/>
      <c r="J366" s="268"/>
      <c r="K366" s="268"/>
      <c r="L366" s="268"/>
      <c r="M366" s="268" t="s">
        <v>1913</v>
      </c>
      <c r="N366" s="268"/>
      <c r="O366" s="268"/>
      <c r="P366" s="268"/>
      <c r="R366" s="268"/>
      <c r="S366" s="268"/>
      <c r="T366" s="268"/>
      <c r="U366" s="268"/>
      <c r="V366" s="268"/>
      <c r="W366" s="268"/>
      <c r="X366" s="268"/>
      <c r="Y366" s="268"/>
      <c r="Z366" s="268"/>
      <c r="AA366" s="268"/>
      <c r="AB366" s="268"/>
      <c r="AC366" s="268"/>
      <c r="AD366" s="268"/>
      <c r="AE366" s="268"/>
      <c r="AF366" s="274"/>
      <c r="AG366" s="274"/>
      <c r="AH366" s="274"/>
      <c r="AI366" s="274"/>
      <c r="AJ366" s="274"/>
      <c r="AK366" s="274"/>
      <c r="AL366" s="274"/>
      <c r="AM366" s="274"/>
      <c r="AN366" s="274"/>
      <c r="AO366" s="274"/>
      <c r="AP366" s="274"/>
      <c r="AR366" s="274"/>
      <c r="AS366" s="274"/>
      <c r="AT366" s="274"/>
      <c r="AU366" s="274"/>
      <c r="AV366" s="274"/>
      <c r="AW366" s="274"/>
      <c r="AX366" s="274"/>
      <c r="AY366" s="274"/>
      <c r="AZ366" s="274"/>
      <c r="BA366" s="274"/>
      <c r="BB366" s="274"/>
      <c r="BC366" s="274"/>
      <c r="BD366" s="274"/>
      <c r="BE366" s="274"/>
      <c r="BF366" s="274"/>
      <c r="BG366" s="274"/>
      <c r="BH366" s="274"/>
      <c r="BI366" s="274"/>
      <c r="BJ366" s="274"/>
      <c r="BK366" s="274"/>
      <c r="BL366" s="274"/>
      <c r="BM366" s="274"/>
      <c r="BN366" s="274"/>
      <c r="BO366" s="274"/>
      <c r="BP366" s="274" t="s">
        <v>1910</v>
      </c>
      <c r="BQ366" s="274"/>
      <c r="BR366" s="274"/>
    </row>
    <row r="367" ht="34" customHeight="1" spans="1:70">
      <c r="A367" s="208">
        <v>365</v>
      </c>
      <c r="B367" s="265" t="s">
        <v>1914</v>
      </c>
      <c r="C367" s="266" t="s">
        <v>1915</v>
      </c>
      <c r="D367" s="266" t="s">
        <v>1916</v>
      </c>
      <c r="E367" s="267"/>
      <c r="F367" s="149" t="s">
        <v>156</v>
      </c>
      <c r="G367" s="268" t="s">
        <v>1913</v>
      </c>
      <c r="H367" s="268"/>
      <c r="I367" s="268"/>
      <c r="J367" s="157" t="s">
        <v>1917</v>
      </c>
      <c r="K367" s="157">
        <v>18912356565</v>
      </c>
      <c r="L367" s="157"/>
      <c r="M367" s="268" t="s">
        <v>1913</v>
      </c>
      <c r="N367" s="268"/>
      <c r="O367" s="268"/>
      <c r="P367" s="268"/>
      <c r="R367" s="268"/>
      <c r="S367" s="268"/>
      <c r="T367" s="268"/>
      <c r="U367" s="268"/>
      <c r="V367" s="268"/>
      <c r="W367" s="268"/>
      <c r="X367" s="268"/>
      <c r="Y367" s="268"/>
      <c r="Z367" s="268"/>
      <c r="AA367" s="268"/>
      <c r="AB367" s="268"/>
      <c r="AC367" s="268"/>
      <c r="AD367" s="268"/>
      <c r="AE367" s="268"/>
      <c r="AF367" s="274"/>
      <c r="AG367" s="274"/>
      <c r="AH367" s="274"/>
      <c r="AI367" s="274"/>
      <c r="AJ367" s="274"/>
      <c r="AK367" s="274"/>
      <c r="AL367" s="274"/>
      <c r="AM367" s="274"/>
      <c r="AN367" s="274"/>
      <c r="AO367" s="274"/>
      <c r="AP367" s="274"/>
      <c r="AR367" s="274"/>
      <c r="AS367" s="274"/>
      <c r="AT367" s="274"/>
      <c r="AU367" s="274"/>
      <c r="AV367" s="274"/>
      <c r="AW367" s="274"/>
      <c r="AX367" s="274"/>
      <c r="AY367" s="274"/>
      <c r="AZ367" s="274"/>
      <c r="BA367" s="274"/>
      <c r="BB367" s="274"/>
      <c r="BC367" s="274"/>
      <c r="BD367" s="274"/>
      <c r="BE367" s="274"/>
      <c r="BF367" s="274"/>
      <c r="BG367" s="274"/>
      <c r="BH367" s="274"/>
      <c r="BI367" s="274"/>
      <c r="BJ367" s="274"/>
      <c r="BK367" s="274"/>
      <c r="BL367" s="274"/>
      <c r="BM367" s="274"/>
      <c r="BN367" s="274"/>
      <c r="BO367" s="274"/>
      <c r="BP367" s="274" t="s">
        <v>1910</v>
      </c>
      <c r="BQ367" s="274"/>
      <c r="BR367" s="274"/>
    </row>
    <row r="368" ht="34" customHeight="1" spans="1:70">
      <c r="A368" s="208">
        <v>366</v>
      </c>
      <c r="B368" s="265" t="s">
        <v>1918</v>
      </c>
      <c r="C368" s="266" t="s">
        <v>78</v>
      </c>
      <c r="D368" s="268" t="s">
        <v>1919</v>
      </c>
      <c r="E368" s="267"/>
      <c r="F368" s="268"/>
      <c r="G368" s="269" t="s">
        <v>1920</v>
      </c>
      <c r="H368" s="270">
        <v>50</v>
      </c>
      <c r="I368" s="268"/>
      <c r="J368" s="268"/>
      <c r="K368" s="268"/>
      <c r="L368" s="268"/>
      <c r="M368" s="268" t="s">
        <v>1921</v>
      </c>
      <c r="N368" s="268"/>
      <c r="O368" s="268"/>
      <c r="P368" s="268"/>
      <c r="R368" s="268"/>
      <c r="S368" s="268"/>
      <c r="T368" s="268"/>
      <c r="U368" s="268"/>
      <c r="V368" s="268"/>
      <c r="W368" s="268"/>
      <c r="X368" s="268"/>
      <c r="Y368" s="268"/>
      <c r="Z368" s="268"/>
      <c r="AA368" s="268"/>
      <c r="AB368" s="268"/>
      <c r="AC368" s="268"/>
      <c r="AD368" s="268"/>
      <c r="AE368" s="268"/>
      <c r="AF368" s="274"/>
      <c r="AG368" s="274"/>
      <c r="AH368" s="274"/>
      <c r="AI368" s="274"/>
      <c r="AJ368" s="274"/>
      <c r="AK368" s="274"/>
      <c r="AL368" s="274"/>
      <c r="AM368" s="274"/>
      <c r="AN368" s="274"/>
      <c r="AO368" s="274"/>
      <c r="AP368" s="274"/>
      <c r="AR368" s="274"/>
      <c r="AS368" s="274"/>
      <c r="AT368" s="274"/>
      <c r="AU368" s="274"/>
      <c r="AV368" s="274"/>
      <c r="AW368" s="274"/>
      <c r="AX368" s="274"/>
      <c r="AY368" s="274"/>
      <c r="AZ368" s="274"/>
      <c r="BA368" s="274"/>
      <c r="BB368" s="274"/>
      <c r="BC368" s="274"/>
      <c r="BD368" s="274"/>
      <c r="BE368" s="274"/>
      <c r="BF368" s="274"/>
      <c r="BG368" s="274"/>
      <c r="BH368" s="274"/>
      <c r="BI368" s="274"/>
      <c r="BJ368" s="274"/>
      <c r="BK368" s="274"/>
      <c r="BL368" s="274"/>
      <c r="BM368" s="274"/>
      <c r="BN368" s="274"/>
      <c r="BO368" s="274"/>
      <c r="BP368" s="274" t="s">
        <v>1910</v>
      </c>
      <c r="BQ368" s="274"/>
      <c r="BR368" s="274"/>
    </row>
    <row r="369" ht="34" customHeight="1" spans="1:70">
      <c r="A369" s="208">
        <v>367</v>
      </c>
      <c r="B369" s="265" t="s">
        <v>1922</v>
      </c>
      <c r="C369" s="266" t="s">
        <v>1674</v>
      </c>
      <c r="D369" s="268" t="s">
        <v>1923</v>
      </c>
      <c r="E369" s="267"/>
      <c r="F369" s="268"/>
      <c r="G369" s="268" t="s">
        <v>1924</v>
      </c>
      <c r="H369" s="268"/>
      <c r="I369" s="268"/>
      <c r="J369" s="268"/>
      <c r="K369" s="268"/>
      <c r="L369" s="268"/>
      <c r="M369" s="268"/>
      <c r="N369" s="268"/>
      <c r="O369" s="268"/>
      <c r="P369" s="268"/>
      <c r="R369" s="268"/>
      <c r="S369" s="268"/>
      <c r="T369" s="268"/>
      <c r="U369" s="268"/>
      <c r="V369" s="268"/>
      <c r="W369" s="268"/>
      <c r="X369" s="268"/>
      <c r="Y369" s="268"/>
      <c r="Z369" s="268"/>
      <c r="AA369" s="268"/>
      <c r="AB369" s="268"/>
      <c r="AC369" s="268"/>
      <c r="AD369" s="268"/>
      <c r="AE369" s="268"/>
      <c r="AF369" s="274"/>
      <c r="AG369" s="274"/>
      <c r="AH369" s="274"/>
      <c r="AI369" s="274"/>
      <c r="AJ369" s="274"/>
      <c r="AK369" s="274"/>
      <c r="AL369" s="274"/>
      <c r="AM369" s="274"/>
      <c r="AN369" s="274"/>
      <c r="AO369" s="274"/>
      <c r="AP369" s="274"/>
      <c r="AR369" s="274"/>
      <c r="AS369" s="274"/>
      <c r="AT369" s="274"/>
      <c r="AU369" s="274"/>
      <c r="AV369" s="274"/>
      <c r="AW369" s="274"/>
      <c r="AX369" s="274"/>
      <c r="AY369" s="274"/>
      <c r="AZ369" s="274"/>
      <c r="BA369" s="274"/>
      <c r="BB369" s="274"/>
      <c r="BC369" s="274"/>
      <c r="BD369" s="274"/>
      <c r="BE369" s="274"/>
      <c r="BF369" s="274"/>
      <c r="BG369" s="274"/>
      <c r="BH369" s="274"/>
      <c r="BI369" s="274"/>
      <c r="BJ369" s="274"/>
      <c r="BK369" s="274"/>
      <c r="BL369" s="274"/>
      <c r="BM369" s="274"/>
      <c r="BN369" s="274"/>
      <c r="BO369" s="274"/>
      <c r="BP369" s="274" t="s">
        <v>1910</v>
      </c>
      <c r="BQ369" s="274"/>
      <c r="BR369" s="274"/>
    </row>
    <row r="370" ht="34" customHeight="1" spans="1:70">
      <c r="A370" s="208">
        <v>368</v>
      </c>
      <c r="B370" s="265" t="s">
        <v>1925</v>
      </c>
      <c r="C370" s="266" t="s">
        <v>956</v>
      </c>
      <c r="D370" s="266" t="s">
        <v>1926</v>
      </c>
      <c r="E370" s="267"/>
      <c r="F370" s="268"/>
      <c r="G370" s="268" t="s">
        <v>1927</v>
      </c>
      <c r="H370" s="273">
        <v>50</v>
      </c>
      <c r="I370" s="268"/>
      <c r="J370" s="268"/>
      <c r="K370" s="268"/>
      <c r="L370" s="268"/>
      <c r="M370" s="271" t="s">
        <v>1928</v>
      </c>
      <c r="N370" s="268"/>
      <c r="O370" s="268"/>
      <c r="P370" s="268"/>
      <c r="R370" s="268"/>
      <c r="S370" s="268"/>
      <c r="T370" s="268"/>
      <c r="U370" s="268"/>
      <c r="V370" s="268"/>
      <c r="W370" s="268"/>
      <c r="X370" s="268"/>
      <c r="Y370" s="268"/>
      <c r="Z370" s="268"/>
      <c r="AA370" s="268"/>
      <c r="AB370" s="268"/>
      <c r="AC370" s="268"/>
      <c r="AD370" s="268"/>
      <c r="AE370" s="268"/>
      <c r="AF370" s="274"/>
      <c r="AG370" s="274"/>
      <c r="AH370" s="274"/>
      <c r="AI370" s="274"/>
      <c r="AJ370" s="274"/>
      <c r="AK370" s="274"/>
      <c r="AL370" s="274"/>
      <c r="AM370" s="274"/>
      <c r="AN370" s="274"/>
      <c r="AO370" s="274"/>
      <c r="AP370" s="274"/>
      <c r="AR370" s="274"/>
      <c r="AS370" s="274"/>
      <c r="AT370" s="274"/>
      <c r="AU370" s="274"/>
      <c r="AV370" s="274"/>
      <c r="AW370" s="274"/>
      <c r="AX370" s="274"/>
      <c r="AY370" s="274"/>
      <c r="AZ370" s="274"/>
      <c r="BA370" s="274"/>
      <c r="BB370" s="274"/>
      <c r="BC370" s="274"/>
      <c r="BD370" s="274"/>
      <c r="BE370" s="274"/>
      <c r="BF370" s="274"/>
      <c r="BG370" s="274"/>
      <c r="BH370" s="274"/>
      <c r="BI370" s="274"/>
      <c r="BJ370" s="274"/>
      <c r="BK370" s="274"/>
      <c r="BL370" s="274"/>
      <c r="BM370" s="274"/>
      <c r="BN370" s="274"/>
      <c r="BO370" s="274"/>
      <c r="BP370" s="274" t="s">
        <v>1910</v>
      </c>
      <c r="BQ370" s="274"/>
      <c r="BR370" s="274"/>
    </row>
    <row r="371" ht="34" customHeight="1" spans="1:70">
      <c r="A371" s="208">
        <v>369</v>
      </c>
      <c r="B371" s="265" t="s">
        <v>1929</v>
      </c>
      <c r="C371" s="266" t="s">
        <v>78</v>
      </c>
      <c r="D371" s="266" t="s">
        <v>1930</v>
      </c>
      <c r="E371" s="267"/>
      <c r="F371" s="268"/>
      <c r="G371" s="268" t="s">
        <v>1931</v>
      </c>
      <c r="H371" s="268"/>
      <c r="I371" s="268"/>
      <c r="J371" s="157" t="s">
        <v>1932</v>
      </c>
      <c r="K371" s="157">
        <v>18816233928</v>
      </c>
      <c r="L371" s="268"/>
      <c r="M371" s="268"/>
      <c r="N371" s="268"/>
      <c r="O371" s="268"/>
      <c r="P371" s="268"/>
      <c r="R371" s="268"/>
      <c r="S371" s="268"/>
      <c r="T371" s="268"/>
      <c r="U371" s="268"/>
      <c r="V371" s="268"/>
      <c r="W371" s="268"/>
      <c r="X371" s="268"/>
      <c r="Y371" s="268"/>
      <c r="Z371" s="268"/>
      <c r="AA371" s="268"/>
      <c r="AB371" s="268"/>
      <c r="AC371" s="268"/>
      <c r="AD371" s="268"/>
      <c r="AE371" s="268"/>
      <c r="AF371" s="274"/>
      <c r="AG371" s="274"/>
      <c r="AH371" s="274"/>
      <c r="AI371" s="274"/>
      <c r="AJ371" s="274"/>
      <c r="AK371" s="274"/>
      <c r="AL371" s="274"/>
      <c r="AM371" s="274"/>
      <c r="AN371" s="274"/>
      <c r="AO371" s="274"/>
      <c r="AP371" s="274"/>
      <c r="AR371" s="274"/>
      <c r="AS371" s="274"/>
      <c r="AT371" s="274"/>
      <c r="AU371" s="274"/>
      <c r="AV371" s="274"/>
      <c r="AW371" s="274"/>
      <c r="AX371" s="274"/>
      <c r="AY371" s="274"/>
      <c r="AZ371" s="274"/>
      <c r="BA371" s="274"/>
      <c r="BB371" s="274"/>
      <c r="BC371" s="274"/>
      <c r="BD371" s="274"/>
      <c r="BE371" s="274"/>
      <c r="BF371" s="274"/>
      <c r="BG371" s="274"/>
      <c r="BH371" s="274"/>
      <c r="BI371" s="274"/>
      <c r="BJ371" s="274"/>
      <c r="BK371" s="274"/>
      <c r="BL371" s="274"/>
      <c r="BM371" s="274"/>
      <c r="BN371" s="274"/>
      <c r="BO371" s="274"/>
      <c r="BP371" s="274" t="s">
        <v>1910</v>
      </c>
      <c r="BQ371" s="274"/>
      <c r="BR371" s="274"/>
    </row>
    <row r="372" ht="34" customHeight="1" spans="1:70">
      <c r="A372" s="208">
        <v>370</v>
      </c>
      <c r="B372" s="265" t="s">
        <v>1933</v>
      </c>
      <c r="C372" s="266" t="s">
        <v>1521</v>
      </c>
      <c r="D372" s="157" t="s">
        <v>1934</v>
      </c>
      <c r="E372" s="267"/>
      <c r="F372" s="268"/>
      <c r="G372" s="268" t="s">
        <v>1935</v>
      </c>
      <c r="H372" s="268"/>
      <c r="I372" s="268"/>
      <c r="J372" s="268"/>
      <c r="K372" s="268"/>
      <c r="L372" s="268"/>
      <c r="M372" s="268"/>
      <c r="N372" s="268"/>
      <c r="O372" s="268"/>
      <c r="P372" s="268"/>
      <c r="R372" s="268"/>
      <c r="S372" s="268"/>
      <c r="T372" s="268"/>
      <c r="U372" s="268"/>
      <c r="V372" s="268"/>
      <c r="W372" s="268"/>
      <c r="X372" s="268"/>
      <c r="Y372" s="268"/>
      <c r="Z372" s="268"/>
      <c r="AA372" s="268"/>
      <c r="AB372" s="268"/>
      <c r="AC372" s="268"/>
      <c r="AD372" s="268"/>
      <c r="AE372" s="268"/>
      <c r="AF372" s="274"/>
      <c r="AG372" s="274"/>
      <c r="AH372" s="274"/>
      <c r="AI372" s="274"/>
      <c r="AJ372" s="274"/>
      <c r="AK372" s="274"/>
      <c r="AL372" s="274"/>
      <c r="AM372" s="274"/>
      <c r="AN372" s="274"/>
      <c r="AO372" s="274"/>
      <c r="AP372" s="274"/>
      <c r="AR372" s="274"/>
      <c r="AS372" s="274"/>
      <c r="AT372" s="274"/>
      <c r="AU372" s="274"/>
      <c r="AV372" s="274"/>
      <c r="AW372" s="274"/>
      <c r="AX372" s="274"/>
      <c r="AY372" s="274"/>
      <c r="AZ372" s="274"/>
      <c r="BA372" s="274"/>
      <c r="BB372" s="274"/>
      <c r="BC372" s="274"/>
      <c r="BD372" s="274"/>
      <c r="BE372" s="274"/>
      <c r="BF372" s="274"/>
      <c r="BG372" s="274"/>
      <c r="BH372" s="274"/>
      <c r="BI372" s="274"/>
      <c r="BJ372" s="274"/>
      <c r="BK372" s="274"/>
      <c r="BL372" s="274"/>
      <c r="BM372" s="274"/>
      <c r="BN372" s="274"/>
      <c r="BO372" s="274"/>
      <c r="BP372" s="274" t="s">
        <v>1910</v>
      </c>
      <c r="BQ372" s="274"/>
      <c r="BR372" s="274"/>
    </row>
    <row r="373" ht="34" customHeight="1" spans="1:70">
      <c r="A373" s="208">
        <v>371</v>
      </c>
      <c r="B373" s="265" t="s">
        <v>1936</v>
      </c>
      <c r="C373" s="266" t="s">
        <v>78</v>
      </c>
      <c r="D373" s="268" t="s">
        <v>1937</v>
      </c>
      <c r="E373" s="267"/>
      <c r="F373" s="268"/>
      <c r="G373" s="275" t="s">
        <v>1938</v>
      </c>
      <c r="H373" s="268"/>
      <c r="I373" s="268"/>
      <c r="J373" s="157" t="s">
        <v>1939</v>
      </c>
      <c r="K373" s="157">
        <v>13813082437</v>
      </c>
      <c r="L373" s="268"/>
      <c r="M373" s="268"/>
      <c r="N373" s="268"/>
      <c r="O373" s="268"/>
      <c r="P373" s="268"/>
      <c r="R373" s="268"/>
      <c r="S373" s="268"/>
      <c r="T373" s="268"/>
      <c r="U373" s="268"/>
      <c r="V373" s="268"/>
      <c r="W373" s="268"/>
      <c r="X373" s="268"/>
      <c r="Y373" s="268"/>
      <c r="Z373" s="268"/>
      <c r="AA373" s="268"/>
      <c r="AB373" s="268"/>
      <c r="AC373" s="268"/>
      <c r="AD373" s="268"/>
      <c r="AE373" s="268"/>
      <c r="AF373" s="274"/>
      <c r="AG373" s="274"/>
      <c r="AH373" s="274"/>
      <c r="AI373" s="274"/>
      <c r="AJ373" s="274"/>
      <c r="AK373" s="274"/>
      <c r="AL373" s="274"/>
      <c r="AM373" s="274"/>
      <c r="AN373" s="274"/>
      <c r="AO373" s="274"/>
      <c r="AP373" s="274"/>
      <c r="AR373" s="274"/>
      <c r="AS373" s="274"/>
      <c r="AT373" s="274"/>
      <c r="AU373" s="274"/>
      <c r="AV373" s="274"/>
      <c r="AW373" s="274"/>
      <c r="AX373" s="274"/>
      <c r="AY373" s="274"/>
      <c r="AZ373" s="274"/>
      <c r="BA373" s="274"/>
      <c r="BB373" s="274"/>
      <c r="BC373" s="274"/>
      <c r="BD373" s="274"/>
      <c r="BE373" s="274"/>
      <c r="BF373" s="274"/>
      <c r="BG373" s="274"/>
      <c r="BH373" s="274"/>
      <c r="BI373" s="274"/>
      <c r="BJ373" s="274"/>
      <c r="BK373" s="274"/>
      <c r="BL373" s="274"/>
      <c r="BM373" s="274"/>
      <c r="BN373" s="274"/>
      <c r="BO373" s="274"/>
      <c r="BP373" s="274" t="s">
        <v>1910</v>
      </c>
      <c r="BQ373" s="274"/>
      <c r="BR373" s="274"/>
    </row>
    <row r="374" ht="34" customHeight="1" spans="1:70">
      <c r="A374" s="208">
        <v>372</v>
      </c>
      <c r="B374" s="265" t="s">
        <v>1940</v>
      </c>
      <c r="C374" s="268" t="s">
        <v>956</v>
      </c>
      <c r="D374" s="266" t="s">
        <v>1941</v>
      </c>
      <c r="E374" s="267"/>
      <c r="F374" s="268"/>
      <c r="G374" s="268" t="s">
        <v>1942</v>
      </c>
      <c r="H374" s="273">
        <v>50</v>
      </c>
      <c r="I374" s="268"/>
      <c r="J374" s="268"/>
      <c r="K374" s="268"/>
      <c r="L374" s="268"/>
      <c r="M374" s="268"/>
      <c r="N374" s="268"/>
      <c r="O374" s="268"/>
      <c r="P374" s="268"/>
      <c r="R374" s="268"/>
      <c r="S374" s="268"/>
      <c r="T374" s="268"/>
      <c r="U374" s="268"/>
      <c r="V374" s="268"/>
      <c r="W374" s="268"/>
      <c r="X374" s="268"/>
      <c r="Y374" s="268"/>
      <c r="Z374" s="268"/>
      <c r="AA374" s="268"/>
      <c r="AB374" s="268"/>
      <c r="AC374" s="268"/>
      <c r="AD374" s="268"/>
      <c r="AE374" s="268"/>
      <c r="AF374" s="274"/>
      <c r="AG374" s="274"/>
      <c r="AH374" s="274"/>
      <c r="AI374" s="274"/>
      <c r="AJ374" s="274"/>
      <c r="AK374" s="274"/>
      <c r="AL374" s="274"/>
      <c r="AM374" s="274"/>
      <c r="AN374" s="274"/>
      <c r="AO374" s="274"/>
      <c r="AP374" s="274"/>
      <c r="AR374" s="274"/>
      <c r="AS374" s="274"/>
      <c r="AT374" s="274"/>
      <c r="AU374" s="274"/>
      <c r="AV374" s="274"/>
      <c r="AW374" s="274"/>
      <c r="AX374" s="274"/>
      <c r="AY374" s="274"/>
      <c r="AZ374" s="274"/>
      <c r="BA374" s="274"/>
      <c r="BB374" s="274"/>
      <c r="BC374" s="274"/>
      <c r="BD374" s="274"/>
      <c r="BE374" s="274"/>
      <c r="BF374" s="274"/>
      <c r="BG374" s="274"/>
      <c r="BH374" s="274"/>
      <c r="BI374" s="274"/>
      <c r="BJ374" s="274"/>
      <c r="BK374" s="274"/>
      <c r="BL374" s="274"/>
      <c r="BM374" s="274"/>
      <c r="BN374" s="274"/>
      <c r="BO374" s="274"/>
      <c r="BP374" s="274" t="s">
        <v>1910</v>
      </c>
      <c r="BQ374" s="274"/>
      <c r="BR374" s="274"/>
    </row>
    <row r="375" ht="34" customHeight="1" spans="1:70">
      <c r="A375" s="208">
        <v>373</v>
      </c>
      <c r="B375" s="265" t="s">
        <v>1943</v>
      </c>
      <c r="C375" s="268" t="s">
        <v>78</v>
      </c>
      <c r="D375" s="266" t="s">
        <v>1944</v>
      </c>
      <c r="E375" s="267"/>
      <c r="F375" s="268"/>
      <c r="G375" s="268" t="s">
        <v>1945</v>
      </c>
      <c r="H375" s="268"/>
      <c r="I375" s="268"/>
      <c r="J375" s="157" t="s">
        <v>1946</v>
      </c>
      <c r="K375" s="157">
        <v>13813562644</v>
      </c>
      <c r="L375" s="268"/>
      <c r="M375" s="268"/>
      <c r="N375" s="268"/>
      <c r="O375" s="268"/>
      <c r="P375" s="268"/>
      <c r="R375" s="268"/>
      <c r="S375" s="268"/>
      <c r="T375" s="268"/>
      <c r="U375" s="268"/>
      <c r="V375" s="268"/>
      <c r="W375" s="268"/>
      <c r="X375" s="268"/>
      <c r="Y375" s="268"/>
      <c r="Z375" s="268"/>
      <c r="AA375" s="268"/>
      <c r="AB375" s="268"/>
      <c r="AC375" s="268"/>
      <c r="AD375" s="268"/>
      <c r="AE375" s="268"/>
      <c r="AF375" s="274"/>
      <c r="AG375" s="274"/>
      <c r="AH375" s="274"/>
      <c r="AI375" s="274"/>
      <c r="AJ375" s="274"/>
      <c r="AK375" s="274"/>
      <c r="AL375" s="274"/>
      <c r="AM375" s="274"/>
      <c r="AN375" s="274"/>
      <c r="AO375" s="274"/>
      <c r="AP375" s="274"/>
      <c r="AR375" s="274"/>
      <c r="AS375" s="274"/>
      <c r="AT375" s="274"/>
      <c r="AU375" s="274"/>
      <c r="AV375" s="274"/>
      <c r="AW375" s="274"/>
      <c r="AX375" s="274"/>
      <c r="AY375" s="274"/>
      <c r="AZ375" s="274"/>
      <c r="BA375" s="274"/>
      <c r="BB375" s="274"/>
      <c r="BC375" s="274"/>
      <c r="BD375" s="274"/>
      <c r="BE375" s="274"/>
      <c r="BF375" s="274"/>
      <c r="BG375" s="274"/>
      <c r="BH375" s="274"/>
      <c r="BI375" s="274"/>
      <c r="BJ375" s="274"/>
      <c r="BK375" s="274"/>
      <c r="BL375" s="274"/>
      <c r="BM375" s="274"/>
      <c r="BN375" s="274"/>
      <c r="BO375" s="274"/>
      <c r="BP375" s="274" t="s">
        <v>1910</v>
      </c>
      <c r="BQ375" s="274"/>
      <c r="BR375" s="274"/>
    </row>
    <row r="376" ht="34" customHeight="1" spans="1:70">
      <c r="A376" s="208">
        <v>374</v>
      </c>
      <c r="B376" s="265" t="s">
        <v>1947</v>
      </c>
      <c r="C376" s="268" t="s">
        <v>78</v>
      </c>
      <c r="D376" s="268" t="s">
        <v>1948</v>
      </c>
      <c r="E376" s="267"/>
      <c r="F376" s="149" t="s">
        <v>156</v>
      </c>
      <c r="G376" s="268" t="s">
        <v>1913</v>
      </c>
      <c r="H376" s="268"/>
      <c r="I376" s="268"/>
      <c r="J376" s="268"/>
      <c r="K376" s="268"/>
      <c r="L376" s="268"/>
      <c r="M376" s="268"/>
      <c r="N376" s="268"/>
      <c r="O376" s="268"/>
      <c r="P376" s="268"/>
      <c r="R376" s="268"/>
      <c r="S376" s="268"/>
      <c r="T376" s="268"/>
      <c r="U376" s="268"/>
      <c r="V376" s="268"/>
      <c r="W376" s="268"/>
      <c r="X376" s="268"/>
      <c r="Y376" s="268"/>
      <c r="Z376" s="268"/>
      <c r="AA376" s="268"/>
      <c r="AB376" s="268"/>
      <c r="AC376" s="268"/>
      <c r="AD376" s="268"/>
      <c r="AE376" s="268"/>
      <c r="AF376" s="274"/>
      <c r="AG376" s="274"/>
      <c r="AH376" s="274"/>
      <c r="AI376" s="274"/>
      <c r="AJ376" s="274"/>
      <c r="AK376" s="274"/>
      <c r="AL376" s="274"/>
      <c r="AM376" s="274"/>
      <c r="AN376" s="274"/>
      <c r="AO376" s="274"/>
      <c r="AP376" s="274"/>
      <c r="AR376" s="274"/>
      <c r="AS376" s="274"/>
      <c r="AT376" s="274"/>
      <c r="AU376" s="274"/>
      <c r="AV376" s="274"/>
      <c r="AW376" s="274"/>
      <c r="AX376" s="274"/>
      <c r="AY376" s="274"/>
      <c r="AZ376" s="274"/>
      <c r="BA376" s="274"/>
      <c r="BB376" s="274"/>
      <c r="BC376" s="274"/>
      <c r="BD376" s="274"/>
      <c r="BE376" s="274"/>
      <c r="BF376" s="274"/>
      <c r="BG376" s="274"/>
      <c r="BH376" s="274"/>
      <c r="BI376" s="274"/>
      <c r="BJ376" s="274"/>
      <c r="BK376" s="274"/>
      <c r="BL376" s="274"/>
      <c r="BM376" s="274"/>
      <c r="BN376" s="274"/>
      <c r="BO376" s="274"/>
      <c r="BP376" s="274" t="s">
        <v>1910</v>
      </c>
      <c r="BQ376" s="274"/>
      <c r="BR376" s="274"/>
    </row>
    <row r="377" ht="34" customHeight="1" spans="1:70">
      <c r="A377" s="208">
        <v>375</v>
      </c>
      <c r="B377" s="265" t="s">
        <v>1949</v>
      </c>
      <c r="C377" s="268" t="s">
        <v>78</v>
      </c>
      <c r="D377" s="268" t="s">
        <v>1950</v>
      </c>
      <c r="E377" s="267"/>
      <c r="F377" s="149" t="s">
        <v>156</v>
      </c>
      <c r="G377" s="268" t="s">
        <v>1913</v>
      </c>
      <c r="H377" s="268"/>
      <c r="I377" s="268"/>
      <c r="J377" s="268"/>
      <c r="K377" s="268"/>
      <c r="L377" s="268"/>
      <c r="M377" s="268"/>
      <c r="N377" s="268"/>
      <c r="O377" s="268"/>
      <c r="P377" s="268"/>
      <c r="R377" s="268"/>
      <c r="S377" s="268"/>
      <c r="T377" s="268"/>
      <c r="U377" s="268"/>
      <c r="V377" s="268"/>
      <c r="W377" s="268"/>
      <c r="X377" s="268"/>
      <c r="Y377" s="268"/>
      <c r="Z377" s="268"/>
      <c r="AA377" s="268"/>
      <c r="AB377" s="268"/>
      <c r="AC377" s="268"/>
      <c r="AD377" s="268"/>
      <c r="AE377" s="268"/>
      <c r="AF377" s="274"/>
      <c r="AG377" s="274"/>
      <c r="AH377" s="274"/>
      <c r="AI377" s="274"/>
      <c r="AJ377" s="274"/>
      <c r="AK377" s="274"/>
      <c r="AL377" s="274"/>
      <c r="AM377" s="274"/>
      <c r="AN377" s="274"/>
      <c r="AO377" s="274"/>
      <c r="AP377" s="274"/>
      <c r="AR377" s="274"/>
      <c r="AS377" s="274"/>
      <c r="AT377" s="274"/>
      <c r="AU377" s="274"/>
      <c r="AV377" s="274"/>
      <c r="AW377" s="274"/>
      <c r="AX377" s="274"/>
      <c r="AY377" s="274"/>
      <c r="AZ377" s="274"/>
      <c r="BA377" s="274"/>
      <c r="BB377" s="274"/>
      <c r="BC377" s="274"/>
      <c r="BD377" s="274"/>
      <c r="BE377" s="274"/>
      <c r="BF377" s="274"/>
      <c r="BG377" s="274"/>
      <c r="BH377" s="274"/>
      <c r="BI377" s="274"/>
      <c r="BJ377" s="274"/>
      <c r="BK377" s="274"/>
      <c r="BL377" s="274"/>
      <c r="BM377" s="274"/>
      <c r="BN377" s="274"/>
      <c r="BO377" s="274"/>
      <c r="BP377" s="274" t="s">
        <v>1910</v>
      </c>
      <c r="BQ377" s="274"/>
      <c r="BR377" s="274"/>
    </row>
    <row r="378" ht="34" customHeight="1" spans="1:70">
      <c r="A378" s="208">
        <v>376</v>
      </c>
      <c r="B378" s="265" t="s">
        <v>1951</v>
      </c>
      <c r="C378" s="268" t="s">
        <v>467</v>
      </c>
      <c r="D378" s="268" t="s">
        <v>1952</v>
      </c>
      <c r="E378" s="267"/>
      <c r="F378" s="268"/>
      <c r="G378" s="268" t="s">
        <v>1938</v>
      </c>
      <c r="H378" s="268">
        <v>2</v>
      </c>
      <c r="I378" s="268"/>
      <c r="J378" s="268"/>
      <c r="K378" s="268"/>
      <c r="L378" s="268"/>
      <c r="M378" s="268"/>
      <c r="N378" s="268"/>
      <c r="O378" s="268"/>
      <c r="P378" s="268"/>
      <c r="R378" s="268"/>
      <c r="S378" s="268"/>
      <c r="T378" s="268"/>
      <c r="U378" s="268"/>
      <c r="V378" s="268"/>
      <c r="W378" s="268"/>
      <c r="X378" s="268"/>
      <c r="Y378" s="268"/>
      <c r="Z378" s="268"/>
      <c r="AA378" s="268"/>
      <c r="AB378" s="268"/>
      <c r="AC378" s="268"/>
      <c r="AD378" s="268"/>
      <c r="AE378" s="268"/>
      <c r="AF378" s="274"/>
      <c r="AG378" s="274"/>
      <c r="AH378" s="274"/>
      <c r="AI378" s="274"/>
      <c r="AJ378" s="274"/>
      <c r="AK378" s="274"/>
      <c r="AL378" s="274"/>
      <c r="AM378" s="274"/>
      <c r="AN378" s="274"/>
      <c r="AO378" s="274"/>
      <c r="AP378" s="274"/>
      <c r="AR378" s="274"/>
      <c r="AS378" s="274"/>
      <c r="AT378" s="274"/>
      <c r="AU378" s="274"/>
      <c r="AV378" s="274"/>
      <c r="AW378" s="274"/>
      <c r="AX378" s="274"/>
      <c r="AY378" s="274"/>
      <c r="AZ378" s="274"/>
      <c r="BA378" s="274"/>
      <c r="BB378" s="274"/>
      <c r="BC378" s="274"/>
      <c r="BD378" s="274"/>
      <c r="BE378" s="274"/>
      <c r="BF378" s="274"/>
      <c r="BG378" s="274"/>
      <c r="BH378" s="274"/>
      <c r="BI378" s="274"/>
      <c r="BJ378" s="274"/>
      <c r="BK378" s="274"/>
      <c r="BL378" s="274"/>
      <c r="BM378" s="274"/>
      <c r="BN378" s="274"/>
      <c r="BO378" s="274"/>
      <c r="BP378" s="274" t="s">
        <v>1910</v>
      </c>
      <c r="BQ378" s="274"/>
      <c r="BR378" s="274"/>
    </row>
    <row r="379" ht="34" customHeight="1" spans="1:70">
      <c r="A379" s="208">
        <v>377</v>
      </c>
      <c r="B379" s="265" t="s">
        <v>1953</v>
      </c>
      <c r="C379" s="268" t="s">
        <v>78</v>
      </c>
      <c r="D379" s="266" t="s">
        <v>1954</v>
      </c>
      <c r="E379" s="267"/>
      <c r="F379" s="268"/>
      <c r="G379" s="269" t="s">
        <v>340</v>
      </c>
      <c r="H379" s="268"/>
      <c r="I379" s="268"/>
      <c r="J379" s="268"/>
      <c r="K379" s="268"/>
      <c r="L379" s="268"/>
      <c r="M379" s="271" t="s">
        <v>1955</v>
      </c>
      <c r="N379" s="268"/>
      <c r="O379" s="268"/>
      <c r="P379" s="268"/>
      <c r="R379" s="268"/>
      <c r="S379" s="268"/>
      <c r="T379" s="268"/>
      <c r="U379" s="268"/>
      <c r="V379" s="268"/>
      <c r="W379" s="268"/>
      <c r="X379" s="268"/>
      <c r="Y379" s="268"/>
      <c r="Z379" s="268"/>
      <c r="AA379" s="268"/>
      <c r="AB379" s="268"/>
      <c r="AC379" s="268"/>
      <c r="AD379" s="268"/>
      <c r="AE379" s="268"/>
      <c r="AF379" s="274"/>
      <c r="AG379" s="274"/>
      <c r="AH379" s="274"/>
      <c r="AI379" s="274"/>
      <c r="AJ379" s="274"/>
      <c r="AK379" s="274"/>
      <c r="AL379" s="274"/>
      <c r="AM379" s="274"/>
      <c r="AN379" s="274"/>
      <c r="AO379" s="274"/>
      <c r="AP379" s="274"/>
      <c r="AR379" s="274"/>
      <c r="AS379" s="274"/>
      <c r="AT379" s="274"/>
      <c r="AU379" s="274"/>
      <c r="AV379" s="274"/>
      <c r="AW379" s="274"/>
      <c r="AX379" s="274"/>
      <c r="AY379" s="274"/>
      <c r="AZ379" s="274"/>
      <c r="BA379" s="274"/>
      <c r="BB379" s="274"/>
      <c r="BC379" s="274"/>
      <c r="BD379" s="274"/>
      <c r="BE379" s="274"/>
      <c r="BF379" s="274"/>
      <c r="BG379" s="274"/>
      <c r="BH379" s="274"/>
      <c r="BI379" s="274"/>
      <c r="BJ379" s="274"/>
      <c r="BK379" s="274"/>
      <c r="BL379" s="274"/>
      <c r="BM379" s="274"/>
      <c r="BN379" s="274"/>
      <c r="BO379" s="274"/>
      <c r="BP379" s="274" t="s">
        <v>1910</v>
      </c>
      <c r="BQ379" s="274"/>
      <c r="BR379" s="274"/>
    </row>
    <row r="380" ht="25.25" customHeight="1" spans="1:70">
      <c r="A380" s="208">
        <v>378</v>
      </c>
      <c r="B380" s="265" t="s">
        <v>1956</v>
      </c>
      <c r="C380" s="268" t="s">
        <v>1674</v>
      </c>
      <c r="D380" s="266" t="s">
        <v>1957</v>
      </c>
      <c r="E380" s="267"/>
      <c r="F380" s="268"/>
      <c r="G380" s="268"/>
      <c r="H380" s="268"/>
      <c r="I380" s="268"/>
      <c r="J380" s="268"/>
      <c r="K380" s="268"/>
      <c r="L380" s="268"/>
      <c r="M380" s="271" t="s">
        <v>1958</v>
      </c>
      <c r="N380" s="268"/>
      <c r="O380" s="268"/>
      <c r="P380" s="268"/>
      <c r="R380" s="268"/>
      <c r="S380" s="268"/>
      <c r="T380" s="268"/>
      <c r="U380" s="268"/>
      <c r="V380" s="268"/>
      <c r="W380" s="268"/>
      <c r="X380" s="268"/>
      <c r="Y380" s="268"/>
      <c r="Z380" s="268"/>
      <c r="AA380" s="268"/>
      <c r="AB380" s="268"/>
      <c r="AC380" s="268"/>
      <c r="AD380" s="268"/>
      <c r="AE380" s="268"/>
      <c r="AF380" s="274"/>
      <c r="AG380" s="274"/>
      <c r="AH380" s="274"/>
      <c r="AI380" s="274"/>
      <c r="AJ380" s="274"/>
      <c r="AK380" s="274"/>
      <c r="AL380" s="274"/>
      <c r="AM380" s="274"/>
      <c r="AN380" s="274"/>
      <c r="AO380" s="274"/>
      <c r="AP380" s="274"/>
      <c r="AR380" s="274"/>
      <c r="AS380" s="274"/>
      <c r="AT380" s="274"/>
      <c r="AU380" s="274"/>
      <c r="AV380" s="274"/>
      <c r="AW380" s="274"/>
      <c r="AX380" s="274"/>
      <c r="AY380" s="274"/>
      <c r="AZ380" s="274"/>
      <c r="BA380" s="274"/>
      <c r="BB380" s="274"/>
      <c r="BC380" s="274"/>
      <c r="BD380" s="274"/>
      <c r="BE380" s="274"/>
      <c r="BF380" s="274"/>
      <c r="BG380" s="274"/>
      <c r="BH380" s="274"/>
      <c r="BI380" s="274"/>
      <c r="BJ380" s="274"/>
      <c r="BK380" s="274"/>
      <c r="BL380" s="274"/>
      <c r="BM380" s="274"/>
      <c r="BN380" s="274"/>
      <c r="BO380" s="274"/>
      <c r="BP380" s="274" t="s">
        <v>1910</v>
      </c>
      <c r="BQ380" s="274"/>
      <c r="BR380" s="274"/>
    </row>
    <row r="381" ht="45" customHeight="1" spans="1:70">
      <c r="A381" s="189">
        <v>379</v>
      </c>
      <c r="B381" s="276" t="s">
        <v>1959</v>
      </c>
      <c r="C381" s="240" t="s">
        <v>78</v>
      </c>
      <c r="D381" s="240" t="s">
        <v>1960</v>
      </c>
      <c r="E381" s="264"/>
      <c r="F381" s="240"/>
      <c r="G381" s="240" t="s">
        <v>81</v>
      </c>
      <c r="H381" s="240"/>
      <c r="I381" s="240"/>
      <c r="J381" s="277" t="s">
        <v>1961</v>
      </c>
      <c r="K381" s="277"/>
      <c r="L381" s="240"/>
      <c r="M381" s="240" t="s">
        <v>81</v>
      </c>
      <c r="N381" s="240"/>
      <c r="O381" s="240"/>
      <c r="P381" s="240"/>
      <c r="Q381" s="207"/>
      <c r="R381" s="240" t="s">
        <v>146</v>
      </c>
      <c r="S381" s="240" t="s">
        <v>1962</v>
      </c>
      <c r="T381" s="240"/>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R381" s="240"/>
      <c r="AS381" s="240"/>
      <c r="AT381" s="240"/>
      <c r="AU381" s="240"/>
      <c r="AV381" s="240"/>
      <c r="AW381" s="240"/>
      <c r="AX381" s="240"/>
      <c r="AY381" s="240"/>
      <c r="AZ381" s="240"/>
      <c r="BA381" s="240"/>
      <c r="BB381" s="240"/>
      <c r="BC381" s="240"/>
      <c r="BD381" s="240"/>
      <c r="BE381" s="240"/>
      <c r="BF381" s="240"/>
      <c r="BG381" s="240"/>
      <c r="BH381" s="240"/>
      <c r="BI381" s="240"/>
      <c r="BJ381" s="240"/>
      <c r="BK381" s="240"/>
      <c r="BL381" s="240"/>
      <c r="BM381" s="240"/>
      <c r="BN381" s="240"/>
      <c r="BO381" s="240"/>
      <c r="BP381" s="240" t="s">
        <v>1910</v>
      </c>
      <c r="BQ381" s="240"/>
      <c r="BR381" s="240"/>
    </row>
    <row r="382" ht="38.5" customHeight="1" spans="1:70">
      <c r="A382" s="204">
        <v>380</v>
      </c>
      <c r="B382" s="265" t="s">
        <v>1963</v>
      </c>
      <c r="C382" s="268" t="s">
        <v>1674</v>
      </c>
      <c r="D382" s="268" t="s">
        <v>1964</v>
      </c>
      <c r="E382" s="267"/>
      <c r="F382" s="268"/>
      <c r="G382" s="268" t="s">
        <v>328</v>
      </c>
      <c r="H382" s="268"/>
      <c r="I382" s="268"/>
      <c r="J382" s="157" t="s">
        <v>1965</v>
      </c>
      <c r="K382" s="157">
        <v>18362273673</v>
      </c>
      <c r="L382" s="268"/>
      <c r="M382" s="268"/>
      <c r="N382" s="268"/>
      <c r="O382" s="268"/>
      <c r="P382" s="268"/>
      <c r="R382" s="268"/>
      <c r="S382" s="268"/>
      <c r="T382" s="268"/>
      <c r="U382" s="268"/>
      <c r="V382" s="268"/>
      <c r="W382" s="268"/>
      <c r="X382" s="268"/>
      <c r="Y382" s="268"/>
      <c r="Z382" s="268"/>
      <c r="AA382" s="268"/>
      <c r="AB382" s="268"/>
      <c r="AC382" s="268"/>
      <c r="AD382" s="268"/>
      <c r="AE382" s="268"/>
      <c r="AF382" s="272"/>
      <c r="AG382" s="272"/>
      <c r="AH382" s="272"/>
      <c r="AI382" s="272"/>
      <c r="AJ382" s="272"/>
      <c r="AK382" s="272"/>
      <c r="AL382" s="272"/>
      <c r="AM382" s="272"/>
      <c r="AN382" s="272"/>
      <c r="AO382" s="272"/>
      <c r="AP382" s="272"/>
      <c r="AR382" s="272"/>
      <c r="AS382" s="272"/>
      <c r="AT382" s="272"/>
      <c r="AU382" s="272"/>
      <c r="AV382" s="272"/>
      <c r="AW382" s="272"/>
      <c r="AX382" s="272"/>
      <c r="AY382" s="272"/>
      <c r="AZ382" s="272"/>
      <c r="BA382" s="272"/>
      <c r="BB382" s="272"/>
      <c r="BC382" s="272"/>
      <c r="BD382" s="272"/>
      <c r="BE382" s="272"/>
      <c r="BF382" s="272"/>
      <c r="BG382" s="272"/>
      <c r="BH382" s="272"/>
      <c r="BI382" s="272"/>
      <c r="BJ382" s="272"/>
      <c r="BK382" s="272"/>
      <c r="BL382" s="272"/>
      <c r="BM382" s="272"/>
      <c r="BN382" s="272"/>
      <c r="BO382" s="272"/>
      <c r="BP382" s="272" t="s">
        <v>1910</v>
      </c>
      <c r="BQ382" s="272"/>
      <c r="BR382" s="272"/>
    </row>
    <row r="383" ht="34" customHeight="1" spans="1:70">
      <c r="A383" s="208">
        <v>381</v>
      </c>
      <c r="B383" s="265" t="s">
        <v>1966</v>
      </c>
      <c r="C383" s="268" t="s">
        <v>78</v>
      </c>
      <c r="D383" s="268" t="s">
        <v>1967</v>
      </c>
      <c r="E383" s="267"/>
      <c r="F383" s="268"/>
      <c r="G383" s="268" t="s">
        <v>328</v>
      </c>
      <c r="H383" s="268"/>
      <c r="I383" s="268"/>
      <c r="J383" s="268"/>
      <c r="K383" s="268"/>
      <c r="L383" s="268"/>
      <c r="M383" s="268" t="s">
        <v>741</v>
      </c>
      <c r="N383" s="268"/>
      <c r="O383" s="268"/>
      <c r="P383" s="268"/>
      <c r="R383" s="268"/>
      <c r="S383" s="268"/>
      <c r="T383" s="268"/>
      <c r="U383" s="268"/>
      <c r="V383" s="268"/>
      <c r="W383" s="268"/>
      <c r="X383" s="268"/>
      <c r="Y383" s="268"/>
      <c r="Z383" s="268"/>
      <c r="AA383" s="268"/>
      <c r="AB383" s="268"/>
      <c r="AC383" s="268"/>
      <c r="AD383" s="268"/>
      <c r="AE383" s="268"/>
      <c r="AF383" s="274"/>
      <c r="AG383" s="274"/>
      <c r="AH383" s="274"/>
      <c r="AI383" s="274"/>
      <c r="AJ383" s="274"/>
      <c r="AK383" s="274"/>
      <c r="AL383" s="274"/>
      <c r="AM383" s="274"/>
      <c r="AN383" s="274"/>
      <c r="AO383" s="274"/>
      <c r="AP383" s="274"/>
      <c r="AR383" s="274"/>
      <c r="AS383" s="274"/>
      <c r="AT383" s="274"/>
      <c r="AU383" s="274"/>
      <c r="AV383" s="274"/>
      <c r="AW383" s="274"/>
      <c r="AX383" s="274"/>
      <c r="AY383" s="274"/>
      <c r="AZ383" s="274"/>
      <c r="BA383" s="274"/>
      <c r="BB383" s="274"/>
      <c r="BC383" s="274"/>
      <c r="BD383" s="274"/>
      <c r="BE383" s="274"/>
      <c r="BF383" s="274"/>
      <c r="BG383" s="274"/>
      <c r="BH383" s="274"/>
      <c r="BI383" s="274"/>
      <c r="BJ383" s="274"/>
      <c r="BK383" s="274"/>
      <c r="BL383" s="274"/>
      <c r="BM383" s="274"/>
      <c r="BN383" s="274"/>
      <c r="BO383" s="274"/>
      <c r="BP383" s="274" t="s">
        <v>1910</v>
      </c>
      <c r="BQ383" s="274"/>
      <c r="BR383" s="274"/>
    </row>
    <row r="384" ht="34" customHeight="1" spans="1:70">
      <c r="A384" s="208">
        <v>382</v>
      </c>
      <c r="B384" s="265" t="s">
        <v>1968</v>
      </c>
      <c r="C384" s="268" t="s">
        <v>78</v>
      </c>
      <c r="D384" s="268" t="s">
        <v>1969</v>
      </c>
      <c r="E384" s="267"/>
      <c r="F384" s="268"/>
      <c r="G384" s="268" t="s">
        <v>301</v>
      </c>
      <c r="H384" s="268"/>
      <c r="I384" s="268"/>
      <c r="J384" s="268"/>
      <c r="K384" s="268"/>
      <c r="L384" s="268"/>
      <c r="M384" s="268"/>
      <c r="N384" s="268"/>
      <c r="O384" s="268"/>
      <c r="P384" s="268"/>
      <c r="R384" s="268"/>
      <c r="S384" s="268"/>
      <c r="T384" s="268"/>
      <c r="U384" s="268"/>
      <c r="V384" s="268"/>
      <c r="W384" s="268"/>
      <c r="X384" s="268"/>
      <c r="Y384" s="268"/>
      <c r="Z384" s="268"/>
      <c r="AA384" s="268"/>
      <c r="AB384" s="268"/>
      <c r="AC384" s="268"/>
      <c r="AD384" s="268"/>
      <c r="AE384" s="268"/>
      <c r="AF384" s="274"/>
      <c r="AG384" s="274"/>
      <c r="AH384" s="274"/>
      <c r="AI384" s="274"/>
      <c r="AJ384" s="274"/>
      <c r="AK384" s="274"/>
      <c r="AL384" s="274"/>
      <c r="AM384" s="274"/>
      <c r="AN384" s="274"/>
      <c r="AO384" s="274"/>
      <c r="AP384" s="274"/>
      <c r="AR384" s="274"/>
      <c r="AS384" s="274"/>
      <c r="AT384" s="274"/>
      <c r="AU384" s="274"/>
      <c r="AV384" s="274"/>
      <c r="AW384" s="274"/>
      <c r="AX384" s="274"/>
      <c r="AY384" s="274"/>
      <c r="AZ384" s="274"/>
      <c r="BA384" s="274"/>
      <c r="BB384" s="274"/>
      <c r="BC384" s="274"/>
      <c r="BD384" s="274"/>
      <c r="BE384" s="274"/>
      <c r="BF384" s="274"/>
      <c r="BG384" s="274"/>
      <c r="BH384" s="274"/>
      <c r="BI384" s="274"/>
      <c r="BJ384" s="274"/>
      <c r="BK384" s="274"/>
      <c r="BL384" s="274"/>
      <c r="BM384" s="274"/>
      <c r="BN384" s="274"/>
      <c r="BO384" s="274"/>
      <c r="BP384" s="274" t="s">
        <v>1910</v>
      </c>
      <c r="BQ384" s="274"/>
      <c r="BR384" s="274"/>
    </row>
    <row r="385" ht="34" customHeight="1" spans="1:70">
      <c r="A385" s="208">
        <v>383</v>
      </c>
      <c r="B385" s="265" t="s">
        <v>1970</v>
      </c>
      <c r="C385" s="268" t="s">
        <v>78</v>
      </c>
      <c r="D385" s="268" t="s">
        <v>1971</v>
      </c>
      <c r="E385" s="267"/>
      <c r="F385" s="268"/>
      <c r="G385" s="268"/>
      <c r="H385" s="268"/>
      <c r="I385" s="268"/>
      <c r="J385" s="268"/>
      <c r="K385" s="268"/>
      <c r="L385" s="268"/>
      <c r="M385" s="268" t="s">
        <v>81</v>
      </c>
      <c r="N385" s="268"/>
      <c r="O385" s="268"/>
      <c r="P385" s="268"/>
      <c r="R385" s="268"/>
      <c r="S385" s="268"/>
      <c r="T385" s="268"/>
      <c r="U385" s="268"/>
      <c r="V385" s="268"/>
      <c r="W385" s="268"/>
      <c r="X385" s="268"/>
      <c r="Y385" s="268"/>
      <c r="Z385" s="268"/>
      <c r="AA385" s="268"/>
      <c r="AB385" s="268"/>
      <c r="AC385" s="268"/>
      <c r="AD385" s="268"/>
      <c r="AE385" s="268"/>
      <c r="AF385" s="274"/>
      <c r="AG385" s="274"/>
      <c r="AH385" s="274"/>
      <c r="AI385" s="274"/>
      <c r="AJ385" s="274"/>
      <c r="AK385" s="274"/>
      <c r="AL385" s="274"/>
      <c r="AM385" s="274"/>
      <c r="AN385" s="274"/>
      <c r="AO385" s="274"/>
      <c r="AP385" s="274"/>
      <c r="AR385" s="274"/>
      <c r="AS385" s="274"/>
      <c r="AT385" s="274"/>
      <c r="AU385" s="274"/>
      <c r="AV385" s="274"/>
      <c r="AW385" s="274"/>
      <c r="AX385" s="274"/>
      <c r="AY385" s="274"/>
      <c r="AZ385" s="274"/>
      <c r="BA385" s="274"/>
      <c r="BB385" s="274"/>
      <c r="BC385" s="274"/>
      <c r="BD385" s="274"/>
      <c r="BE385" s="274"/>
      <c r="BF385" s="274"/>
      <c r="BG385" s="274"/>
      <c r="BH385" s="274"/>
      <c r="BI385" s="274"/>
      <c r="BJ385" s="274"/>
      <c r="BK385" s="274"/>
      <c r="BL385" s="274"/>
      <c r="BM385" s="274"/>
      <c r="BN385" s="274"/>
      <c r="BO385" s="274"/>
      <c r="BP385" s="274" t="s">
        <v>1910</v>
      </c>
      <c r="BQ385" s="274"/>
      <c r="BR385" s="274"/>
    </row>
    <row r="386" ht="34" customHeight="1" spans="1:70">
      <c r="A386" s="208">
        <v>384</v>
      </c>
      <c r="B386" s="265" t="s">
        <v>103</v>
      </c>
      <c r="C386" s="268" t="s">
        <v>78</v>
      </c>
      <c r="D386" s="266" t="s">
        <v>1972</v>
      </c>
      <c r="E386" s="267"/>
      <c r="F386" s="268"/>
      <c r="G386" s="268"/>
      <c r="H386" s="268">
        <v>38</v>
      </c>
      <c r="I386" s="268"/>
      <c r="J386" s="157" t="s">
        <v>1973</v>
      </c>
      <c r="K386" s="157">
        <v>13401520380</v>
      </c>
      <c r="L386" s="268"/>
      <c r="M386" s="271" t="s">
        <v>745</v>
      </c>
      <c r="N386" s="268"/>
      <c r="O386" s="268"/>
      <c r="P386" s="268"/>
      <c r="R386" s="268"/>
      <c r="S386" s="268"/>
      <c r="T386" s="268"/>
      <c r="U386" s="268"/>
      <c r="V386" s="268"/>
      <c r="W386" s="268"/>
      <c r="X386" s="268"/>
      <c r="Y386" s="268"/>
      <c r="Z386" s="268"/>
      <c r="AA386" s="268"/>
      <c r="AB386" s="268"/>
      <c r="AC386" s="268"/>
      <c r="AD386" s="268"/>
      <c r="AE386" s="268"/>
      <c r="AF386" s="274"/>
      <c r="AG386" s="274"/>
      <c r="AH386" s="274"/>
      <c r="AI386" s="274"/>
      <c r="AJ386" s="274"/>
      <c r="AK386" s="274"/>
      <c r="AL386" s="274"/>
      <c r="AM386" s="274"/>
      <c r="AN386" s="274"/>
      <c r="AO386" s="274"/>
      <c r="AP386" s="274"/>
      <c r="AR386" s="274"/>
      <c r="AS386" s="274"/>
      <c r="AT386" s="274"/>
      <c r="AU386" s="274"/>
      <c r="AV386" s="274"/>
      <c r="AW386" s="274"/>
      <c r="AX386" s="274"/>
      <c r="AY386" s="274"/>
      <c r="AZ386" s="274"/>
      <c r="BA386" s="274"/>
      <c r="BB386" s="274"/>
      <c r="BC386" s="274"/>
      <c r="BD386" s="274"/>
      <c r="BE386" s="274"/>
      <c r="BF386" s="274"/>
      <c r="BG386" s="274"/>
      <c r="BH386" s="274"/>
      <c r="BI386" s="274"/>
      <c r="BJ386" s="274"/>
      <c r="BK386" s="274"/>
      <c r="BL386" s="274"/>
      <c r="BM386" s="274"/>
      <c r="BN386" s="274"/>
      <c r="BO386" s="274"/>
      <c r="BP386" s="274" t="s">
        <v>1910</v>
      </c>
      <c r="BQ386" s="274"/>
      <c r="BR386" s="274"/>
    </row>
    <row r="387" ht="39.5" customHeight="1" spans="1:70">
      <c r="A387" s="208">
        <v>385</v>
      </c>
      <c r="B387" s="268" t="s">
        <v>1974</v>
      </c>
      <c r="C387" s="268" t="s">
        <v>956</v>
      </c>
      <c r="D387" s="268" t="s">
        <v>1975</v>
      </c>
      <c r="E387" s="267"/>
      <c r="F387" s="268"/>
      <c r="G387" s="268" t="s">
        <v>1976</v>
      </c>
      <c r="H387" s="268">
        <v>5</v>
      </c>
      <c r="I387" s="268"/>
      <c r="J387" s="157" t="s">
        <v>1977</v>
      </c>
      <c r="K387" s="157">
        <v>17766203846</v>
      </c>
      <c r="L387" s="268"/>
      <c r="M387" s="268" t="s">
        <v>81</v>
      </c>
      <c r="N387" s="268"/>
      <c r="O387" s="268"/>
      <c r="P387" s="268"/>
      <c r="R387" s="268"/>
      <c r="S387" s="268"/>
      <c r="T387" s="268"/>
      <c r="U387" s="268"/>
      <c r="V387" s="268"/>
      <c r="W387" s="268"/>
      <c r="X387" s="268"/>
      <c r="Y387" s="268"/>
      <c r="Z387" s="268"/>
      <c r="AA387" s="268"/>
      <c r="AB387" s="268"/>
      <c r="AC387" s="268"/>
      <c r="AD387" s="268"/>
      <c r="AE387" s="268"/>
      <c r="AF387" s="149"/>
      <c r="AG387" s="149"/>
      <c r="AH387" s="149"/>
      <c r="AI387" s="149"/>
      <c r="AJ387" s="149"/>
      <c r="AK387" s="149"/>
      <c r="AL387" s="149"/>
      <c r="AM387" s="149"/>
      <c r="AN387" s="149"/>
      <c r="AO387" s="149"/>
      <c r="AP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274" t="s">
        <v>1910</v>
      </c>
      <c r="BQ387" s="149"/>
      <c r="BR387" s="149"/>
    </row>
    <row r="388" ht="45" customHeight="1" spans="1:70">
      <c r="A388" s="189">
        <v>386</v>
      </c>
      <c r="B388" s="276" t="s">
        <v>1978</v>
      </c>
      <c r="C388" s="276" t="s">
        <v>78</v>
      </c>
      <c r="D388" s="276" t="s">
        <v>1979</v>
      </c>
      <c r="E388" s="276"/>
      <c r="F388" s="207" t="s">
        <v>156</v>
      </c>
      <c r="G388" s="276" t="s">
        <v>1895</v>
      </c>
      <c r="H388" s="278">
        <v>10</v>
      </c>
      <c r="I388" s="276" t="s">
        <v>1980</v>
      </c>
      <c r="J388" s="277" t="s">
        <v>1981</v>
      </c>
      <c r="K388" s="277">
        <v>13092546666</v>
      </c>
      <c r="L388" s="276"/>
      <c r="M388" s="276" t="s">
        <v>745</v>
      </c>
      <c r="N388" s="276" t="s">
        <v>1982</v>
      </c>
      <c r="O388" s="276"/>
      <c r="P388" s="276"/>
      <c r="Q388" s="207"/>
      <c r="R388" s="276" t="s">
        <v>146</v>
      </c>
      <c r="S388" s="276" t="s">
        <v>1983</v>
      </c>
      <c r="T388" s="276"/>
      <c r="U388" s="276"/>
      <c r="V388" s="276"/>
      <c r="W388" s="276"/>
      <c r="X388" s="276"/>
      <c r="Y388" s="291" t="s">
        <v>84</v>
      </c>
      <c r="Z388" s="276"/>
      <c r="AA388" s="207" t="s">
        <v>85</v>
      </c>
      <c r="AB388" s="207" t="s">
        <v>86</v>
      </c>
      <c r="AC388" s="207" t="s">
        <v>96</v>
      </c>
      <c r="AD388" s="279" t="s">
        <v>549</v>
      </c>
      <c r="AE388" s="276" t="s">
        <v>85</v>
      </c>
      <c r="AF388" s="276" t="s">
        <v>1184</v>
      </c>
      <c r="AG388" s="280">
        <v>1</v>
      </c>
      <c r="AH388" s="276" t="s">
        <v>366</v>
      </c>
      <c r="AI388" s="276"/>
      <c r="AJ388" s="276" t="s">
        <v>1517</v>
      </c>
      <c r="AK388" s="276"/>
      <c r="AL388" s="276" t="s">
        <v>1984</v>
      </c>
      <c r="AM388" s="276"/>
      <c r="AN388" s="276"/>
      <c r="AO388" s="276"/>
      <c r="AP388" s="276"/>
      <c r="AR388" s="276"/>
      <c r="AS388" s="276"/>
      <c r="AT388" s="276"/>
      <c r="AU388" s="205" t="s">
        <v>85</v>
      </c>
      <c r="AV388" s="276"/>
      <c r="AW388" s="276"/>
      <c r="AX388" s="276"/>
      <c r="AY388" s="276" t="s">
        <v>85</v>
      </c>
      <c r="AZ388" s="276"/>
      <c r="BA388" s="276"/>
      <c r="BB388" s="276"/>
      <c r="BC388" s="276"/>
      <c r="BD388" s="276"/>
      <c r="BE388" s="276"/>
      <c r="BF388" s="276"/>
      <c r="BG388" s="276"/>
      <c r="BH388" s="276"/>
      <c r="BI388" s="276"/>
      <c r="BJ388" s="276"/>
      <c r="BK388" s="281" t="s">
        <v>1985</v>
      </c>
      <c r="BL388" s="276" t="s">
        <v>88</v>
      </c>
      <c r="BM388" s="276"/>
      <c r="BN388" s="276"/>
      <c r="BO388" s="276"/>
      <c r="BP388" s="276"/>
      <c r="BQ388" s="276"/>
      <c r="BR388" s="276"/>
    </row>
    <row r="389" ht="34.75" customHeight="1" spans="1:70">
      <c r="A389" s="189">
        <v>387</v>
      </c>
      <c r="B389" s="240" t="s">
        <v>1986</v>
      </c>
      <c r="C389" s="240" t="s">
        <v>956</v>
      </c>
      <c r="D389" s="240" t="s">
        <v>1987</v>
      </c>
      <c r="E389" s="207"/>
      <c r="F389" s="240" t="s">
        <v>124</v>
      </c>
      <c r="G389" s="240" t="s">
        <v>1895</v>
      </c>
      <c r="H389" s="207">
        <v>20</v>
      </c>
      <c r="I389" s="240" t="s">
        <v>1988</v>
      </c>
      <c r="J389" s="240" t="s">
        <v>1989</v>
      </c>
      <c r="K389" s="207">
        <v>15261161179</v>
      </c>
      <c r="L389" s="207"/>
      <c r="M389" s="240" t="s">
        <v>1990</v>
      </c>
      <c r="N389" s="240" t="s">
        <v>1897</v>
      </c>
      <c r="O389" s="207"/>
      <c r="P389" s="207"/>
      <c r="Q389" s="207" t="s">
        <v>448</v>
      </c>
      <c r="R389" s="240"/>
      <c r="S389" s="207" t="s">
        <v>1991</v>
      </c>
      <c r="T389" s="207"/>
      <c r="U389" s="207"/>
      <c r="V389" s="207"/>
      <c r="W389" s="207"/>
      <c r="X389" s="207"/>
      <c r="Y389" s="290" t="s">
        <v>84</v>
      </c>
      <c r="Z389" s="240"/>
      <c r="AA389" s="207" t="s">
        <v>85</v>
      </c>
      <c r="AB389" s="207" t="s">
        <v>86</v>
      </c>
      <c r="AC389" s="207" t="s">
        <v>96</v>
      </c>
      <c r="AD389" s="264" t="s">
        <v>1992</v>
      </c>
      <c r="AE389" s="240" t="s">
        <v>85</v>
      </c>
      <c r="AF389" s="240" t="s">
        <v>1184</v>
      </c>
      <c r="AG389" s="211">
        <v>1</v>
      </c>
      <c r="AH389" s="240" t="s">
        <v>937</v>
      </c>
      <c r="AI389" s="207"/>
      <c r="AJ389" s="207">
        <v>20</v>
      </c>
      <c r="AK389" s="207"/>
      <c r="AL389" s="207"/>
      <c r="AM389" s="207"/>
      <c r="AN389" s="207"/>
      <c r="AO389" s="207"/>
      <c r="AP389" s="207"/>
      <c r="AR389" s="207"/>
      <c r="AS389" s="207"/>
      <c r="AT389" s="207"/>
      <c r="AU389" s="205" t="s">
        <v>85</v>
      </c>
      <c r="AV389" s="207"/>
      <c r="AW389" s="207"/>
      <c r="AX389" s="207"/>
      <c r="AY389" s="240" t="s">
        <v>85</v>
      </c>
      <c r="AZ389" s="207"/>
      <c r="BA389" s="207"/>
      <c r="BB389" s="207"/>
      <c r="BC389" s="207"/>
      <c r="BD389" s="207"/>
      <c r="BE389" s="207"/>
      <c r="BF389" s="207"/>
      <c r="BG389" s="207"/>
      <c r="BH389" s="207"/>
      <c r="BI389" s="207"/>
      <c r="BJ389" s="207"/>
      <c r="BK389" s="221" t="s">
        <v>1993</v>
      </c>
      <c r="BL389" s="240" t="s">
        <v>88</v>
      </c>
      <c r="BM389" s="207"/>
      <c r="BN389" s="207"/>
      <c r="BO389" s="207"/>
      <c r="BP389" s="207"/>
      <c r="BQ389" s="207"/>
      <c r="BR389" s="207"/>
    </row>
    <row r="390" ht="34" customHeight="1" spans="1:70">
      <c r="A390" s="189">
        <v>388</v>
      </c>
      <c r="B390" s="240" t="s">
        <v>1994</v>
      </c>
      <c r="C390" s="240" t="s">
        <v>1674</v>
      </c>
      <c r="D390" s="240" t="s">
        <v>1995</v>
      </c>
      <c r="E390" s="207"/>
      <c r="F390" s="240" t="s">
        <v>310</v>
      </c>
      <c r="G390" s="240" t="s">
        <v>520</v>
      </c>
      <c r="H390" s="207">
        <v>200</v>
      </c>
      <c r="I390" s="240" t="s">
        <v>945</v>
      </c>
      <c r="J390" s="240" t="s">
        <v>1996</v>
      </c>
      <c r="K390" s="207">
        <v>15861190670</v>
      </c>
      <c r="L390" s="207"/>
      <c r="M390" s="240" t="s">
        <v>1997</v>
      </c>
      <c r="N390" s="240" t="s">
        <v>1998</v>
      </c>
      <c r="O390" s="207"/>
      <c r="P390" s="207"/>
      <c r="Q390" s="240" t="s">
        <v>576</v>
      </c>
      <c r="R390" s="240" t="s">
        <v>146</v>
      </c>
      <c r="S390" s="240" t="s">
        <v>1999</v>
      </c>
      <c r="T390" s="207"/>
      <c r="U390" s="207"/>
      <c r="V390" s="207"/>
      <c r="W390" s="207"/>
      <c r="X390" s="207"/>
      <c r="Y390" s="290" t="s">
        <v>84</v>
      </c>
      <c r="Z390" s="240"/>
      <c r="AA390" s="207" t="s">
        <v>85</v>
      </c>
      <c r="AB390" s="207" t="s">
        <v>86</v>
      </c>
      <c r="AC390" s="207" t="s">
        <v>96</v>
      </c>
      <c r="AD390" s="264" t="s">
        <v>255</v>
      </c>
      <c r="AE390" s="240"/>
      <c r="AF390" s="240" t="s">
        <v>87</v>
      </c>
      <c r="AG390" s="211">
        <v>0.1</v>
      </c>
      <c r="AH390" s="240" t="s">
        <v>366</v>
      </c>
      <c r="AI390" s="207"/>
      <c r="AJ390" s="207">
        <v>3</v>
      </c>
      <c r="AK390" s="207"/>
      <c r="AL390" s="207"/>
      <c r="AM390" s="207"/>
      <c r="AN390" s="207"/>
      <c r="AO390" s="207"/>
      <c r="AP390" s="207"/>
      <c r="AR390" s="207"/>
      <c r="AS390" s="207"/>
      <c r="AT390" s="207"/>
      <c r="AU390" s="207"/>
      <c r="AV390" s="207"/>
      <c r="AW390" s="207"/>
      <c r="AX390" s="207"/>
      <c r="AY390" s="207"/>
      <c r="AZ390" s="207"/>
      <c r="BA390" s="207"/>
      <c r="BB390" s="207"/>
      <c r="BC390" s="207"/>
      <c r="BD390" s="207"/>
      <c r="BE390" s="207"/>
      <c r="BF390" s="207"/>
      <c r="BG390" s="207"/>
      <c r="BH390" s="207"/>
      <c r="BI390" s="207"/>
      <c r="BJ390" s="207"/>
      <c r="BK390" s="221" t="s">
        <v>1985</v>
      </c>
      <c r="BL390" s="240" t="s">
        <v>88</v>
      </c>
      <c r="BM390" s="207"/>
      <c r="BN390" s="207"/>
      <c r="BO390" s="207"/>
      <c r="BP390" s="207"/>
      <c r="BQ390" s="207"/>
      <c r="BR390" s="207"/>
    </row>
    <row r="391" ht="45" customHeight="1" spans="1:70">
      <c r="A391" s="189">
        <v>389</v>
      </c>
      <c r="B391" s="240" t="s">
        <v>2000</v>
      </c>
      <c r="C391" s="240" t="s">
        <v>78</v>
      </c>
      <c r="D391" s="240" t="s">
        <v>2001</v>
      </c>
      <c r="E391" s="207"/>
      <c r="F391" s="240" t="s">
        <v>124</v>
      </c>
      <c r="G391" s="240" t="s">
        <v>1895</v>
      </c>
      <c r="H391" s="207">
        <v>100</v>
      </c>
      <c r="I391" s="240" t="s">
        <v>2002</v>
      </c>
      <c r="J391" s="240" t="s">
        <v>2003</v>
      </c>
      <c r="K391" s="207"/>
      <c r="L391" s="207"/>
      <c r="M391" s="240" t="s">
        <v>2004</v>
      </c>
      <c r="N391" s="207"/>
      <c r="O391" s="207"/>
      <c r="P391" s="207"/>
      <c r="Q391" s="240" t="s">
        <v>140</v>
      </c>
      <c r="R391" s="240" t="s">
        <v>1785</v>
      </c>
      <c r="S391" s="240" t="s">
        <v>2005</v>
      </c>
      <c r="T391" s="207"/>
      <c r="U391" s="207"/>
      <c r="V391" s="207"/>
      <c r="W391" s="207"/>
      <c r="X391" s="207"/>
      <c r="Y391" s="290" t="s">
        <v>84</v>
      </c>
      <c r="Z391" s="240"/>
      <c r="AA391" s="207" t="s">
        <v>85</v>
      </c>
      <c r="AB391" s="207" t="s">
        <v>86</v>
      </c>
      <c r="AC391" s="207" t="s">
        <v>96</v>
      </c>
      <c r="AD391" s="264" t="s">
        <v>2006</v>
      </c>
      <c r="AE391" s="240" t="s">
        <v>85</v>
      </c>
      <c r="AF391" s="240" t="s">
        <v>2007</v>
      </c>
      <c r="AG391" s="211">
        <v>1</v>
      </c>
      <c r="AH391" s="240" t="s">
        <v>366</v>
      </c>
      <c r="AI391" s="207"/>
      <c r="AJ391" s="240" t="s">
        <v>2008</v>
      </c>
      <c r="AK391" s="207"/>
      <c r="AL391" s="240" t="s">
        <v>2009</v>
      </c>
      <c r="AM391" s="207"/>
      <c r="AN391" s="207"/>
      <c r="AO391" s="207"/>
      <c r="AP391" s="207"/>
      <c r="AR391" s="207"/>
      <c r="AS391" s="207"/>
      <c r="AT391" s="207"/>
      <c r="AU391" s="207"/>
      <c r="AV391" s="207"/>
      <c r="AW391" s="205" t="s">
        <v>85</v>
      </c>
      <c r="AX391" s="207"/>
      <c r="AY391" s="207"/>
      <c r="AZ391" s="207"/>
      <c r="BA391" s="207"/>
      <c r="BB391" s="207"/>
      <c r="BC391" s="207"/>
      <c r="BD391" s="207"/>
      <c r="BE391" s="207"/>
      <c r="BF391" s="207"/>
      <c r="BG391" s="207"/>
      <c r="BH391" s="207"/>
      <c r="BI391" s="207"/>
      <c r="BJ391" s="207"/>
      <c r="BK391" s="221" t="s">
        <v>2010</v>
      </c>
      <c r="BL391" s="240" t="s">
        <v>88</v>
      </c>
      <c r="BM391" s="207"/>
      <c r="BN391" s="207"/>
      <c r="BO391" s="207"/>
      <c r="BP391" s="207"/>
      <c r="BQ391" s="207"/>
      <c r="BR391" s="207"/>
    </row>
    <row r="392" ht="41.25" customHeight="1" spans="1:70">
      <c r="A392" s="189">
        <v>390</v>
      </c>
      <c r="B392" s="240" t="s">
        <v>2011</v>
      </c>
      <c r="C392" s="240" t="s">
        <v>78</v>
      </c>
      <c r="D392" s="240" t="s">
        <v>2012</v>
      </c>
      <c r="E392" s="207"/>
      <c r="F392" s="240" t="s">
        <v>310</v>
      </c>
      <c r="G392" s="240" t="s">
        <v>81</v>
      </c>
      <c r="H392" s="278">
        <v>20</v>
      </c>
      <c r="I392" s="240" t="s">
        <v>2013</v>
      </c>
      <c r="J392" s="240" t="s">
        <v>2014</v>
      </c>
      <c r="K392" s="207"/>
      <c r="L392" s="207"/>
      <c r="M392" s="240" t="s">
        <v>745</v>
      </c>
      <c r="N392" s="240" t="s">
        <v>1982</v>
      </c>
      <c r="O392" s="207"/>
      <c r="P392" s="207"/>
      <c r="Q392" s="240"/>
      <c r="R392" s="240" t="s">
        <v>146</v>
      </c>
      <c r="S392" s="240" t="s">
        <v>2015</v>
      </c>
      <c r="T392" s="207"/>
      <c r="U392" s="207"/>
      <c r="V392" s="207"/>
      <c r="W392" s="207"/>
      <c r="X392" s="207"/>
      <c r="Y392" s="290" t="s">
        <v>84</v>
      </c>
      <c r="Z392" s="240"/>
      <c r="AA392" s="207" t="s">
        <v>85</v>
      </c>
      <c r="AB392" s="207" t="s">
        <v>86</v>
      </c>
      <c r="AC392" s="207" t="s">
        <v>96</v>
      </c>
      <c r="AD392" s="264" t="s">
        <v>2016</v>
      </c>
      <c r="AE392" s="240" t="s">
        <v>85</v>
      </c>
      <c r="AF392" s="240" t="s">
        <v>2017</v>
      </c>
      <c r="AG392" s="211">
        <v>1</v>
      </c>
      <c r="AH392" s="240" t="s">
        <v>366</v>
      </c>
      <c r="AI392" s="207"/>
      <c r="AJ392" s="240" t="s">
        <v>2018</v>
      </c>
      <c r="AK392" s="207"/>
      <c r="AL392" s="240" t="s">
        <v>2019</v>
      </c>
      <c r="AM392" s="207"/>
      <c r="AN392" s="207"/>
      <c r="AO392" s="207"/>
      <c r="AP392" s="207"/>
      <c r="AR392" s="207"/>
      <c r="AS392" s="207"/>
      <c r="AT392" s="207"/>
      <c r="AU392" s="207"/>
      <c r="AV392" s="207"/>
      <c r="AW392" s="205" t="s">
        <v>85</v>
      </c>
      <c r="AX392" s="207"/>
      <c r="AY392" s="207"/>
      <c r="AZ392" s="207"/>
      <c r="BA392" s="207"/>
      <c r="BB392" s="207"/>
      <c r="BC392" s="207"/>
      <c r="BD392" s="207"/>
      <c r="BE392" s="207"/>
      <c r="BF392" s="207"/>
      <c r="BG392" s="207"/>
      <c r="BH392" s="207"/>
      <c r="BI392" s="207"/>
      <c r="BJ392" s="207"/>
      <c r="BK392" s="221" t="s">
        <v>2010</v>
      </c>
      <c r="BL392" s="240" t="s">
        <v>88</v>
      </c>
      <c r="BM392" s="207"/>
      <c r="BN392" s="207"/>
      <c r="BO392" s="207"/>
      <c r="BP392" s="207"/>
      <c r="BQ392" s="207"/>
      <c r="BR392" s="207"/>
    </row>
    <row r="393" ht="50.75" customHeight="1" spans="1:70">
      <c r="A393" s="189">
        <v>391</v>
      </c>
      <c r="B393" s="240" t="s">
        <v>2020</v>
      </c>
      <c r="C393" s="240" t="s">
        <v>78</v>
      </c>
      <c r="D393" s="240" t="s">
        <v>2021</v>
      </c>
      <c r="E393" s="209"/>
      <c r="F393" s="240" t="s">
        <v>124</v>
      </c>
      <c r="G393" s="240" t="s">
        <v>2022</v>
      </c>
      <c r="H393" s="207">
        <v>14</v>
      </c>
      <c r="I393" s="240" t="s">
        <v>2023</v>
      </c>
      <c r="J393" s="240" t="s">
        <v>2024</v>
      </c>
      <c r="K393" s="207">
        <v>13358185881</v>
      </c>
      <c r="L393" s="207"/>
      <c r="M393" s="240" t="s">
        <v>2025</v>
      </c>
      <c r="N393" s="240" t="s">
        <v>2026</v>
      </c>
      <c r="O393" s="207"/>
      <c r="P393" s="207"/>
      <c r="Q393" s="240"/>
      <c r="R393" s="240" t="s">
        <v>146</v>
      </c>
      <c r="S393" s="240" t="s">
        <v>2027</v>
      </c>
      <c r="T393" s="207"/>
      <c r="U393" s="207"/>
      <c r="V393" s="207"/>
      <c r="W393" s="207"/>
      <c r="X393" s="207"/>
      <c r="Y393" s="290" t="s">
        <v>84</v>
      </c>
      <c r="Z393" s="240"/>
      <c r="AA393" s="207" t="s">
        <v>85</v>
      </c>
      <c r="AB393" s="207" t="s">
        <v>86</v>
      </c>
      <c r="AC393" s="207" t="s">
        <v>96</v>
      </c>
      <c r="AD393" s="264" t="s">
        <v>502</v>
      </c>
      <c r="AE393" s="240" t="s">
        <v>85</v>
      </c>
      <c r="AF393" s="240" t="s">
        <v>1184</v>
      </c>
      <c r="AG393" s="211">
        <v>1</v>
      </c>
      <c r="AH393" s="240" t="s">
        <v>366</v>
      </c>
      <c r="AI393" s="207"/>
      <c r="AJ393" s="207">
        <v>14</v>
      </c>
      <c r="AK393" s="207"/>
      <c r="AL393" s="240" t="s">
        <v>2028</v>
      </c>
      <c r="AM393" s="207"/>
      <c r="AN393" s="207"/>
      <c r="AO393" s="207"/>
      <c r="AP393" s="207"/>
      <c r="AR393" s="207"/>
      <c r="AS393" s="207"/>
      <c r="AT393" s="207"/>
      <c r="AU393" s="205" t="s">
        <v>85</v>
      </c>
      <c r="AV393" s="207"/>
      <c r="AW393" s="207"/>
      <c r="AX393" s="207"/>
      <c r="AY393" s="240" t="s">
        <v>85</v>
      </c>
      <c r="AZ393" s="207"/>
      <c r="BA393" s="207"/>
      <c r="BB393" s="207"/>
      <c r="BC393" s="207"/>
      <c r="BD393" s="207"/>
      <c r="BE393" s="207"/>
      <c r="BF393" s="207"/>
      <c r="BG393" s="207"/>
      <c r="BH393" s="207"/>
      <c r="BI393" s="207"/>
      <c r="BJ393" s="207"/>
      <c r="BK393" s="221" t="s">
        <v>2029</v>
      </c>
      <c r="BL393" s="240" t="s">
        <v>88</v>
      </c>
      <c r="BM393" s="207"/>
      <c r="BN393" s="207"/>
      <c r="BO393" s="207"/>
      <c r="BP393" s="207"/>
      <c r="BQ393" s="207"/>
      <c r="BR393" s="207"/>
    </row>
    <row r="394" ht="34" customHeight="1" spans="1:70">
      <c r="A394" s="204">
        <v>392</v>
      </c>
      <c r="B394" s="272" t="s">
        <v>2030</v>
      </c>
      <c r="C394" s="272" t="s">
        <v>956</v>
      </c>
      <c r="D394" s="272" t="s">
        <v>2031</v>
      </c>
      <c r="E394" s="210"/>
      <c r="F394" s="205"/>
      <c r="G394" s="272" t="s">
        <v>2032</v>
      </c>
      <c r="H394" s="205"/>
      <c r="I394" s="205"/>
      <c r="J394" s="272" t="s">
        <v>2033</v>
      </c>
      <c r="K394" s="205">
        <v>18176582271</v>
      </c>
      <c r="L394" s="205"/>
      <c r="M394" s="205"/>
      <c r="N394" s="205"/>
      <c r="O394" s="205"/>
      <c r="P394" s="205"/>
      <c r="Q394" s="205"/>
      <c r="R394" s="205"/>
      <c r="S394" s="205"/>
      <c r="T394" s="205"/>
      <c r="U394" s="205"/>
      <c r="V394" s="205"/>
      <c r="W394" s="205"/>
      <c r="X394" s="205"/>
      <c r="Y394" s="205"/>
      <c r="Z394" s="205"/>
      <c r="AA394" s="205"/>
      <c r="AB394" s="205"/>
      <c r="AC394" s="205"/>
      <c r="AD394" s="205"/>
      <c r="AE394" s="205"/>
      <c r="AF394" s="205"/>
      <c r="AG394" s="205"/>
      <c r="AH394" s="205"/>
      <c r="AI394" s="205"/>
      <c r="AJ394" s="205"/>
      <c r="AK394" s="205"/>
      <c r="AL394" s="205"/>
      <c r="AM394" s="205"/>
      <c r="AN394" s="205"/>
      <c r="AO394" s="205"/>
      <c r="AP394" s="205"/>
      <c r="AR394" s="205"/>
      <c r="AS394" s="205"/>
      <c r="AT394" s="205"/>
      <c r="AU394" s="205"/>
      <c r="AV394" s="205"/>
      <c r="AW394" s="205"/>
      <c r="AX394" s="205"/>
      <c r="AY394" s="205"/>
      <c r="AZ394" s="205"/>
      <c r="BA394" s="205"/>
      <c r="BB394" s="205"/>
      <c r="BC394" s="205"/>
      <c r="BD394" s="205"/>
      <c r="BE394" s="205"/>
      <c r="BF394" s="205"/>
      <c r="BG394" s="205"/>
      <c r="BH394" s="205"/>
      <c r="BI394" s="205"/>
      <c r="BJ394" s="205"/>
      <c r="BK394" s="205"/>
      <c r="BL394" s="205"/>
      <c r="BM394" s="205"/>
      <c r="BN394" s="205"/>
      <c r="BO394" s="205"/>
      <c r="BP394" s="272" t="s">
        <v>2034</v>
      </c>
      <c r="BQ394" s="205"/>
      <c r="BR394" s="205"/>
    </row>
    <row r="395" ht="34" customHeight="1" spans="1:70">
      <c r="A395" s="208">
        <v>393</v>
      </c>
      <c r="B395" s="274" t="s">
        <v>2035</v>
      </c>
      <c r="C395" s="274" t="s">
        <v>1674</v>
      </c>
      <c r="D395" s="274" t="s">
        <v>2036</v>
      </c>
      <c r="E395" s="212"/>
      <c r="F395" s="149"/>
      <c r="G395" s="149"/>
      <c r="H395" s="149">
        <v>104</v>
      </c>
      <c r="I395" s="149"/>
      <c r="J395" s="274" t="s">
        <v>2037</v>
      </c>
      <c r="K395" s="149">
        <v>18915058422</v>
      </c>
      <c r="L395" s="282" t="s">
        <v>2038</v>
      </c>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49"/>
      <c r="AK395" s="149"/>
      <c r="AL395" s="149"/>
      <c r="AM395" s="149"/>
      <c r="AN395" s="149"/>
      <c r="AO395" s="149"/>
      <c r="AP395" s="149"/>
      <c r="AR395" s="149"/>
      <c r="AS395" s="149"/>
      <c r="AT395" s="149"/>
      <c r="AU395" s="149"/>
      <c r="AV395" s="149"/>
      <c r="AW395" s="149"/>
      <c r="AX395" s="149"/>
      <c r="AY395" s="149"/>
      <c r="AZ395" s="149"/>
      <c r="BA395" s="149"/>
      <c r="BB395" s="149"/>
      <c r="BC395" s="149"/>
      <c r="BD395" s="149"/>
      <c r="BE395" s="149"/>
      <c r="BF395" s="149"/>
      <c r="BG395" s="149"/>
      <c r="BH395" s="149"/>
      <c r="BI395" s="149"/>
      <c r="BJ395" s="149"/>
      <c r="BK395" s="149"/>
      <c r="BL395" s="149"/>
      <c r="BM395" s="149"/>
      <c r="BN395" s="149"/>
      <c r="BO395" s="149"/>
      <c r="BP395" s="274" t="s">
        <v>2034</v>
      </c>
      <c r="BQ395" s="149"/>
      <c r="BR395" s="149"/>
    </row>
    <row r="396" ht="34" customHeight="1" spans="1:70">
      <c r="A396" s="208">
        <v>394</v>
      </c>
      <c r="B396" s="274" t="s">
        <v>2039</v>
      </c>
      <c r="C396" s="274" t="s">
        <v>956</v>
      </c>
      <c r="D396" s="149" t="s">
        <v>2040</v>
      </c>
      <c r="E396" s="212"/>
      <c r="F396" s="149"/>
      <c r="G396" s="274" t="s">
        <v>1913</v>
      </c>
      <c r="H396" s="149"/>
      <c r="I396" s="149"/>
      <c r="J396" s="274" t="s">
        <v>2041</v>
      </c>
      <c r="K396" s="149">
        <v>15795033367</v>
      </c>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49"/>
      <c r="AK396" s="149"/>
      <c r="AL396" s="149"/>
      <c r="AM396" s="149"/>
      <c r="AN396" s="149"/>
      <c r="AO396" s="149"/>
      <c r="AP396" s="149"/>
      <c r="AR396" s="149"/>
      <c r="AS396" s="149"/>
      <c r="AT396" s="149"/>
      <c r="AU396" s="149"/>
      <c r="AV396" s="149"/>
      <c r="AW396" s="149"/>
      <c r="AX396" s="149"/>
      <c r="AY396" s="149"/>
      <c r="AZ396" s="149"/>
      <c r="BA396" s="149"/>
      <c r="BB396" s="149"/>
      <c r="BC396" s="149"/>
      <c r="BD396" s="149"/>
      <c r="BE396" s="149"/>
      <c r="BF396" s="149"/>
      <c r="BG396" s="149"/>
      <c r="BH396" s="149"/>
      <c r="BI396" s="149"/>
      <c r="BJ396" s="149"/>
      <c r="BK396" s="149"/>
      <c r="BL396" s="149"/>
      <c r="BM396" s="149"/>
      <c r="BN396" s="149"/>
      <c r="BO396" s="149"/>
      <c r="BP396" s="274" t="s">
        <v>2034</v>
      </c>
      <c r="BQ396" s="149"/>
      <c r="BR396" s="149"/>
    </row>
    <row r="397" ht="34" customHeight="1" spans="1:70">
      <c r="A397" s="208">
        <v>395</v>
      </c>
      <c r="B397" s="274" t="s">
        <v>2042</v>
      </c>
      <c r="C397" s="274" t="s">
        <v>956</v>
      </c>
      <c r="D397" s="149" t="s">
        <v>2043</v>
      </c>
      <c r="E397" s="212"/>
      <c r="F397" s="149"/>
      <c r="G397" s="274" t="s">
        <v>2044</v>
      </c>
      <c r="H397" s="149">
        <v>24</v>
      </c>
      <c r="I397" s="149"/>
      <c r="J397" s="274" t="s">
        <v>2045</v>
      </c>
      <c r="K397" s="149">
        <v>15022245684</v>
      </c>
      <c r="L397" s="282" t="s">
        <v>2046</v>
      </c>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49"/>
      <c r="AK397" s="149"/>
      <c r="AL397" s="149"/>
      <c r="AM397" s="149"/>
      <c r="AN397" s="149"/>
      <c r="AO397" s="149"/>
      <c r="AP397" s="149"/>
      <c r="AR397" s="149"/>
      <c r="AS397" s="149"/>
      <c r="AT397" s="149"/>
      <c r="AU397" s="149"/>
      <c r="AV397" s="149"/>
      <c r="AW397" s="149"/>
      <c r="AX397" s="149"/>
      <c r="AY397" s="149"/>
      <c r="AZ397" s="149"/>
      <c r="BA397" s="149"/>
      <c r="BB397" s="149"/>
      <c r="BC397" s="149"/>
      <c r="BD397" s="149"/>
      <c r="BE397" s="149"/>
      <c r="BF397" s="149"/>
      <c r="BG397" s="149"/>
      <c r="BH397" s="149"/>
      <c r="BI397" s="149"/>
      <c r="BJ397" s="149"/>
      <c r="BK397" s="149"/>
      <c r="BL397" s="149"/>
      <c r="BM397" s="149"/>
      <c r="BN397" s="149"/>
      <c r="BO397" s="149"/>
      <c r="BP397" s="274" t="s">
        <v>2034</v>
      </c>
      <c r="BQ397" s="149"/>
      <c r="BR397" s="149"/>
    </row>
    <row r="398" ht="34" customHeight="1" spans="1:70">
      <c r="A398" s="208">
        <v>396</v>
      </c>
      <c r="B398" s="274" t="s">
        <v>2047</v>
      </c>
      <c r="C398" s="274" t="s">
        <v>956</v>
      </c>
      <c r="D398" s="149" t="s">
        <v>2048</v>
      </c>
      <c r="E398" s="212"/>
      <c r="F398" s="149"/>
      <c r="G398" s="283" t="s">
        <v>2049</v>
      </c>
      <c r="H398" s="149">
        <v>5</v>
      </c>
      <c r="I398" s="149"/>
      <c r="J398" s="274" t="s">
        <v>2050</v>
      </c>
      <c r="K398" s="149">
        <v>18961168118</v>
      </c>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49"/>
      <c r="AK398" s="149"/>
      <c r="AL398" s="149"/>
      <c r="AM398" s="149"/>
      <c r="AN398" s="149"/>
      <c r="AO398" s="149"/>
      <c r="AP398" s="149"/>
      <c r="AR398" s="149"/>
      <c r="AS398" s="149"/>
      <c r="AT398" s="149"/>
      <c r="AU398" s="149"/>
      <c r="AV398" s="149"/>
      <c r="AW398" s="149"/>
      <c r="AX398" s="149"/>
      <c r="AY398" s="149"/>
      <c r="AZ398" s="149"/>
      <c r="BA398" s="149"/>
      <c r="BB398" s="149"/>
      <c r="BC398" s="149"/>
      <c r="BD398" s="149"/>
      <c r="BE398" s="149"/>
      <c r="BF398" s="149"/>
      <c r="BG398" s="149"/>
      <c r="BH398" s="149"/>
      <c r="BI398" s="149"/>
      <c r="BJ398" s="149"/>
      <c r="BK398" s="149"/>
      <c r="BL398" s="149"/>
      <c r="BM398" s="149"/>
      <c r="BN398" s="149"/>
      <c r="BO398" s="149"/>
      <c r="BP398" s="274" t="s">
        <v>2034</v>
      </c>
      <c r="BQ398" s="149"/>
      <c r="BR398" s="149"/>
    </row>
    <row r="399" ht="34" customHeight="1" spans="1:70">
      <c r="A399" s="208">
        <v>397</v>
      </c>
      <c r="B399" s="274" t="s">
        <v>2051</v>
      </c>
      <c r="C399" s="274" t="s">
        <v>956</v>
      </c>
      <c r="D399" s="284" t="s">
        <v>2052</v>
      </c>
      <c r="E399" s="212"/>
      <c r="F399" s="149"/>
      <c r="G399" s="274" t="s">
        <v>2053</v>
      </c>
      <c r="H399" s="149">
        <v>24</v>
      </c>
      <c r="I399" s="149"/>
      <c r="J399" s="274" t="s">
        <v>2054</v>
      </c>
      <c r="K399" s="149">
        <v>18151238806</v>
      </c>
      <c r="L399" s="282" t="s">
        <v>2055</v>
      </c>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49"/>
      <c r="AK399" s="149"/>
      <c r="AL399" s="149"/>
      <c r="AM399" s="149"/>
      <c r="AN399" s="149"/>
      <c r="AO399" s="149"/>
      <c r="AP399" s="149"/>
      <c r="AR399" s="149"/>
      <c r="AS399" s="149"/>
      <c r="AT399" s="149"/>
      <c r="AU399" s="149"/>
      <c r="AV399" s="149"/>
      <c r="AW399" s="149"/>
      <c r="AX399" s="149"/>
      <c r="AY399" s="149"/>
      <c r="AZ399" s="149"/>
      <c r="BA399" s="149"/>
      <c r="BB399" s="149"/>
      <c r="BC399" s="149"/>
      <c r="BD399" s="149"/>
      <c r="BE399" s="149"/>
      <c r="BF399" s="149"/>
      <c r="BG399" s="149"/>
      <c r="BH399" s="149"/>
      <c r="BI399" s="149"/>
      <c r="BJ399" s="149"/>
      <c r="BK399" s="149"/>
      <c r="BL399" s="149"/>
      <c r="BM399" s="149"/>
      <c r="BN399" s="149"/>
      <c r="BO399" s="149"/>
      <c r="BP399" s="274" t="s">
        <v>2034</v>
      </c>
      <c r="BQ399" s="149"/>
      <c r="BR399" s="149"/>
    </row>
    <row r="400" ht="34" customHeight="1" spans="1:70">
      <c r="A400" s="208">
        <v>398</v>
      </c>
      <c r="B400" s="274" t="s">
        <v>2056</v>
      </c>
      <c r="C400" s="274" t="s">
        <v>956</v>
      </c>
      <c r="D400" s="274" t="s">
        <v>2057</v>
      </c>
      <c r="E400" s="212"/>
      <c r="F400" s="149"/>
      <c r="G400" s="274" t="s">
        <v>2058</v>
      </c>
      <c r="H400" s="149">
        <v>4</v>
      </c>
      <c r="I400" s="149"/>
      <c r="J400" s="274" t="s">
        <v>2059</v>
      </c>
      <c r="K400" s="149">
        <v>15906236018</v>
      </c>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49"/>
      <c r="AK400" s="149"/>
      <c r="AL400" s="149"/>
      <c r="AM400" s="149"/>
      <c r="AN400" s="149"/>
      <c r="AO400" s="149"/>
      <c r="AP400" s="149"/>
      <c r="AR400" s="149"/>
      <c r="AS400" s="149"/>
      <c r="AT400" s="149"/>
      <c r="AU400" s="149"/>
      <c r="AV400" s="149"/>
      <c r="AW400" s="149"/>
      <c r="AX400" s="149"/>
      <c r="AY400" s="149"/>
      <c r="AZ400" s="149"/>
      <c r="BA400" s="149"/>
      <c r="BB400" s="149"/>
      <c r="BC400" s="149"/>
      <c r="BD400" s="149"/>
      <c r="BE400" s="149"/>
      <c r="BF400" s="149"/>
      <c r="BG400" s="149"/>
      <c r="BH400" s="149"/>
      <c r="BI400" s="149"/>
      <c r="BJ400" s="149"/>
      <c r="BK400" s="149"/>
      <c r="BL400" s="149"/>
      <c r="BM400" s="149"/>
      <c r="BN400" s="149"/>
      <c r="BO400" s="149"/>
      <c r="BP400" s="274" t="s">
        <v>2034</v>
      </c>
      <c r="BQ400" s="149"/>
      <c r="BR400" s="149"/>
    </row>
    <row r="401" ht="62" customHeight="1" spans="1:70">
      <c r="A401" s="189">
        <v>399</v>
      </c>
      <c r="B401" s="240" t="s">
        <v>2060</v>
      </c>
      <c r="C401" s="240" t="s">
        <v>956</v>
      </c>
      <c r="D401" s="240" t="s">
        <v>2061</v>
      </c>
      <c r="E401" s="209"/>
      <c r="F401" s="207"/>
      <c r="G401" s="240" t="s">
        <v>1895</v>
      </c>
      <c r="H401" s="278">
        <v>60</v>
      </c>
      <c r="I401" s="207"/>
      <c r="J401" s="240" t="s">
        <v>2062</v>
      </c>
      <c r="K401" s="207">
        <v>17305198325</v>
      </c>
      <c r="L401" s="207"/>
      <c r="M401" s="240" t="s">
        <v>2063</v>
      </c>
      <c r="N401" s="240" t="s">
        <v>1610</v>
      </c>
      <c r="O401" s="207"/>
      <c r="P401" s="207"/>
      <c r="Q401" s="240" t="s">
        <v>792</v>
      </c>
      <c r="R401" s="240"/>
      <c r="S401" s="240" t="s">
        <v>2064</v>
      </c>
      <c r="T401" s="207"/>
      <c r="U401" s="207"/>
      <c r="V401" s="207"/>
      <c r="W401" s="207"/>
      <c r="X401" s="207"/>
      <c r="Y401" s="290" t="s">
        <v>84</v>
      </c>
      <c r="Z401" s="240"/>
      <c r="AA401" s="207" t="s">
        <v>85</v>
      </c>
      <c r="AB401" s="207" t="s">
        <v>86</v>
      </c>
      <c r="AC401" s="207" t="s">
        <v>96</v>
      </c>
      <c r="AD401" s="264" t="s">
        <v>2065</v>
      </c>
      <c r="AE401" s="240" t="s">
        <v>85</v>
      </c>
      <c r="AF401" s="240" t="s">
        <v>2066</v>
      </c>
      <c r="AG401" s="211">
        <v>1</v>
      </c>
      <c r="AH401" s="240" t="s">
        <v>937</v>
      </c>
      <c r="AI401" s="207"/>
      <c r="AJ401" s="240" t="s">
        <v>2067</v>
      </c>
      <c r="AK401" s="207"/>
      <c r="AL401" s="240" t="s">
        <v>2068</v>
      </c>
      <c r="AM401" s="207"/>
      <c r="AN401" s="207"/>
      <c r="AO401" s="207"/>
      <c r="AP401" s="207"/>
      <c r="AR401" s="207"/>
      <c r="AS401" s="207"/>
      <c r="AT401" s="207"/>
      <c r="AU401" s="205" t="s">
        <v>85</v>
      </c>
      <c r="AV401" s="207"/>
      <c r="AW401" s="240"/>
      <c r="AX401" s="207"/>
      <c r="AY401" s="207"/>
      <c r="AZ401" s="207"/>
      <c r="BA401" s="207"/>
      <c r="BB401" s="207"/>
      <c r="BC401" s="207"/>
      <c r="BD401" s="207"/>
      <c r="BE401" s="207"/>
      <c r="BF401" s="207"/>
      <c r="BG401" s="207"/>
      <c r="BH401" s="207"/>
      <c r="BI401" s="207"/>
      <c r="BJ401" s="207"/>
      <c r="BK401" s="221" t="s">
        <v>2069</v>
      </c>
      <c r="BL401" s="240" t="s">
        <v>88</v>
      </c>
      <c r="BM401" s="207"/>
      <c r="BN401" s="207"/>
      <c r="BO401" s="207"/>
      <c r="BP401" s="207"/>
      <c r="BQ401" s="207"/>
      <c r="BR401" s="207"/>
    </row>
    <row r="402" ht="92.75" customHeight="1" spans="1:70">
      <c r="A402" s="204">
        <v>400</v>
      </c>
      <c r="B402" s="205"/>
      <c r="C402" s="205"/>
      <c r="D402" s="205"/>
      <c r="E402" s="205"/>
      <c r="F402" s="205"/>
      <c r="G402" s="205"/>
      <c r="H402" s="205"/>
      <c r="I402" s="205"/>
      <c r="J402" s="205"/>
      <c r="K402" s="205"/>
      <c r="L402" s="205"/>
      <c r="M402" s="205"/>
      <c r="N402" s="205"/>
      <c r="O402" s="205"/>
      <c r="P402" s="205"/>
      <c r="Q402" s="205"/>
      <c r="R402" s="205"/>
      <c r="S402" s="205"/>
      <c r="T402" s="205"/>
      <c r="U402" s="205"/>
      <c r="V402" s="205"/>
      <c r="W402" s="205"/>
      <c r="X402" s="205"/>
      <c r="Y402" s="205"/>
      <c r="Z402" s="205"/>
      <c r="AA402" s="205"/>
      <c r="AB402" s="205"/>
      <c r="AC402" s="205"/>
      <c r="AD402" s="205"/>
      <c r="AE402" s="205"/>
      <c r="AF402" s="205"/>
      <c r="AG402" s="205"/>
      <c r="AH402" s="205"/>
      <c r="AI402" s="205"/>
      <c r="AJ402" s="205"/>
      <c r="AK402" s="205"/>
      <c r="AL402" s="205"/>
      <c r="AM402" s="205"/>
      <c r="AN402" s="205"/>
      <c r="AO402" s="205"/>
      <c r="AP402" s="205"/>
      <c r="AR402" s="205"/>
      <c r="AS402" s="205"/>
      <c r="AT402" s="205"/>
      <c r="AU402" s="205"/>
      <c r="AV402" s="205"/>
      <c r="AW402" s="205"/>
      <c r="AX402" s="205"/>
      <c r="AY402" s="205"/>
      <c r="AZ402" s="205"/>
      <c r="BA402" s="205"/>
      <c r="BB402" s="205"/>
      <c r="BC402" s="205"/>
      <c r="BD402" s="205"/>
      <c r="BE402" s="205"/>
      <c r="BF402" s="205"/>
      <c r="BG402" s="205"/>
      <c r="BH402" s="205"/>
      <c r="BI402" s="205"/>
      <c r="BJ402" s="205"/>
      <c r="BK402" s="205"/>
      <c r="BL402" s="205"/>
      <c r="BM402" s="205"/>
      <c r="BN402" s="205"/>
      <c r="BO402" s="205"/>
      <c r="BP402" s="205"/>
      <c r="BQ402" s="205"/>
      <c r="BR402" s="205"/>
    </row>
    <row r="403" ht="34" customHeight="1" spans="1:70">
      <c r="A403" s="208">
        <v>401</v>
      </c>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ht="34" customHeight="1" spans="1:70">
      <c r="A404" s="208">
        <v>410</v>
      </c>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49"/>
      <c r="AK404" s="149"/>
      <c r="AL404" s="149"/>
      <c r="AM404" s="149"/>
      <c r="AN404" s="149"/>
      <c r="AO404" s="149"/>
      <c r="AP404" s="149"/>
      <c r="AR404" s="149"/>
      <c r="AS404" s="149"/>
      <c r="AT404" s="149"/>
      <c r="AU404" s="149"/>
      <c r="AV404" s="149"/>
      <c r="AW404" s="149"/>
      <c r="AX404" s="149"/>
      <c r="AY404" s="149"/>
      <c r="AZ404" s="149"/>
      <c r="BA404" s="149"/>
      <c r="BB404" s="149"/>
      <c r="BC404" s="149"/>
      <c r="BD404" s="149"/>
      <c r="BE404" s="149"/>
      <c r="BF404" s="149"/>
      <c r="BG404" s="149"/>
      <c r="BH404" s="149"/>
      <c r="BI404" s="149"/>
      <c r="BJ404" s="149"/>
      <c r="BK404" s="149"/>
      <c r="BL404" s="149"/>
      <c r="BM404" s="149"/>
      <c r="BN404" s="149"/>
      <c r="BO404" s="149"/>
      <c r="BP404" s="149"/>
      <c r="BQ404" s="149"/>
      <c r="BR404" s="149"/>
    </row>
    <row r="405" ht="34" customHeight="1" spans="1:70">
      <c r="A405" s="208">
        <v>411</v>
      </c>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49"/>
      <c r="AK405" s="149"/>
      <c r="AL405" s="149"/>
      <c r="AM405" s="149"/>
      <c r="AN405" s="149"/>
      <c r="AO405" s="149"/>
      <c r="AP405" s="149"/>
      <c r="AR405" s="149"/>
      <c r="AS405" s="149"/>
      <c r="AT405" s="149"/>
      <c r="AU405" s="149"/>
      <c r="AV405" s="149"/>
      <c r="AW405" s="149"/>
      <c r="AX405" s="149"/>
      <c r="AY405" s="149"/>
      <c r="AZ405" s="149"/>
      <c r="BA405" s="149"/>
      <c r="BB405" s="149"/>
      <c r="BC405" s="149"/>
      <c r="BD405" s="149"/>
      <c r="BE405" s="149"/>
      <c r="BF405" s="149"/>
      <c r="BG405" s="149"/>
      <c r="BH405" s="149"/>
      <c r="BI405" s="149"/>
      <c r="BJ405" s="149"/>
      <c r="BK405" s="149"/>
      <c r="BL405" s="149"/>
      <c r="BM405" s="149"/>
      <c r="BN405" s="149"/>
      <c r="BO405" s="149"/>
      <c r="BP405" s="149"/>
      <c r="BQ405" s="149"/>
      <c r="BR405" s="149"/>
    </row>
    <row r="406" ht="34" customHeight="1" spans="1:70">
      <c r="A406" s="208">
        <v>412</v>
      </c>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49"/>
      <c r="AK406" s="149"/>
      <c r="AL406" s="149"/>
      <c r="AM406" s="149"/>
      <c r="AN406" s="149"/>
      <c r="AO406" s="149"/>
      <c r="AP406" s="149"/>
      <c r="AR406" s="149"/>
      <c r="AS406" s="149"/>
      <c r="AT406" s="149"/>
      <c r="AU406" s="149"/>
      <c r="AV406" s="149"/>
      <c r="AW406" s="149"/>
      <c r="AX406" s="149"/>
      <c r="AY406" s="149"/>
      <c r="AZ406" s="149"/>
      <c r="BA406" s="149"/>
      <c r="BB406" s="149"/>
      <c r="BC406" s="149"/>
      <c r="BD406" s="149"/>
      <c r="BE406" s="149"/>
      <c r="BF406" s="149"/>
      <c r="BG406" s="149"/>
      <c r="BH406" s="149"/>
      <c r="BI406" s="149"/>
      <c r="BJ406" s="149"/>
      <c r="BK406" s="149"/>
      <c r="BL406" s="149"/>
      <c r="BM406" s="149"/>
      <c r="BN406" s="149"/>
      <c r="BO406" s="149"/>
      <c r="BP406" s="149"/>
      <c r="BQ406" s="149"/>
      <c r="BR406" s="149"/>
    </row>
    <row r="407" ht="34" customHeight="1" spans="1:70">
      <c r="A407" s="208">
        <v>413</v>
      </c>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49"/>
      <c r="AK407" s="149"/>
      <c r="AL407" s="149"/>
      <c r="AM407" s="149"/>
      <c r="AN407" s="149"/>
      <c r="AO407" s="149"/>
      <c r="AP407" s="149"/>
      <c r="AR407" s="149"/>
      <c r="AS407" s="149"/>
      <c r="AT407" s="149"/>
      <c r="AU407" s="149"/>
      <c r="AV407" s="149"/>
      <c r="AW407" s="149"/>
      <c r="AX407" s="149"/>
      <c r="AY407" s="149"/>
      <c r="AZ407" s="149"/>
      <c r="BA407" s="149"/>
      <c r="BB407" s="149"/>
      <c r="BC407" s="149"/>
      <c r="BD407" s="149"/>
      <c r="BE407" s="149"/>
      <c r="BF407" s="149"/>
      <c r="BG407" s="149"/>
      <c r="BH407" s="149"/>
      <c r="BI407" s="149"/>
      <c r="BJ407" s="149"/>
      <c r="BK407" s="149"/>
      <c r="BL407" s="149"/>
      <c r="BM407" s="149"/>
      <c r="BN407" s="149"/>
      <c r="BO407" s="149"/>
      <c r="BP407" s="149"/>
      <c r="BQ407" s="149"/>
      <c r="BR407" s="149"/>
    </row>
    <row r="408" ht="34" customHeight="1" spans="1:70">
      <c r="A408" s="208">
        <v>414</v>
      </c>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49"/>
      <c r="AK408" s="149"/>
      <c r="AL408" s="149"/>
      <c r="AM408" s="149"/>
      <c r="AN408" s="149"/>
      <c r="AO408" s="149"/>
      <c r="AP408" s="149"/>
      <c r="AR408" s="149"/>
      <c r="AS408" s="149"/>
      <c r="AT408" s="149"/>
      <c r="AU408" s="149"/>
      <c r="AV408" s="149"/>
      <c r="AW408" s="149"/>
      <c r="AX408" s="149"/>
      <c r="AY408" s="149"/>
      <c r="AZ408" s="149"/>
      <c r="BA408" s="149"/>
      <c r="BB408" s="149"/>
      <c r="BC408" s="149"/>
      <c r="BD408" s="149"/>
      <c r="BE408" s="149"/>
      <c r="BF408" s="149"/>
      <c r="BG408" s="149"/>
      <c r="BH408" s="149"/>
      <c r="BI408" s="149"/>
      <c r="BJ408" s="149"/>
      <c r="BK408" s="149"/>
      <c r="BL408" s="149"/>
      <c r="BM408" s="149"/>
      <c r="BN408" s="149"/>
      <c r="BO408" s="149"/>
      <c r="BP408" s="149"/>
      <c r="BQ408" s="149"/>
      <c r="BR408" s="149"/>
    </row>
    <row r="409" ht="34" customHeight="1" spans="1:70">
      <c r="A409" s="208">
        <v>415</v>
      </c>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49"/>
      <c r="AK409" s="149"/>
      <c r="AL409" s="149"/>
      <c r="AM409" s="149"/>
      <c r="AN409" s="149"/>
      <c r="AO409" s="149"/>
      <c r="AP409" s="149"/>
      <c r="AR409" s="149"/>
      <c r="AS409" s="149"/>
      <c r="AT409" s="149"/>
      <c r="AU409" s="149"/>
      <c r="AV409" s="149"/>
      <c r="AW409" s="149"/>
      <c r="AX409" s="149"/>
      <c r="AY409" s="149"/>
      <c r="AZ409" s="149"/>
      <c r="BA409" s="149"/>
      <c r="BB409" s="149"/>
      <c r="BC409" s="149"/>
      <c r="BD409" s="149"/>
      <c r="BE409" s="149"/>
      <c r="BF409" s="149"/>
      <c r="BG409" s="149"/>
      <c r="BH409" s="149"/>
      <c r="BI409" s="149"/>
      <c r="BJ409" s="149"/>
      <c r="BK409" s="149"/>
      <c r="BL409" s="149"/>
      <c r="BM409" s="149"/>
      <c r="BN409" s="149"/>
      <c r="BO409" s="149"/>
      <c r="BP409" s="149"/>
      <c r="BQ409" s="149"/>
      <c r="BR409" s="149"/>
    </row>
    <row r="410" ht="34" customHeight="1" spans="1:70">
      <c r="A410" s="208">
        <v>416</v>
      </c>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49"/>
      <c r="AK410" s="149"/>
      <c r="AL410" s="149"/>
      <c r="AM410" s="149"/>
      <c r="AN410" s="149"/>
      <c r="AO410" s="149"/>
      <c r="AP410" s="149"/>
      <c r="AR410" s="149"/>
      <c r="AS410" s="149"/>
      <c r="AT410" s="149"/>
      <c r="AU410" s="149"/>
      <c r="AV410" s="149"/>
      <c r="AW410" s="149"/>
      <c r="AX410" s="149"/>
      <c r="AY410" s="149"/>
      <c r="AZ410" s="149"/>
      <c r="BA410" s="149"/>
      <c r="BB410" s="149"/>
      <c r="BC410" s="149"/>
      <c r="BD410" s="149"/>
      <c r="BE410" s="149"/>
      <c r="BF410" s="149"/>
      <c r="BG410" s="149"/>
      <c r="BH410" s="149"/>
      <c r="BI410" s="149"/>
      <c r="BJ410" s="149"/>
      <c r="BK410" s="149"/>
      <c r="BL410" s="149"/>
      <c r="BM410" s="149"/>
      <c r="BN410" s="149"/>
      <c r="BO410" s="149"/>
      <c r="BP410" s="149"/>
      <c r="BQ410" s="149"/>
      <c r="BR410" s="149"/>
    </row>
    <row r="411" ht="34" customHeight="1" spans="1:70">
      <c r="A411" s="208">
        <v>417</v>
      </c>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49"/>
      <c r="AK411" s="149"/>
      <c r="AL411" s="149"/>
      <c r="AM411" s="149"/>
      <c r="AN411" s="149"/>
      <c r="AO411" s="149"/>
      <c r="AP411" s="149"/>
      <c r="AR411" s="149"/>
      <c r="AS411" s="149"/>
      <c r="AT411" s="149"/>
      <c r="AU411" s="149"/>
      <c r="AV411" s="149"/>
      <c r="AW411" s="149"/>
      <c r="AX411" s="149"/>
      <c r="AY411" s="149"/>
      <c r="AZ411" s="149"/>
      <c r="BA411" s="149"/>
      <c r="BB411" s="149"/>
      <c r="BC411" s="149"/>
      <c r="BD411" s="149"/>
      <c r="BE411" s="149"/>
      <c r="BF411" s="149"/>
      <c r="BG411" s="149"/>
      <c r="BH411" s="149"/>
      <c r="BI411" s="149"/>
      <c r="BJ411" s="149"/>
      <c r="BK411" s="149"/>
      <c r="BL411" s="149"/>
      <c r="BM411" s="149"/>
      <c r="BN411" s="149"/>
      <c r="BO411" s="149"/>
      <c r="BP411" s="149"/>
      <c r="BQ411" s="149"/>
      <c r="BR411" s="149"/>
    </row>
    <row r="412" ht="34" customHeight="1" spans="1:70">
      <c r="A412" s="208">
        <v>418</v>
      </c>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49"/>
      <c r="AK412" s="149"/>
      <c r="AL412" s="149"/>
      <c r="AM412" s="149"/>
      <c r="AN412" s="149"/>
      <c r="AO412" s="149"/>
      <c r="AP412" s="149"/>
      <c r="AR412" s="149"/>
      <c r="AS412" s="149"/>
      <c r="AT412" s="149"/>
      <c r="AU412" s="149"/>
      <c r="AV412" s="149"/>
      <c r="AW412" s="149"/>
      <c r="AX412" s="149"/>
      <c r="AY412" s="149"/>
      <c r="AZ412" s="149"/>
      <c r="BA412" s="149"/>
      <c r="BB412" s="149"/>
      <c r="BC412" s="149"/>
      <c r="BD412" s="149"/>
      <c r="BE412" s="149"/>
      <c r="BF412" s="149"/>
      <c r="BG412" s="149"/>
      <c r="BH412" s="149"/>
      <c r="BI412" s="149"/>
      <c r="BJ412" s="149"/>
      <c r="BK412" s="149"/>
      <c r="BL412" s="149"/>
      <c r="BM412" s="149"/>
      <c r="BN412" s="149"/>
      <c r="BO412" s="149"/>
      <c r="BP412" s="149"/>
      <c r="BQ412" s="149"/>
      <c r="BR412" s="149"/>
    </row>
    <row r="413" ht="34" customHeight="1" spans="1:70">
      <c r="A413" s="208">
        <v>419</v>
      </c>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49"/>
      <c r="AK413" s="149"/>
      <c r="AL413" s="149"/>
      <c r="AM413" s="149"/>
      <c r="AN413" s="149"/>
      <c r="AO413" s="149"/>
      <c r="AP413" s="149"/>
      <c r="AR413" s="149"/>
      <c r="AS413" s="149"/>
      <c r="AT413" s="149"/>
      <c r="AU413" s="149"/>
      <c r="AV413" s="149"/>
      <c r="AW413" s="149"/>
      <c r="AX413" s="149"/>
      <c r="AY413" s="149"/>
      <c r="AZ413" s="149"/>
      <c r="BA413" s="149"/>
      <c r="BB413" s="149"/>
      <c r="BC413" s="149"/>
      <c r="BD413" s="149"/>
      <c r="BE413" s="149"/>
      <c r="BF413" s="149"/>
      <c r="BG413" s="149"/>
      <c r="BH413" s="149"/>
      <c r="BI413" s="149"/>
      <c r="BJ413" s="149"/>
      <c r="BK413" s="149"/>
      <c r="BL413" s="149"/>
      <c r="BM413" s="149"/>
      <c r="BN413" s="149"/>
      <c r="BO413" s="149"/>
      <c r="BP413" s="149"/>
      <c r="BQ413" s="149"/>
      <c r="BR413" s="149"/>
    </row>
    <row r="414" ht="34" customHeight="1" spans="1:70">
      <c r="A414" s="208">
        <v>420</v>
      </c>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R414" s="149"/>
      <c r="AS414" s="149"/>
      <c r="AT414" s="149"/>
      <c r="AU414" s="149"/>
      <c r="AV414" s="149"/>
      <c r="AW414" s="149"/>
      <c r="AX414" s="149"/>
      <c r="AY414" s="149"/>
      <c r="AZ414" s="149"/>
      <c r="BA414" s="149"/>
      <c r="BB414" s="149"/>
      <c r="BC414" s="149"/>
      <c r="BD414" s="149"/>
      <c r="BE414" s="149"/>
      <c r="BF414" s="149"/>
      <c r="BG414" s="149"/>
      <c r="BH414" s="149"/>
      <c r="BI414" s="149"/>
      <c r="BJ414" s="149"/>
      <c r="BK414" s="149"/>
      <c r="BL414" s="149"/>
      <c r="BM414" s="149"/>
      <c r="BN414" s="149"/>
      <c r="BO414" s="149"/>
      <c r="BP414" s="149"/>
      <c r="BQ414" s="149"/>
      <c r="BR414" s="149"/>
    </row>
    <row r="415" ht="34" customHeight="1" spans="1:70">
      <c r="A415" s="208">
        <v>421</v>
      </c>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R415" s="149"/>
      <c r="AS415" s="149"/>
      <c r="AT415" s="149"/>
      <c r="AU415" s="149"/>
      <c r="AV415" s="149"/>
      <c r="AW415" s="149"/>
      <c r="AX415" s="149"/>
      <c r="AY415" s="149"/>
      <c r="AZ415" s="149"/>
      <c r="BA415" s="149"/>
      <c r="BB415" s="149"/>
      <c r="BC415" s="149"/>
      <c r="BD415" s="149"/>
      <c r="BE415" s="149"/>
      <c r="BF415" s="149"/>
      <c r="BG415" s="149"/>
      <c r="BH415" s="149"/>
      <c r="BI415" s="149"/>
      <c r="BJ415" s="149"/>
      <c r="BK415" s="149"/>
      <c r="BL415" s="149"/>
      <c r="BM415" s="149"/>
      <c r="BN415" s="149"/>
      <c r="BO415" s="149"/>
      <c r="BP415" s="149"/>
      <c r="BQ415" s="149"/>
      <c r="BR415" s="149"/>
    </row>
    <row r="416" ht="34" customHeight="1" spans="1:70">
      <c r="A416" s="208">
        <v>422</v>
      </c>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49"/>
      <c r="AK416" s="149"/>
      <c r="AL416" s="149"/>
      <c r="AM416" s="149"/>
      <c r="AN416" s="149"/>
      <c r="AO416" s="149"/>
      <c r="AP416" s="149"/>
      <c r="AR416" s="149"/>
      <c r="AS416" s="149"/>
      <c r="AT416" s="149"/>
      <c r="AU416" s="149"/>
      <c r="AV416" s="149"/>
      <c r="AW416" s="149"/>
      <c r="AX416" s="149"/>
      <c r="AY416" s="149"/>
      <c r="AZ416" s="149"/>
      <c r="BA416" s="149"/>
      <c r="BB416" s="149"/>
      <c r="BC416" s="149"/>
      <c r="BD416" s="149"/>
      <c r="BE416" s="149"/>
      <c r="BF416" s="149"/>
      <c r="BG416" s="149"/>
      <c r="BH416" s="149"/>
      <c r="BI416" s="149"/>
      <c r="BJ416" s="149"/>
      <c r="BK416" s="149"/>
      <c r="BL416" s="149"/>
      <c r="BM416" s="149"/>
      <c r="BN416" s="149"/>
      <c r="BO416" s="149"/>
      <c r="BP416" s="149"/>
      <c r="BQ416" s="149"/>
      <c r="BR416" s="149"/>
    </row>
    <row r="417" ht="34" customHeight="1" spans="1:70">
      <c r="A417" s="208">
        <v>423</v>
      </c>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49"/>
      <c r="AK417" s="149"/>
      <c r="AL417" s="149"/>
      <c r="AM417" s="149"/>
      <c r="AN417" s="149"/>
      <c r="AO417" s="149"/>
      <c r="AP417" s="149"/>
      <c r="AR417" s="149"/>
      <c r="AS417" s="149"/>
      <c r="AT417" s="149"/>
      <c r="AU417" s="149"/>
      <c r="AV417" s="149"/>
      <c r="AW417" s="149"/>
      <c r="AX417" s="149"/>
      <c r="AY417" s="149"/>
      <c r="AZ417" s="149"/>
      <c r="BA417" s="149"/>
      <c r="BB417" s="149"/>
      <c r="BC417" s="149"/>
      <c r="BD417" s="149"/>
      <c r="BE417" s="149"/>
      <c r="BF417" s="149"/>
      <c r="BG417" s="149"/>
      <c r="BH417" s="149"/>
      <c r="BI417" s="149"/>
      <c r="BJ417" s="149"/>
      <c r="BK417" s="149"/>
      <c r="BL417" s="149"/>
      <c r="BM417" s="149"/>
      <c r="BN417" s="149"/>
      <c r="BO417" s="149"/>
      <c r="BP417" s="149"/>
      <c r="BQ417" s="149"/>
      <c r="BR417" s="149"/>
    </row>
    <row r="418" ht="34" customHeight="1" spans="1:70">
      <c r="A418" s="208">
        <v>424</v>
      </c>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49"/>
      <c r="AK418" s="149"/>
      <c r="AL418" s="149"/>
      <c r="AM418" s="149"/>
      <c r="AN418" s="149"/>
      <c r="AO418" s="149"/>
      <c r="AP418" s="149"/>
      <c r="AR418" s="149"/>
      <c r="AS418" s="149"/>
      <c r="AT418" s="149"/>
      <c r="AU418" s="149"/>
      <c r="AV418" s="149"/>
      <c r="AW418" s="149"/>
      <c r="AX418" s="149"/>
      <c r="AY418" s="149"/>
      <c r="AZ418" s="149"/>
      <c r="BA418" s="149"/>
      <c r="BB418" s="149"/>
      <c r="BC418" s="149"/>
      <c r="BD418" s="149"/>
      <c r="BE418" s="149"/>
      <c r="BF418" s="149"/>
      <c r="BG418" s="149"/>
      <c r="BH418" s="149"/>
      <c r="BI418" s="149"/>
      <c r="BJ418" s="149"/>
      <c r="BK418" s="149"/>
      <c r="BL418" s="149"/>
      <c r="BM418" s="149"/>
      <c r="BN418" s="149"/>
      <c r="BO418" s="149"/>
      <c r="BP418" s="149"/>
      <c r="BQ418" s="149"/>
      <c r="BR418" s="149"/>
    </row>
    <row r="419" ht="34" customHeight="1" spans="1:70">
      <c r="A419" s="208">
        <v>425</v>
      </c>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ht="34" customHeight="1" spans="1:70">
      <c r="A420" s="208">
        <v>426</v>
      </c>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49"/>
      <c r="AK420" s="149"/>
      <c r="AL420" s="149"/>
      <c r="AM420" s="149"/>
      <c r="AN420" s="149"/>
      <c r="AO420" s="149"/>
      <c r="AP420" s="149"/>
      <c r="AR420" s="149"/>
      <c r="AS420" s="149"/>
      <c r="AT420" s="149"/>
      <c r="AU420" s="149"/>
      <c r="AV420" s="149"/>
      <c r="AW420" s="149"/>
      <c r="AX420" s="149"/>
      <c r="AY420" s="149"/>
      <c r="AZ420" s="149"/>
      <c r="BA420" s="149"/>
      <c r="BB420" s="149"/>
      <c r="BC420" s="149"/>
      <c r="BD420" s="149"/>
      <c r="BE420" s="149"/>
      <c r="BF420" s="149"/>
      <c r="BG420" s="149"/>
      <c r="BH420" s="149"/>
      <c r="BI420" s="149"/>
      <c r="BJ420" s="149"/>
      <c r="BK420" s="149"/>
      <c r="BL420" s="149"/>
      <c r="BM420" s="149"/>
      <c r="BN420" s="149"/>
      <c r="BO420" s="149"/>
      <c r="BP420" s="149"/>
      <c r="BQ420" s="149"/>
      <c r="BR420" s="149"/>
    </row>
    <row r="421" ht="34" customHeight="1" spans="1:70">
      <c r="A421" s="208">
        <v>427</v>
      </c>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49"/>
      <c r="AK421" s="149"/>
      <c r="AL421" s="149"/>
      <c r="AM421" s="149"/>
      <c r="AN421" s="149"/>
      <c r="AO421" s="149"/>
      <c r="AP421" s="149"/>
      <c r="AR421" s="149"/>
      <c r="AS421" s="149"/>
      <c r="AT421" s="149"/>
      <c r="AU421" s="149"/>
      <c r="AV421" s="149"/>
      <c r="AW421" s="149"/>
      <c r="AX421" s="149"/>
      <c r="AY421" s="149"/>
      <c r="AZ421" s="149"/>
      <c r="BA421" s="149"/>
      <c r="BB421" s="149"/>
      <c r="BC421" s="149"/>
      <c r="BD421" s="149"/>
      <c r="BE421" s="149"/>
      <c r="BF421" s="149"/>
      <c r="BG421" s="149"/>
      <c r="BH421" s="149"/>
      <c r="BI421" s="149"/>
      <c r="BJ421" s="149"/>
      <c r="BK421" s="149"/>
      <c r="BL421" s="149"/>
      <c r="BM421" s="149"/>
      <c r="BN421" s="149"/>
      <c r="BO421" s="149"/>
      <c r="BP421" s="149"/>
      <c r="BQ421" s="149"/>
      <c r="BR421" s="149"/>
    </row>
    <row r="422" ht="34" customHeight="1" spans="1:70">
      <c r="A422" s="208">
        <v>428</v>
      </c>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49"/>
      <c r="AK422" s="149"/>
      <c r="AL422" s="149"/>
      <c r="AM422" s="149"/>
      <c r="AN422" s="149"/>
      <c r="AO422" s="149"/>
      <c r="AP422" s="149"/>
      <c r="AR422" s="149"/>
      <c r="AS422" s="149"/>
      <c r="AT422" s="149"/>
      <c r="AU422" s="149"/>
      <c r="AV422" s="149"/>
      <c r="AW422" s="149"/>
      <c r="AX422" s="149"/>
      <c r="AY422" s="149"/>
      <c r="AZ422" s="149"/>
      <c r="BA422" s="149"/>
      <c r="BB422" s="149"/>
      <c r="BC422" s="149"/>
      <c r="BD422" s="149"/>
      <c r="BE422" s="149"/>
      <c r="BF422" s="149"/>
      <c r="BG422" s="149"/>
      <c r="BH422" s="149"/>
      <c r="BI422" s="149"/>
      <c r="BJ422" s="149"/>
      <c r="BK422" s="149"/>
      <c r="BL422" s="149"/>
      <c r="BM422" s="149"/>
      <c r="BN422" s="149"/>
      <c r="BO422" s="149"/>
      <c r="BP422" s="149"/>
      <c r="BQ422" s="149"/>
      <c r="BR422" s="149"/>
    </row>
    <row r="423" ht="34" customHeight="1" spans="1:70">
      <c r="A423" s="208">
        <v>429</v>
      </c>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49"/>
      <c r="AK423" s="149"/>
      <c r="AL423" s="149"/>
      <c r="AM423" s="149"/>
      <c r="AN423" s="149"/>
      <c r="AO423" s="149"/>
      <c r="AP423" s="149"/>
      <c r="AR423" s="149"/>
      <c r="AS423" s="149"/>
      <c r="AT423" s="149"/>
      <c r="AU423" s="149"/>
      <c r="AV423" s="149"/>
      <c r="AW423" s="149"/>
      <c r="AX423" s="149"/>
      <c r="AY423" s="149"/>
      <c r="AZ423" s="149"/>
      <c r="BA423" s="149"/>
      <c r="BB423" s="149"/>
      <c r="BC423" s="149"/>
      <c r="BD423" s="149"/>
      <c r="BE423" s="149"/>
      <c r="BF423" s="149"/>
      <c r="BG423" s="149"/>
      <c r="BH423" s="149"/>
      <c r="BI423" s="149"/>
      <c r="BJ423" s="149"/>
      <c r="BK423" s="149"/>
      <c r="BL423" s="149"/>
      <c r="BM423" s="149"/>
      <c r="BN423" s="149"/>
      <c r="BO423" s="149"/>
      <c r="BP423" s="149"/>
      <c r="BQ423" s="149"/>
      <c r="BR423" s="149"/>
    </row>
    <row r="424" ht="34" customHeight="1" spans="1:70">
      <c r="A424" s="208">
        <v>430</v>
      </c>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49"/>
      <c r="AK424" s="149"/>
      <c r="AL424" s="149"/>
      <c r="AM424" s="149"/>
      <c r="AN424" s="149"/>
      <c r="AO424" s="149"/>
      <c r="AP424" s="149"/>
      <c r="AR424" s="149"/>
      <c r="AS424" s="149"/>
      <c r="AT424" s="149"/>
      <c r="AU424" s="149"/>
      <c r="AV424" s="149"/>
      <c r="AW424" s="149"/>
      <c r="AX424" s="149"/>
      <c r="AY424" s="149"/>
      <c r="AZ424" s="149"/>
      <c r="BA424" s="149"/>
      <c r="BB424" s="149"/>
      <c r="BC424" s="149"/>
      <c r="BD424" s="149"/>
      <c r="BE424" s="149"/>
      <c r="BF424" s="149"/>
      <c r="BG424" s="149"/>
      <c r="BH424" s="149"/>
      <c r="BI424" s="149"/>
      <c r="BJ424" s="149"/>
      <c r="BK424" s="149"/>
      <c r="BL424" s="149"/>
      <c r="BM424" s="149"/>
      <c r="BN424" s="149"/>
      <c r="BO424" s="149"/>
      <c r="BP424" s="149"/>
      <c r="BQ424" s="149"/>
      <c r="BR424" s="149"/>
    </row>
    <row r="425" ht="34" customHeight="1" spans="1:70">
      <c r="A425" s="208">
        <v>431</v>
      </c>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49"/>
      <c r="AK425" s="149"/>
      <c r="AL425" s="149"/>
      <c r="AM425" s="149"/>
      <c r="AN425" s="149"/>
      <c r="AO425" s="149"/>
      <c r="AP425" s="149"/>
      <c r="AR425" s="149"/>
      <c r="AS425" s="149"/>
      <c r="AT425" s="149"/>
      <c r="AU425" s="149"/>
      <c r="AV425" s="149"/>
      <c r="AW425" s="149"/>
      <c r="AX425" s="149"/>
      <c r="AY425" s="149"/>
      <c r="AZ425" s="149"/>
      <c r="BA425" s="149"/>
      <c r="BB425" s="149"/>
      <c r="BC425" s="149"/>
      <c r="BD425" s="149"/>
      <c r="BE425" s="149"/>
      <c r="BF425" s="149"/>
      <c r="BG425" s="149"/>
      <c r="BH425" s="149"/>
      <c r="BI425" s="149"/>
      <c r="BJ425" s="149"/>
      <c r="BK425" s="149"/>
      <c r="BL425" s="149"/>
      <c r="BM425" s="149"/>
      <c r="BN425" s="149"/>
      <c r="BO425" s="149"/>
      <c r="BP425" s="149"/>
      <c r="BQ425" s="149"/>
      <c r="BR425" s="149"/>
    </row>
    <row r="426" ht="34" customHeight="1" spans="1:70">
      <c r="A426" s="208">
        <v>432</v>
      </c>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49"/>
      <c r="AK426" s="149"/>
      <c r="AL426" s="149"/>
      <c r="AM426" s="149"/>
      <c r="AN426" s="149"/>
      <c r="AO426" s="149"/>
      <c r="AP426" s="149"/>
      <c r="AR426" s="149"/>
      <c r="AS426" s="149"/>
      <c r="AT426" s="149"/>
      <c r="AU426" s="149"/>
      <c r="AV426" s="149"/>
      <c r="AW426" s="149"/>
      <c r="AX426" s="149"/>
      <c r="AY426" s="149"/>
      <c r="AZ426" s="149"/>
      <c r="BA426" s="149"/>
      <c r="BB426" s="149"/>
      <c r="BC426" s="149"/>
      <c r="BD426" s="149"/>
      <c r="BE426" s="149"/>
      <c r="BF426" s="149"/>
      <c r="BG426" s="149"/>
      <c r="BH426" s="149"/>
      <c r="BI426" s="149"/>
      <c r="BJ426" s="149"/>
      <c r="BK426" s="149"/>
      <c r="BL426" s="149"/>
      <c r="BM426" s="149"/>
      <c r="BN426" s="149"/>
      <c r="BO426" s="149"/>
      <c r="BP426" s="149"/>
      <c r="BQ426" s="149"/>
      <c r="BR426" s="149"/>
    </row>
    <row r="427" ht="34" customHeight="1" spans="1:70">
      <c r="A427" s="208">
        <v>433</v>
      </c>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49"/>
      <c r="AK427" s="149"/>
      <c r="AL427" s="149"/>
      <c r="AM427" s="149"/>
      <c r="AN427" s="149"/>
      <c r="AO427" s="149"/>
      <c r="AP427" s="149"/>
      <c r="AR427" s="149"/>
      <c r="AS427" s="149"/>
      <c r="AT427" s="149"/>
      <c r="AU427" s="149"/>
      <c r="AV427" s="149"/>
      <c r="AW427" s="149"/>
      <c r="AX427" s="149"/>
      <c r="AY427" s="149"/>
      <c r="AZ427" s="149"/>
      <c r="BA427" s="149"/>
      <c r="BB427" s="149"/>
      <c r="BC427" s="149"/>
      <c r="BD427" s="149"/>
      <c r="BE427" s="149"/>
      <c r="BF427" s="149"/>
      <c r="BG427" s="149"/>
      <c r="BH427" s="149"/>
      <c r="BI427" s="149"/>
      <c r="BJ427" s="149"/>
      <c r="BK427" s="149"/>
      <c r="BL427" s="149"/>
      <c r="BM427" s="149"/>
      <c r="BN427" s="149"/>
      <c r="BO427" s="149"/>
      <c r="BP427" s="149"/>
      <c r="BQ427" s="149"/>
      <c r="BR427" s="149"/>
    </row>
    <row r="428" ht="34" customHeight="1" spans="1:70">
      <c r="A428" s="208">
        <v>434</v>
      </c>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49"/>
      <c r="AK428" s="149"/>
      <c r="AL428" s="149"/>
      <c r="AM428" s="149"/>
      <c r="AN428" s="149"/>
      <c r="AO428" s="149"/>
      <c r="AP428" s="149"/>
      <c r="AR428" s="149"/>
      <c r="AS428" s="149"/>
      <c r="AT428" s="149"/>
      <c r="AU428" s="149"/>
      <c r="AV428" s="149"/>
      <c r="AW428" s="149"/>
      <c r="AX428" s="149"/>
      <c r="AY428" s="149"/>
      <c r="AZ428" s="149"/>
      <c r="BA428" s="149"/>
      <c r="BB428" s="149"/>
      <c r="BC428" s="149"/>
      <c r="BD428" s="149"/>
      <c r="BE428" s="149"/>
      <c r="BF428" s="149"/>
      <c r="BG428" s="149"/>
      <c r="BH428" s="149"/>
      <c r="BI428" s="149"/>
      <c r="BJ428" s="149"/>
      <c r="BK428" s="149"/>
      <c r="BL428" s="149"/>
      <c r="BM428" s="149"/>
      <c r="BN428" s="149"/>
      <c r="BO428" s="149"/>
      <c r="BP428" s="149"/>
      <c r="BQ428" s="149"/>
      <c r="BR428" s="149"/>
    </row>
    <row r="429" ht="34" customHeight="1" spans="1:70">
      <c r="A429" s="208">
        <v>435</v>
      </c>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49"/>
      <c r="AK429" s="149"/>
      <c r="AL429" s="149"/>
      <c r="AM429" s="149"/>
      <c r="AN429" s="149"/>
      <c r="AO429" s="149"/>
      <c r="AP429" s="149"/>
      <c r="AR429" s="149"/>
      <c r="AS429" s="149"/>
      <c r="AT429" s="149"/>
      <c r="AU429" s="149"/>
      <c r="AV429" s="149"/>
      <c r="AW429" s="149"/>
      <c r="AX429" s="149"/>
      <c r="AY429" s="149"/>
      <c r="AZ429" s="149"/>
      <c r="BA429" s="149"/>
      <c r="BB429" s="149"/>
      <c r="BC429" s="149"/>
      <c r="BD429" s="149"/>
      <c r="BE429" s="149"/>
      <c r="BF429" s="149"/>
      <c r="BG429" s="149"/>
      <c r="BH429" s="149"/>
      <c r="BI429" s="149"/>
      <c r="BJ429" s="149"/>
      <c r="BK429" s="149"/>
      <c r="BL429" s="149"/>
      <c r="BM429" s="149"/>
      <c r="BN429" s="149"/>
      <c r="BO429" s="149"/>
      <c r="BP429" s="149"/>
      <c r="BQ429" s="149"/>
      <c r="BR429" s="149"/>
    </row>
    <row r="430" ht="34" customHeight="1" spans="1:70">
      <c r="A430" s="208">
        <v>436</v>
      </c>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49"/>
      <c r="AK430" s="149"/>
      <c r="AL430" s="149"/>
      <c r="AM430" s="149"/>
      <c r="AN430" s="149"/>
      <c r="AO430" s="149"/>
      <c r="AP430" s="149"/>
      <c r="AR430" s="149"/>
      <c r="AS430" s="149"/>
      <c r="AT430" s="149"/>
      <c r="AU430" s="149"/>
      <c r="AV430" s="149"/>
      <c r="AW430" s="149"/>
      <c r="AX430" s="149"/>
      <c r="AY430" s="149"/>
      <c r="AZ430" s="149"/>
      <c r="BA430" s="149"/>
      <c r="BB430" s="149"/>
      <c r="BC430" s="149"/>
      <c r="BD430" s="149"/>
      <c r="BE430" s="149"/>
      <c r="BF430" s="149"/>
      <c r="BG430" s="149"/>
      <c r="BH430" s="149"/>
      <c r="BI430" s="149"/>
      <c r="BJ430" s="149"/>
      <c r="BK430" s="149"/>
      <c r="BL430" s="149"/>
      <c r="BM430" s="149"/>
      <c r="BN430" s="149"/>
      <c r="BO430" s="149"/>
      <c r="BP430" s="149"/>
      <c r="BQ430" s="149"/>
      <c r="BR430" s="149"/>
    </row>
    <row r="431" ht="34" customHeight="1" spans="1:70">
      <c r="A431" s="208">
        <v>437</v>
      </c>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49"/>
      <c r="AK431" s="149"/>
      <c r="AL431" s="149"/>
      <c r="AM431" s="149"/>
      <c r="AN431" s="149"/>
      <c r="AO431" s="149"/>
      <c r="AP431" s="149"/>
      <c r="AR431" s="149"/>
      <c r="AS431" s="149"/>
      <c r="AT431" s="149"/>
      <c r="AU431" s="149"/>
      <c r="AV431" s="149"/>
      <c r="AW431" s="149"/>
      <c r="AX431" s="149"/>
      <c r="AY431" s="149"/>
      <c r="AZ431" s="149"/>
      <c r="BA431" s="149"/>
      <c r="BB431" s="149"/>
      <c r="BC431" s="149"/>
      <c r="BD431" s="149"/>
      <c r="BE431" s="149"/>
      <c r="BF431" s="149"/>
      <c r="BG431" s="149"/>
      <c r="BH431" s="149"/>
      <c r="BI431" s="149"/>
      <c r="BJ431" s="149"/>
      <c r="BK431" s="149"/>
      <c r="BL431" s="149"/>
      <c r="BM431" s="149"/>
      <c r="BN431" s="149"/>
      <c r="BO431" s="149"/>
      <c r="BP431" s="149"/>
      <c r="BQ431" s="149"/>
      <c r="BR431" s="149"/>
    </row>
    <row r="432" ht="34" customHeight="1" spans="1:70">
      <c r="A432" s="208">
        <v>438</v>
      </c>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49"/>
      <c r="AK432" s="149"/>
      <c r="AL432" s="149"/>
      <c r="AM432" s="149"/>
      <c r="AN432" s="149"/>
      <c r="AO432" s="149"/>
      <c r="AP432" s="149"/>
      <c r="AR432" s="149"/>
      <c r="AS432" s="149"/>
      <c r="AT432" s="149"/>
      <c r="AU432" s="149"/>
      <c r="AV432" s="149"/>
      <c r="AW432" s="149"/>
      <c r="AX432" s="149"/>
      <c r="AY432" s="149"/>
      <c r="AZ432" s="149"/>
      <c r="BA432" s="149"/>
      <c r="BB432" s="149"/>
      <c r="BC432" s="149"/>
      <c r="BD432" s="149"/>
      <c r="BE432" s="149"/>
      <c r="BF432" s="149"/>
      <c r="BG432" s="149"/>
      <c r="BH432" s="149"/>
      <c r="BI432" s="149"/>
      <c r="BJ432" s="149"/>
      <c r="BK432" s="149"/>
      <c r="BL432" s="149"/>
      <c r="BM432" s="149"/>
      <c r="BN432" s="149"/>
      <c r="BO432" s="149"/>
      <c r="BP432" s="149"/>
      <c r="BQ432" s="149"/>
      <c r="BR432" s="149"/>
    </row>
    <row r="433" ht="34" customHeight="1" spans="1:70">
      <c r="A433" s="208">
        <v>439</v>
      </c>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49"/>
      <c r="AK433" s="149"/>
      <c r="AL433" s="149"/>
      <c r="AM433" s="149"/>
      <c r="AN433" s="149"/>
      <c r="AO433" s="149"/>
      <c r="AP433" s="149"/>
      <c r="AR433" s="149"/>
      <c r="AS433" s="149"/>
      <c r="AT433" s="149"/>
      <c r="AU433" s="149"/>
      <c r="AV433" s="149"/>
      <c r="AW433" s="149"/>
      <c r="AX433" s="149"/>
      <c r="AY433" s="149"/>
      <c r="AZ433" s="149"/>
      <c r="BA433" s="149"/>
      <c r="BB433" s="149"/>
      <c r="BC433" s="149"/>
      <c r="BD433" s="149"/>
      <c r="BE433" s="149"/>
      <c r="BF433" s="149"/>
      <c r="BG433" s="149"/>
      <c r="BH433" s="149"/>
      <c r="BI433" s="149"/>
      <c r="BJ433" s="149"/>
      <c r="BK433" s="149"/>
      <c r="BL433" s="149"/>
      <c r="BM433" s="149"/>
      <c r="BN433" s="149"/>
      <c r="BO433" s="149"/>
      <c r="BP433" s="149"/>
      <c r="BQ433" s="149"/>
      <c r="BR433" s="149"/>
    </row>
    <row r="434" ht="34" customHeight="1" spans="1:70">
      <c r="A434" s="208">
        <v>440</v>
      </c>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49"/>
      <c r="AK434" s="149"/>
      <c r="AL434" s="149"/>
      <c r="AM434" s="149"/>
      <c r="AN434" s="149"/>
      <c r="AO434" s="149"/>
      <c r="AP434" s="149"/>
      <c r="AR434" s="149"/>
      <c r="AS434" s="149"/>
      <c r="AT434" s="149"/>
      <c r="AU434" s="149"/>
      <c r="AV434" s="149"/>
      <c r="AW434" s="149"/>
      <c r="AX434" s="149"/>
      <c r="AY434" s="149"/>
      <c r="AZ434" s="149"/>
      <c r="BA434" s="149"/>
      <c r="BB434" s="149"/>
      <c r="BC434" s="149"/>
      <c r="BD434" s="149"/>
      <c r="BE434" s="149"/>
      <c r="BF434" s="149"/>
      <c r="BG434" s="149"/>
      <c r="BH434" s="149"/>
      <c r="BI434" s="149"/>
      <c r="BJ434" s="149"/>
      <c r="BK434" s="149"/>
      <c r="BL434" s="149"/>
      <c r="BM434" s="149"/>
      <c r="BN434" s="149"/>
      <c r="BO434" s="149"/>
      <c r="BP434" s="149"/>
      <c r="BQ434" s="149"/>
      <c r="BR434" s="149"/>
    </row>
    <row r="435" ht="34" customHeight="1" spans="1:70">
      <c r="A435" s="208">
        <v>441</v>
      </c>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ht="34" customHeight="1" spans="1:70">
      <c r="A436" s="208">
        <v>442</v>
      </c>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49"/>
      <c r="AK436" s="149"/>
      <c r="AL436" s="149"/>
      <c r="AM436" s="149"/>
      <c r="AN436" s="149"/>
      <c r="AO436" s="149"/>
      <c r="AP436" s="149"/>
      <c r="AR436" s="149"/>
      <c r="AS436" s="149"/>
      <c r="AT436" s="149"/>
      <c r="AU436" s="149"/>
      <c r="AV436" s="149"/>
      <c r="AW436" s="149"/>
      <c r="AX436" s="149"/>
      <c r="AY436" s="149"/>
      <c r="AZ436" s="149"/>
      <c r="BA436" s="149"/>
      <c r="BB436" s="149"/>
      <c r="BC436" s="149"/>
      <c r="BD436" s="149"/>
      <c r="BE436" s="149"/>
      <c r="BF436" s="149"/>
      <c r="BG436" s="149"/>
      <c r="BH436" s="149"/>
      <c r="BI436" s="149"/>
      <c r="BJ436" s="149"/>
      <c r="BK436" s="149"/>
      <c r="BL436" s="149"/>
      <c r="BM436" s="149"/>
      <c r="BN436" s="149"/>
      <c r="BO436" s="149"/>
      <c r="BP436" s="149"/>
      <c r="BQ436" s="149"/>
      <c r="BR436" s="149"/>
    </row>
    <row r="437" ht="34" customHeight="1" spans="1:70">
      <c r="A437" s="208">
        <v>443</v>
      </c>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49"/>
      <c r="AK437" s="149"/>
      <c r="AL437" s="149"/>
      <c r="AM437" s="149"/>
      <c r="AN437" s="149"/>
      <c r="AO437" s="149"/>
      <c r="AP437" s="149"/>
      <c r="AR437" s="149"/>
      <c r="AS437" s="149"/>
      <c r="AT437" s="149"/>
      <c r="AU437" s="149"/>
      <c r="AV437" s="149"/>
      <c r="AW437" s="149"/>
      <c r="AX437" s="149"/>
      <c r="AY437" s="149"/>
      <c r="AZ437" s="149"/>
      <c r="BA437" s="149"/>
      <c r="BB437" s="149"/>
      <c r="BC437" s="149"/>
      <c r="BD437" s="149"/>
      <c r="BE437" s="149"/>
      <c r="BF437" s="149"/>
      <c r="BG437" s="149"/>
      <c r="BH437" s="149"/>
      <c r="BI437" s="149"/>
      <c r="BJ437" s="149"/>
      <c r="BK437" s="149"/>
      <c r="BL437" s="149"/>
      <c r="BM437" s="149"/>
      <c r="BN437" s="149"/>
      <c r="BO437" s="149"/>
      <c r="BP437" s="149"/>
      <c r="BQ437" s="149"/>
      <c r="BR437" s="149"/>
    </row>
    <row r="438" ht="34" customHeight="1" spans="1:70">
      <c r="A438" s="208">
        <v>444</v>
      </c>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49"/>
      <c r="AK438" s="149"/>
      <c r="AL438" s="149"/>
      <c r="AM438" s="149"/>
      <c r="AN438" s="149"/>
      <c r="AO438" s="149"/>
      <c r="AP438" s="149"/>
      <c r="AR438" s="149"/>
      <c r="AS438" s="149"/>
      <c r="AT438" s="149"/>
      <c r="AU438" s="149"/>
      <c r="AV438" s="149"/>
      <c r="AW438" s="149"/>
      <c r="AX438" s="149"/>
      <c r="AY438" s="149"/>
      <c r="AZ438" s="149"/>
      <c r="BA438" s="149"/>
      <c r="BB438" s="149"/>
      <c r="BC438" s="149"/>
      <c r="BD438" s="149"/>
      <c r="BE438" s="149"/>
      <c r="BF438" s="149"/>
      <c r="BG438" s="149"/>
      <c r="BH438" s="149"/>
      <c r="BI438" s="149"/>
      <c r="BJ438" s="149"/>
      <c r="BK438" s="149"/>
      <c r="BL438" s="149"/>
      <c r="BM438" s="149"/>
      <c r="BN438" s="149"/>
      <c r="BO438" s="149"/>
      <c r="BP438" s="149"/>
      <c r="BQ438" s="149"/>
      <c r="BR438" s="149"/>
    </row>
    <row r="439" ht="34" customHeight="1" spans="1:70">
      <c r="A439" s="208">
        <v>445</v>
      </c>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49"/>
      <c r="AK439" s="149"/>
      <c r="AL439" s="149"/>
      <c r="AM439" s="149"/>
      <c r="AN439" s="149"/>
      <c r="AO439" s="149"/>
      <c r="AP439" s="149"/>
      <c r="AR439" s="149"/>
      <c r="AS439" s="149"/>
      <c r="AT439" s="149"/>
      <c r="AU439" s="149"/>
      <c r="AV439" s="149"/>
      <c r="AW439" s="149"/>
      <c r="AX439" s="149"/>
      <c r="AY439" s="149"/>
      <c r="AZ439" s="149"/>
      <c r="BA439" s="149"/>
      <c r="BB439" s="149"/>
      <c r="BC439" s="149"/>
      <c r="BD439" s="149"/>
      <c r="BE439" s="149"/>
      <c r="BF439" s="149"/>
      <c r="BG439" s="149"/>
      <c r="BH439" s="149"/>
      <c r="BI439" s="149"/>
      <c r="BJ439" s="149"/>
      <c r="BK439" s="149"/>
      <c r="BL439" s="149"/>
      <c r="BM439" s="149"/>
      <c r="BN439" s="149"/>
      <c r="BO439" s="149"/>
      <c r="BP439" s="149"/>
      <c r="BQ439" s="149"/>
      <c r="BR439" s="149"/>
    </row>
    <row r="440" ht="34" customHeight="1" spans="1:70">
      <c r="A440" s="208">
        <v>446</v>
      </c>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49"/>
      <c r="AK440" s="149"/>
      <c r="AL440" s="149"/>
      <c r="AM440" s="149"/>
      <c r="AN440" s="149"/>
      <c r="AO440" s="149"/>
      <c r="AP440" s="149"/>
      <c r="AR440" s="149"/>
      <c r="AS440" s="149"/>
      <c r="AT440" s="149"/>
      <c r="AU440" s="149"/>
      <c r="AV440" s="149"/>
      <c r="AW440" s="149"/>
      <c r="AX440" s="149"/>
      <c r="AY440" s="149"/>
      <c r="AZ440" s="149"/>
      <c r="BA440" s="149"/>
      <c r="BB440" s="149"/>
      <c r="BC440" s="149"/>
      <c r="BD440" s="149"/>
      <c r="BE440" s="149"/>
      <c r="BF440" s="149"/>
      <c r="BG440" s="149"/>
      <c r="BH440" s="149"/>
      <c r="BI440" s="149"/>
      <c r="BJ440" s="149"/>
      <c r="BK440" s="149"/>
      <c r="BL440" s="149"/>
      <c r="BM440" s="149"/>
      <c r="BN440" s="149"/>
      <c r="BO440" s="149"/>
      <c r="BP440" s="149"/>
      <c r="BQ440" s="149"/>
      <c r="BR440" s="149"/>
    </row>
    <row r="441" ht="34" customHeight="1" spans="1:70">
      <c r="A441" s="208">
        <v>447</v>
      </c>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49"/>
      <c r="AK441" s="149"/>
      <c r="AL441" s="149"/>
      <c r="AM441" s="149"/>
      <c r="AN441" s="149"/>
      <c r="AO441" s="149"/>
      <c r="AP441" s="149"/>
      <c r="AR441" s="149"/>
      <c r="AS441" s="149"/>
      <c r="AT441" s="149"/>
      <c r="AU441" s="149"/>
      <c r="AV441" s="149"/>
      <c r="AW441" s="149"/>
      <c r="AX441" s="149"/>
      <c r="AY441" s="149"/>
      <c r="AZ441" s="149"/>
      <c r="BA441" s="149"/>
      <c r="BB441" s="149"/>
      <c r="BC441" s="149"/>
      <c r="BD441" s="149"/>
      <c r="BE441" s="149"/>
      <c r="BF441" s="149"/>
      <c r="BG441" s="149"/>
      <c r="BH441" s="149"/>
      <c r="BI441" s="149"/>
      <c r="BJ441" s="149"/>
      <c r="BK441" s="149"/>
      <c r="BL441" s="149"/>
      <c r="BM441" s="149"/>
      <c r="BN441" s="149"/>
      <c r="BO441" s="149"/>
      <c r="BP441" s="149"/>
      <c r="BQ441" s="149"/>
      <c r="BR441" s="149"/>
    </row>
    <row r="442" ht="34" customHeight="1" spans="1:70">
      <c r="A442" s="208">
        <v>448</v>
      </c>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49"/>
      <c r="AK442" s="149"/>
      <c r="AL442" s="149"/>
      <c r="AM442" s="149"/>
      <c r="AN442" s="149"/>
      <c r="AO442" s="149"/>
      <c r="AP442" s="149"/>
      <c r="AR442" s="149"/>
      <c r="AS442" s="149"/>
      <c r="AT442" s="149"/>
      <c r="AU442" s="149"/>
      <c r="AV442" s="149"/>
      <c r="AW442" s="149"/>
      <c r="AX442" s="149"/>
      <c r="AY442" s="149"/>
      <c r="AZ442" s="149"/>
      <c r="BA442" s="149"/>
      <c r="BB442" s="149"/>
      <c r="BC442" s="149"/>
      <c r="BD442" s="149"/>
      <c r="BE442" s="149"/>
      <c r="BF442" s="149"/>
      <c r="BG442" s="149"/>
      <c r="BH442" s="149"/>
      <c r="BI442" s="149"/>
      <c r="BJ442" s="149"/>
      <c r="BK442" s="149"/>
      <c r="BL442" s="149"/>
      <c r="BM442" s="149"/>
      <c r="BN442" s="149"/>
      <c r="BO442" s="149"/>
      <c r="BP442" s="149"/>
      <c r="BQ442" s="149"/>
      <c r="BR442" s="149"/>
    </row>
    <row r="443" ht="34" customHeight="1" spans="1:70">
      <c r="A443" s="208">
        <v>449</v>
      </c>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49"/>
      <c r="AK443" s="149"/>
      <c r="AL443" s="149"/>
      <c r="AM443" s="149"/>
      <c r="AN443" s="149"/>
      <c r="AO443" s="149"/>
      <c r="AP443" s="149"/>
      <c r="AR443" s="149"/>
      <c r="AS443" s="149"/>
      <c r="AT443" s="149"/>
      <c r="AU443" s="149"/>
      <c r="AV443" s="149"/>
      <c r="AW443" s="149"/>
      <c r="AX443" s="149"/>
      <c r="AY443" s="149"/>
      <c r="AZ443" s="149"/>
      <c r="BA443" s="149"/>
      <c r="BB443" s="149"/>
      <c r="BC443" s="149"/>
      <c r="BD443" s="149"/>
      <c r="BE443" s="149"/>
      <c r="BF443" s="149"/>
      <c r="BG443" s="149"/>
      <c r="BH443" s="149"/>
      <c r="BI443" s="149"/>
      <c r="BJ443" s="149"/>
      <c r="BK443" s="149"/>
      <c r="BL443" s="149"/>
      <c r="BM443" s="149"/>
      <c r="BN443" s="149"/>
      <c r="BO443" s="149"/>
      <c r="BP443" s="149"/>
      <c r="BQ443" s="149"/>
      <c r="BR443" s="149"/>
    </row>
    <row r="444" ht="34" customHeight="1" spans="1:70">
      <c r="A444" s="208">
        <v>450</v>
      </c>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49"/>
      <c r="AK444" s="149"/>
      <c r="AL444" s="149"/>
      <c r="AM444" s="149"/>
      <c r="AN444" s="149"/>
      <c r="AO444" s="149"/>
      <c r="AP444" s="149"/>
      <c r="AR444" s="149"/>
      <c r="AS444" s="149"/>
      <c r="AT444" s="149"/>
      <c r="AU444" s="149"/>
      <c r="AV444" s="149"/>
      <c r="AW444" s="149"/>
      <c r="AX444" s="149"/>
      <c r="AY444" s="149"/>
      <c r="AZ444" s="149"/>
      <c r="BA444" s="149"/>
      <c r="BB444" s="149"/>
      <c r="BC444" s="149"/>
      <c r="BD444" s="149"/>
      <c r="BE444" s="149"/>
      <c r="BF444" s="149"/>
      <c r="BG444" s="149"/>
      <c r="BH444" s="149"/>
      <c r="BI444" s="149"/>
      <c r="BJ444" s="149"/>
      <c r="BK444" s="149"/>
      <c r="BL444" s="149"/>
      <c r="BM444" s="149"/>
      <c r="BN444" s="149"/>
      <c r="BO444" s="149"/>
      <c r="BP444" s="149"/>
      <c r="BQ444" s="149"/>
      <c r="BR444" s="149"/>
    </row>
    <row r="445" ht="34" customHeight="1" spans="1:70">
      <c r="A445" s="208">
        <v>451</v>
      </c>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49"/>
      <c r="AK445" s="149"/>
      <c r="AL445" s="149"/>
      <c r="AM445" s="149"/>
      <c r="AN445" s="149"/>
      <c r="AO445" s="149"/>
      <c r="AP445" s="149"/>
      <c r="AR445" s="149"/>
      <c r="AS445" s="149"/>
      <c r="AT445" s="149"/>
      <c r="AU445" s="149"/>
      <c r="AV445" s="149"/>
      <c r="AW445" s="149"/>
      <c r="AX445" s="149"/>
      <c r="AY445" s="149"/>
      <c r="AZ445" s="149"/>
      <c r="BA445" s="149"/>
      <c r="BB445" s="149"/>
      <c r="BC445" s="149"/>
      <c r="BD445" s="149"/>
      <c r="BE445" s="149"/>
      <c r="BF445" s="149"/>
      <c r="BG445" s="149"/>
      <c r="BH445" s="149"/>
      <c r="BI445" s="149"/>
      <c r="BJ445" s="149"/>
      <c r="BK445" s="149"/>
      <c r="BL445" s="149"/>
      <c r="BM445" s="149"/>
      <c r="BN445" s="149"/>
      <c r="BO445" s="149"/>
      <c r="BP445" s="149"/>
      <c r="BQ445" s="149"/>
      <c r="BR445" s="149"/>
    </row>
    <row r="446" ht="34" customHeight="1" spans="1:70">
      <c r="A446" s="208">
        <v>452</v>
      </c>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49"/>
      <c r="AK446" s="149"/>
      <c r="AL446" s="149"/>
      <c r="AM446" s="149"/>
      <c r="AN446" s="149"/>
      <c r="AO446" s="149"/>
      <c r="AP446" s="149"/>
      <c r="AR446" s="149"/>
      <c r="AS446" s="149"/>
      <c r="AT446" s="149"/>
      <c r="AU446" s="149"/>
      <c r="AV446" s="149"/>
      <c r="AW446" s="149"/>
      <c r="AX446" s="149"/>
      <c r="AY446" s="149"/>
      <c r="AZ446" s="149"/>
      <c r="BA446" s="149"/>
      <c r="BB446" s="149"/>
      <c r="BC446" s="149"/>
      <c r="BD446" s="149"/>
      <c r="BE446" s="149"/>
      <c r="BF446" s="149"/>
      <c r="BG446" s="149"/>
      <c r="BH446" s="149"/>
      <c r="BI446" s="149"/>
      <c r="BJ446" s="149"/>
      <c r="BK446" s="149"/>
      <c r="BL446" s="149"/>
      <c r="BM446" s="149"/>
      <c r="BN446" s="149"/>
      <c r="BO446" s="149"/>
      <c r="BP446" s="149"/>
      <c r="BQ446" s="149"/>
      <c r="BR446" s="149"/>
    </row>
    <row r="447" ht="34" customHeight="1" spans="1:70">
      <c r="A447" s="208">
        <v>453</v>
      </c>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49"/>
      <c r="AK447" s="149"/>
      <c r="AL447" s="149"/>
      <c r="AM447" s="149"/>
      <c r="AN447" s="149"/>
      <c r="AO447" s="149"/>
      <c r="AP447" s="149"/>
      <c r="AR447" s="149"/>
      <c r="AS447" s="149"/>
      <c r="AT447" s="149"/>
      <c r="AU447" s="149"/>
      <c r="AV447" s="149"/>
      <c r="AW447" s="149"/>
      <c r="AX447" s="149"/>
      <c r="AY447" s="149"/>
      <c r="AZ447" s="149"/>
      <c r="BA447" s="149"/>
      <c r="BB447" s="149"/>
      <c r="BC447" s="149"/>
      <c r="BD447" s="149"/>
      <c r="BE447" s="149"/>
      <c r="BF447" s="149"/>
      <c r="BG447" s="149"/>
      <c r="BH447" s="149"/>
      <c r="BI447" s="149"/>
      <c r="BJ447" s="149"/>
      <c r="BK447" s="149"/>
      <c r="BL447" s="149"/>
      <c r="BM447" s="149"/>
      <c r="BN447" s="149"/>
      <c r="BO447" s="149"/>
      <c r="BP447" s="149"/>
      <c r="BQ447" s="149"/>
      <c r="BR447" s="149"/>
    </row>
    <row r="448" ht="34" customHeight="1" spans="1:70">
      <c r="A448" s="208">
        <v>454</v>
      </c>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49"/>
      <c r="AK448" s="149"/>
      <c r="AL448" s="149"/>
      <c r="AM448" s="149"/>
      <c r="AN448" s="149"/>
      <c r="AO448" s="149"/>
      <c r="AP448" s="149"/>
      <c r="AR448" s="149"/>
      <c r="AS448" s="149"/>
      <c r="AT448" s="149"/>
      <c r="AU448" s="149"/>
      <c r="AV448" s="149"/>
      <c r="AW448" s="149"/>
      <c r="AX448" s="149"/>
      <c r="AY448" s="149"/>
      <c r="AZ448" s="149"/>
      <c r="BA448" s="149"/>
      <c r="BB448" s="149"/>
      <c r="BC448" s="149"/>
      <c r="BD448" s="149"/>
      <c r="BE448" s="149"/>
      <c r="BF448" s="149"/>
      <c r="BG448" s="149"/>
      <c r="BH448" s="149"/>
      <c r="BI448" s="149"/>
      <c r="BJ448" s="149"/>
      <c r="BK448" s="149"/>
      <c r="BL448" s="149"/>
      <c r="BM448" s="149"/>
      <c r="BN448" s="149"/>
      <c r="BO448" s="149"/>
      <c r="BP448" s="149"/>
      <c r="BQ448" s="149"/>
      <c r="BR448" s="149"/>
    </row>
    <row r="449" ht="34" customHeight="1" spans="1:70">
      <c r="A449" s="208">
        <v>455</v>
      </c>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49"/>
      <c r="AK449" s="149"/>
      <c r="AL449" s="149"/>
      <c r="AM449" s="149"/>
      <c r="AN449" s="149"/>
      <c r="AO449" s="149"/>
      <c r="AP449" s="149"/>
      <c r="AR449" s="149"/>
      <c r="AS449" s="149"/>
      <c r="AT449" s="149"/>
      <c r="AU449" s="149"/>
      <c r="AV449" s="149"/>
      <c r="AW449" s="149"/>
      <c r="AX449" s="149"/>
      <c r="AY449" s="149"/>
      <c r="AZ449" s="149"/>
      <c r="BA449" s="149"/>
      <c r="BB449" s="149"/>
      <c r="BC449" s="149"/>
      <c r="BD449" s="149"/>
      <c r="BE449" s="149"/>
      <c r="BF449" s="149"/>
      <c r="BG449" s="149"/>
      <c r="BH449" s="149"/>
      <c r="BI449" s="149"/>
      <c r="BJ449" s="149"/>
      <c r="BK449" s="149"/>
      <c r="BL449" s="149"/>
      <c r="BM449" s="149"/>
      <c r="BN449" s="149"/>
      <c r="BO449" s="149"/>
      <c r="BP449" s="149"/>
      <c r="BQ449" s="149"/>
      <c r="BR449" s="149"/>
    </row>
    <row r="450" ht="34" customHeight="1" spans="1:70">
      <c r="A450" s="208">
        <v>456</v>
      </c>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49"/>
      <c r="AK450" s="149"/>
      <c r="AL450" s="149"/>
      <c r="AM450" s="149"/>
      <c r="AN450" s="149"/>
      <c r="AO450" s="149"/>
      <c r="AP450" s="149"/>
      <c r="AR450" s="149"/>
      <c r="AS450" s="149"/>
      <c r="AT450" s="149"/>
      <c r="AU450" s="149"/>
      <c r="AV450" s="149"/>
      <c r="AW450" s="149"/>
      <c r="AX450" s="149"/>
      <c r="AY450" s="149"/>
      <c r="AZ450" s="149"/>
      <c r="BA450" s="149"/>
      <c r="BB450" s="149"/>
      <c r="BC450" s="149"/>
      <c r="BD450" s="149"/>
      <c r="BE450" s="149"/>
      <c r="BF450" s="149"/>
      <c r="BG450" s="149"/>
      <c r="BH450" s="149"/>
      <c r="BI450" s="149"/>
      <c r="BJ450" s="149"/>
      <c r="BK450" s="149"/>
      <c r="BL450" s="149"/>
      <c r="BM450" s="149"/>
      <c r="BN450" s="149"/>
      <c r="BO450" s="149"/>
      <c r="BP450" s="149"/>
      <c r="BQ450" s="149"/>
      <c r="BR450" s="149"/>
    </row>
    <row r="451" ht="34" customHeight="1" spans="1:70">
      <c r="A451" s="208">
        <v>457</v>
      </c>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ht="34" customHeight="1" spans="1:70">
      <c r="A452" s="208">
        <v>458</v>
      </c>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49"/>
      <c r="AK452" s="149"/>
      <c r="AL452" s="149"/>
      <c r="AM452" s="149"/>
      <c r="AN452" s="149"/>
      <c r="AO452" s="149"/>
      <c r="AP452" s="149"/>
      <c r="AR452" s="149"/>
      <c r="AS452" s="149"/>
      <c r="AT452" s="149"/>
      <c r="AU452" s="149"/>
      <c r="AV452" s="149"/>
      <c r="AW452" s="149"/>
      <c r="AX452" s="149"/>
      <c r="AY452" s="149"/>
      <c r="AZ452" s="149"/>
      <c r="BA452" s="149"/>
      <c r="BB452" s="149"/>
      <c r="BC452" s="149"/>
      <c r="BD452" s="149"/>
      <c r="BE452" s="149"/>
      <c r="BF452" s="149"/>
      <c r="BG452" s="149"/>
      <c r="BH452" s="149"/>
      <c r="BI452" s="149"/>
      <c r="BJ452" s="149"/>
      <c r="BK452" s="149"/>
      <c r="BL452" s="149"/>
      <c r="BM452" s="149"/>
      <c r="BN452" s="149"/>
      <c r="BO452" s="149"/>
      <c r="BP452" s="149"/>
      <c r="BQ452" s="149"/>
      <c r="BR452" s="149"/>
    </row>
    <row r="453" ht="34" customHeight="1" spans="1:70">
      <c r="A453" s="208">
        <v>459</v>
      </c>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49"/>
      <c r="AK453" s="149"/>
      <c r="AL453" s="149"/>
      <c r="AM453" s="149"/>
      <c r="AN453" s="149"/>
      <c r="AO453" s="149"/>
      <c r="AP453" s="149"/>
      <c r="AR453" s="149"/>
      <c r="AS453" s="149"/>
      <c r="AT453" s="149"/>
      <c r="AU453" s="149"/>
      <c r="AV453" s="149"/>
      <c r="AW453" s="149"/>
      <c r="AX453" s="149"/>
      <c r="AY453" s="149"/>
      <c r="AZ453" s="149"/>
      <c r="BA453" s="149"/>
      <c r="BB453" s="149"/>
      <c r="BC453" s="149"/>
      <c r="BD453" s="149"/>
      <c r="BE453" s="149"/>
      <c r="BF453" s="149"/>
      <c r="BG453" s="149"/>
      <c r="BH453" s="149"/>
      <c r="BI453" s="149"/>
      <c r="BJ453" s="149"/>
      <c r="BK453" s="149"/>
      <c r="BL453" s="149"/>
      <c r="BM453" s="149"/>
      <c r="BN453" s="149"/>
      <c r="BO453" s="149"/>
      <c r="BP453" s="149"/>
      <c r="BQ453" s="149"/>
      <c r="BR453" s="149"/>
    </row>
    <row r="454" ht="34" customHeight="1" spans="1:70">
      <c r="A454" s="208">
        <v>460</v>
      </c>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49"/>
      <c r="AK454" s="149"/>
      <c r="AL454" s="149"/>
      <c r="AM454" s="149"/>
      <c r="AN454" s="149"/>
      <c r="AO454" s="149"/>
      <c r="AP454" s="149"/>
      <c r="AR454" s="149"/>
      <c r="AS454" s="149"/>
      <c r="AT454" s="149"/>
      <c r="AU454" s="149"/>
      <c r="AV454" s="149"/>
      <c r="AW454" s="149"/>
      <c r="AX454" s="149"/>
      <c r="AY454" s="149"/>
      <c r="AZ454" s="149"/>
      <c r="BA454" s="149"/>
      <c r="BB454" s="149"/>
      <c r="BC454" s="149"/>
      <c r="BD454" s="149"/>
      <c r="BE454" s="149"/>
      <c r="BF454" s="149"/>
      <c r="BG454" s="149"/>
      <c r="BH454" s="149"/>
      <c r="BI454" s="149"/>
      <c r="BJ454" s="149"/>
      <c r="BK454" s="149"/>
      <c r="BL454" s="149"/>
      <c r="BM454" s="149"/>
      <c r="BN454" s="149"/>
      <c r="BO454" s="149"/>
      <c r="BP454" s="149"/>
      <c r="BQ454" s="149"/>
      <c r="BR454" s="149"/>
    </row>
    <row r="455" ht="34" customHeight="1" spans="1:70">
      <c r="A455" s="208">
        <v>461</v>
      </c>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49"/>
      <c r="AK455" s="149"/>
      <c r="AL455" s="149"/>
      <c r="AM455" s="149"/>
      <c r="AN455" s="149"/>
      <c r="AO455" s="149"/>
      <c r="AP455" s="149"/>
      <c r="AR455" s="149"/>
      <c r="AS455" s="149"/>
      <c r="AT455" s="149"/>
      <c r="AU455" s="149"/>
      <c r="AV455" s="149"/>
      <c r="AW455" s="149"/>
      <c r="AX455" s="149"/>
      <c r="AY455" s="149"/>
      <c r="AZ455" s="149"/>
      <c r="BA455" s="149"/>
      <c r="BB455" s="149"/>
      <c r="BC455" s="149"/>
      <c r="BD455" s="149"/>
      <c r="BE455" s="149"/>
      <c r="BF455" s="149"/>
      <c r="BG455" s="149"/>
      <c r="BH455" s="149"/>
      <c r="BI455" s="149"/>
      <c r="BJ455" s="149"/>
      <c r="BK455" s="149"/>
      <c r="BL455" s="149"/>
      <c r="BM455" s="149"/>
      <c r="BN455" s="149"/>
      <c r="BO455" s="149"/>
      <c r="BP455" s="149"/>
      <c r="BQ455" s="149"/>
      <c r="BR455" s="149"/>
    </row>
    <row r="456" ht="34" customHeight="1" spans="1:70">
      <c r="A456" s="208">
        <v>462</v>
      </c>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49"/>
      <c r="AK456" s="149"/>
      <c r="AL456" s="149"/>
      <c r="AM456" s="149"/>
      <c r="AN456" s="149"/>
      <c r="AO456" s="149"/>
      <c r="AP456" s="149"/>
      <c r="AR456" s="149"/>
      <c r="AS456" s="149"/>
      <c r="AT456" s="149"/>
      <c r="AU456" s="149"/>
      <c r="AV456" s="149"/>
      <c r="AW456" s="149"/>
      <c r="AX456" s="149"/>
      <c r="AY456" s="149"/>
      <c r="AZ456" s="149"/>
      <c r="BA456" s="149"/>
      <c r="BB456" s="149"/>
      <c r="BC456" s="149"/>
      <c r="BD456" s="149"/>
      <c r="BE456" s="149"/>
      <c r="BF456" s="149"/>
      <c r="BG456" s="149"/>
      <c r="BH456" s="149"/>
      <c r="BI456" s="149"/>
      <c r="BJ456" s="149"/>
      <c r="BK456" s="149"/>
      <c r="BL456" s="149"/>
      <c r="BM456" s="149"/>
      <c r="BN456" s="149"/>
      <c r="BO456" s="149"/>
      <c r="BP456" s="149"/>
      <c r="BQ456" s="149"/>
      <c r="BR456" s="149"/>
    </row>
    <row r="457" ht="34" customHeight="1" spans="1:70">
      <c r="A457" s="208">
        <v>463</v>
      </c>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49"/>
      <c r="AK457" s="149"/>
      <c r="AL457" s="149"/>
      <c r="AM457" s="149"/>
      <c r="AN457" s="149"/>
      <c r="AO457" s="149"/>
      <c r="AP457" s="149"/>
      <c r="AR457" s="149"/>
      <c r="AS457" s="149"/>
      <c r="AT457" s="149"/>
      <c r="AU457" s="149"/>
      <c r="AV457" s="149"/>
      <c r="AW457" s="149"/>
      <c r="AX457" s="149"/>
      <c r="AY457" s="149"/>
      <c r="AZ457" s="149"/>
      <c r="BA457" s="149"/>
      <c r="BB457" s="149"/>
      <c r="BC457" s="149"/>
      <c r="BD457" s="149"/>
      <c r="BE457" s="149"/>
      <c r="BF457" s="149"/>
      <c r="BG457" s="149"/>
      <c r="BH457" s="149"/>
      <c r="BI457" s="149"/>
      <c r="BJ457" s="149"/>
      <c r="BK457" s="149"/>
      <c r="BL457" s="149"/>
      <c r="BM457" s="149"/>
      <c r="BN457" s="149"/>
      <c r="BO457" s="149"/>
      <c r="BP457" s="149"/>
      <c r="BQ457" s="149"/>
      <c r="BR457" s="149"/>
    </row>
    <row r="458" ht="34" customHeight="1" spans="1:70">
      <c r="A458" s="208">
        <v>464</v>
      </c>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49"/>
      <c r="AK458" s="149"/>
      <c r="AL458" s="149"/>
      <c r="AM458" s="149"/>
      <c r="AN458" s="149"/>
      <c r="AO458" s="149"/>
      <c r="AP458" s="149"/>
      <c r="AR458" s="149"/>
      <c r="AS458" s="149"/>
      <c r="AT458" s="149"/>
      <c r="AU458" s="149"/>
      <c r="AV458" s="149"/>
      <c r="AW458" s="149"/>
      <c r="AX458" s="149"/>
      <c r="AY458" s="149"/>
      <c r="AZ458" s="149"/>
      <c r="BA458" s="149"/>
      <c r="BB458" s="149"/>
      <c r="BC458" s="149"/>
      <c r="BD458" s="149"/>
      <c r="BE458" s="149"/>
      <c r="BF458" s="149"/>
      <c r="BG458" s="149"/>
      <c r="BH458" s="149"/>
      <c r="BI458" s="149"/>
      <c r="BJ458" s="149"/>
      <c r="BK458" s="149"/>
      <c r="BL458" s="149"/>
      <c r="BM458" s="149"/>
      <c r="BN458" s="149"/>
      <c r="BO458" s="149"/>
      <c r="BP458" s="149"/>
      <c r="BQ458" s="149"/>
      <c r="BR458" s="149"/>
    </row>
    <row r="459" ht="34" customHeight="1" spans="1:70">
      <c r="A459" s="208">
        <v>465</v>
      </c>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49"/>
      <c r="AK459" s="149"/>
      <c r="AL459" s="149"/>
      <c r="AM459" s="149"/>
      <c r="AN459" s="149"/>
      <c r="AO459" s="149"/>
      <c r="AP459" s="149"/>
      <c r="AR459" s="149"/>
      <c r="AS459" s="149"/>
      <c r="AT459" s="149"/>
      <c r="AU459" s="149"/>
      <c r="AV459" s="149"/>
      <c r="AW459" s="149"/>
      <c r="AX459" s="149"/>
      <c r="AY459" s="149"/>
      <c r="AZ459" s="149"/>
      <c r="BA459" s="149"/>
      <c r="BB459" s="149"/>
      <c r="BC459" s="149"/>
      <c r="BD459" s="149"/>
      <c r="BE459" s="149"/>
      <c r="BF459" s="149"/>
      <c r="BG459" s="149"/>
      <c r="BH459" s="149"/>
      <c r="BI459" s="149"/>
      <c r="BJ459" s="149"/>
      <c r="BK459" s="149"/>
      <c r="BL459" s="149"/>
      <c r="BM459" s="149"/>
      <c r="BN459" s="149"/>
      <c r="BO459" s="149"/>
      <c r="BP459" s="149"/>
      <c r="BQ459" s="149"/>
      <c r="BR459" s="149"/>
    </row>
    <row r="460" ht="34" customHeight="1" spans="1:70">
      <c r="A460" s="208">
        <v>466</v>
      </c>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49"/>
      <c r="AK460" s="149"/>
      <c r="AL460" s="149"/>
      <c r="AM460" s="149"/>
      <c r="AN460" s="149"/>
      <c r="AO460" s="149"/>
      <c r="AP460" s="149"/>
      <c r="AR460" s="149"/>
      <c r="AS460" s="149"/>
      <c r="AT460" s="149"/>
      <c r="AU460" s="149"/>
      <c r="AV460" s="149"/>
      <c r="AW460" s="149"/>
      <c r="AX460" s="149"/>
      <c r="AY460" s="149"/>
      <c r="AZ460" s="149"/>
      <c r="BA460" s="149"/>
      <c r="BB460" s="149"/>
      <c r="BC460" s="149"/>
      <c r="BD460" s="149"/>
      <c r="BE460" s="149"/>
      <c r="BF460" s="149"/>
      <c r="BG460" s="149"/>
      <c r="BH460" s="149"/>
      <c r="BI460" s="149"/>
      <c r="BJ460" s="149"/>
      <c r="BK460" s="149"/>
      <c r="BL460" s="149"/>
      <c r="BM460" s="149"/>
      <c r="BN460" s="149"/>
      <c r="BO460" s="149"/>
      <c r="BP460" s="149"/>
      <c r="BQ460" s="149"/>
      <c r="BR460" s="149"/>
    </row>
    <row r="461" ht="34" customHeight="1" spans="1:70">
      <c r="A461" s="208">
        <v>467</v>
      </c>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49"/>
      <c r="AK461" s="149"/>
      <c r="AL461" s="149"/>
      <c r="AM461" s="149"/>
      <c r="AN461" s="149"/>
      <c r="AO461" s="149"/>
      <c r="AP461" s="149"/>
      <c r="AR461" s="149"/>
      <c r="AS461" s="149"/>
      <c r="AT461" s="149"/>
      <c r="AU461" s="149"/>
      <c r="AV461" s="149"/>
      <c r="AW461" s="149"/>
      <c r="AX461" s="149"/>
      <c r="AY461" s="149"/>
      <c r="AZ461" s="149"/>
      <c r="BA461" s="149"/>
      <c r="BB461" s="149"/>
      <c r="BC461" s="149"/>
      <c r="BD461" s="149"/>
      <c r="BE461" s="149"/>
      <c r="BF461" s="149"/>
      <c r="BG461" s="149"/>
      <c r="BH461" s="149"/>
      <c r="BI461" s="149"/>
      <c r="BJ461" s="149"/>
      <c r="BK461" s="149"/>
      <c r="BL461" s="149"/>
      <c r="BM461" s="149"/>
      <c r="BN461" s="149"/>
      <c r="BO461" s="149"/>
      <c r="BP461" s="149"/>
      <c r="BQ461" s="149"/>
      <c r="BR461" s="149"/>
    </row>
    <row r="462" ht="34" customHeight="1" spans="1:70">
      <c r="A462" s="208">
        <v>468</v>
      </c>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49"/>
      <c r="AK462" s="149"/>
      <c r="AL462" s="149"/>
      <c r="AM462" s="149"/>
      <c r="AN462" s="149"/>
      <c r="AO462" s="149"/>
      <c r="AP462" s="149"/>
      <c r="AR462" s="149"/>
      <c r="AS462" s="149"/>
      <c r="AT462" s="149"/>
      <c r="AU462" s="149"/>
      <c r="AV462" s="149"/>
      <c r="AW462" s="149"/>
      <c r="AX462" s="149"/>
      <c r="AY462" s="149"/>
      <c r="AZ462" s="149"/>
      <c r="BA462" s="149"/>
      <c r="BB462" s="149"/>
      <c r="BC462" s="149"/>
      <c r="BD462" s="149"/>
      <c r="BE462" s="149"/>
      <c r="BF462" s="149"/>
      <c r="BG462" s="149"/>
      <c r="BH462" s="149"/>
      <c r="BI462" s="149"/>
      <c r="BJ462" s="149"/>
      <c r="BK462" s="149"/>
      <c r="BL462" s="149"/>
      <c r="BM462" s="149"/>
      <c r="BN462" s="149"/>
      <c r="BO462" s="149"/>
      <c r="BP462" s="149"/>
      <c r="BQ462" s="149"/>
      <c r="BR462" s="149"/>
    </row>
    <row r="463" ht="34" customHeight="1" spans="1:70">
      <c r="A463" s="208">
        <v>469</v>
      </c>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49"/>
      <c r="AK463" s="149"/>
      <c r="AL463" s="149"/>
      <c r="AM463" s="149"/>
      <c r="AN463" s="149"/>
      <c r="AO463" s="149"/>
      <c r="AP463" s="149"/>
      <c r="AR463" s="149"/>
      <c r="AS463" s="149"/>
      <c r="AT463" s="149"/>
      <c r="AU463" s="149"/>
      <c r="AV463" s="149"/>
      <c r="AW463" s="149"/>
      <c r="AX463" s="149"/>
      <c r="AY463" s="149"/>
      <c r="AZ463" s="149"/>
      <c r="BA463" s="149"/>
      <c r="BB463" s="149"/>
      <c r="BC463" s="149"/>
      <c r="BD463" s="149"/>
      <c r="BE463" s="149"/>
      <c r="BF463" s="149"/>
      <c r="BG463" s="149"/>
      <c r="BH463" s="149"/>
      <c r="BI463" s="149"/>
      <c r="BJ463" s="149"/>
      <c r="BK463" s="149"/>
      <c r="BL463" s="149"/>
      <c r="BM463" s="149"/>
      <c r="BN463" s="149"/>
      <c r="BO463" s="149"/>
      <c r="BP463" s="149"/>
      <c r="BQ463" s="149"/>
      <c r="BR463" s="149"/>
    </row>
    <row r="464" ht="34" customHeight="1" spans="1:70">
      <c r="A464" s="208">
        <v>470</v>
      </c>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49"/>
      <c r="AK464" s="149"/>
      <c r="AL464" s="149"/>
      <c r="AM464" s="149"/>
      <c r="AN464" s="149"/>
      <c r="AO464" s="149"/>
      <c r="AP464" s="149"/>
      <c r="AR464" s="149"/>
      <c r="AS464" s="149"/>
      <c r="AT464" s="149"/>
      <c r="AU464" s="149"/>
      <c r="AV464" s="149"/>
      <c r="AW464" s="149"/>
      <c r="AX464" s="149"/>
      <c r="AY464" s="149"/>
      <c r="AZ464" s="149"/>
      <c r="BA464" s="149"/>
      <c r="BB464" s="149"/>
      <c r="BC464" s="149"/>
      <c r="BD464" s="149"/>
      <c r="BE464" s="149"/>
      <c r="BF464" s="149"/>
      <c r="BG464" s="149"/>
      <c r="BH464" s="149"/>
      <c r="BI464" s="149"/>
      <c r="BJ464" s="149"/>
      <c r="BK464" s="149"/>
      <c r="BL464" s="149"/>
      <c r="BM464" s="149"/>
      <c r="BN464" s="149"/>
      <c r="BO464" s="149"/>
      <c r="BP464" s="149"/>
      <c r="BQ464" s="149"/>
      <c r="BR464" s="149"/>
    </row>
    <row r="465" ht="34" customHeight="1" spans="1:70">
      <c r="A465" s="208">
        <v>471</v>
      </c>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49"/>
      <c r="AK465" s="149"/>
      <c r="AL465" s="149"/>
      <c r="AM465" s="149"/>
      <c r="AN465" s="149"/>
      <c r="AO465" s="149"/>
      <c r="AP465" s="149"/>
      <c r="AR465" s="149"/>
      <c r="AS465" s="149"/>
      <c r="AT465" s="149"/>
      <c r="AU465" s="149"/>
      <c r="AV465" s="149"/>
      <c r="AW465" s="149"/>
      <c r="AX465" s="149"/>
      <c r="AY465" s="149"/>
      <c r="AZ465" s="149"/>
      <c r="BA465" s="149"/>
      <c r="BB465" s="149"/>
      <c r="BC465" s="149"/>
      <c r="BD465" s="149"/>
      <c r="BE465" s="149"/>
      <c r="BF465" s="149"/>
      <c r="BG465" s="149"/>
      <c r="BH465" s="149"/>
      <c r="BI465" s="149"/>
      <c r="BJ465" s="149"/>
      <c r="BK465" s="149"/>
      <c r="BL465" s="149"/>
      <c r="BM465" s="149"/>
      <c r="BN465" s="149"/>
      <c r="BO465" s="149"/>
      <c r="BP465" s="149"/>
      <c r="BQ465" s="149"/>
      <c r="BR465" s="149"/>
    </row>
    <row r="466" ht="34" customHeight="1" spans="1:70">
      <c r="A466" s="208">
        <v>472</v>
      </c>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49"/>
      <c r="AK466" s="149"/>
      <c r="AL466" s="149"/>
      <c r="AM466" s="149"/>
      <c r="AN466" s="149"/>
      <c r="AO466" s="149"/>
      <c r="AP466" s="149"/>
      <c r="AR466" s="149"/>
      <c r="AS466" s="149"/>
      <c r="AT466" s="149"/>
      <c r="AU466" s="149"/>
      <c r="AV466" s="149"/>
      <c r="AW466" s="149"/>
      <c r="AX466" s="149"/>
      <c r="AY466" s="149"/>
      <c r="AZ466" s="149"/>
      <c r="BA466" s="149"/>
      <c r="BB466" s="149"/>
      <c r="BC466" s="149"/>
      <c r="BD466" s="149"/>
      <c r="BE466" s="149"/>
      <c r="BF466" s="149"/>
      <c r="BG466" s="149"/>
      <c r="BH466" s="149"/>
      <c r="BI466" s="149"/>
      <c r="BJ466" s="149"/>
      <c r="BK466" s="149"/>
      <c r="BL466" s="149"/>
      <c r="BM466" s="149"/>
      <c r="BN466" s="149"/>
      <c r="BO466" s="149"/>
      <c r="BP466" s="149"/>
      <c r="BQ466" s="149"/>
      <c r="BR466" s="149"/>
    </row>
    <row r="467" ht="34" customHeight="1" spans="1:70">
      <c r="A467" s="208">
        <v>473</v>
      </c>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ht="34" customHeight="1" spans="1:70">
      <c r="A468" s="208">
        <v>474</v>
      </c>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49"/>
      <c r="AK468" s="149"/>
      <c r="AL468" s="149"/>
      <c r="AM468" s="149"/>
      <c r="AN468" s="149"/>
      <c r="AO468" s="149"/>
      <c r="AP468" s="149"/>
      <c r="AR468" s="149"/>
      <c r="AS468" s="149"/>
      <c r="AT468" s="149"/>
      <c r="AU468" s="149"/>
      <c r="AV468" s="149"/>
      <c r="AW468" s="149"/>
      <c r="AX468" s="149"/>
      <c r="AY468" s="149"/>
      <c r="AZ468" s="149"/>
      <c r="BA468" s="149"/>
      <c r="BB468" s="149"/>
      <c r="BC468" s="149"/>
      <c r="BD468" s="149"/>
      <c r="BE468" s="149"/>
      <c r="BF468" s="149"/>
      <c r="BG468" s="149"/>
      <c r="BH468" s="149"/>
      <c r="BI468" s="149"/>
      <c r="BJ468" s="149"/>
      <c r="BK468" s="149"/>
      <c r="BL468" s="149"/>
      <c r="BM468" s="149"/>
      <c r="BN468" s="149"/>
      <c r="BO468" s="149"/>
      <c r="BP468" s="149"/>
      <c r="BQ468" s="149"/>
      <c r="BR468" s="149"/>
    </row>
    <row r="469" ht="34" customHeight="1" spans="1:70">
      <c r="A469" s="208">
        <v>475</v>
      </c>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49"/>
      <c r="AK469" s="149"/>
      <c r="AL469" s="149"/>
      <c r="AM469" s="149"/>
      <c r="AN469" s="149"/>
      <c r="AO469" s="149"/>
      <c r="AP469" s="149"/>
      <c r="AR469" s="149"/>
      <c r="AS469" s="149"/>
      <c r="AT469" s="149"/>
      <c r="AU469" s="149"/>
      <c r="AV469" s="149"/>
      <c r="AW469" s="149"/>
      <c r="AX469" s="149"/>
      <c r="AY469" s="149"/>
      <c r="AZ469" s="149"/>
      <c r="BA469" s="149"/>
      <c r="BB469" s="149"/>
      <c r="BC469" s="149"/>
      <c r="BD469" s="149"/>
      <c r="BE469" s="149"/>
      <c r="BF469" s="149"/>
      <c r="BG469" s="149"/>
      <c r="BH469" s="149"/>
      <c r="BI469" s="149"/>
      <c r="BJ469" s="149"/>
      <c r="BK469" s="149"/>
      <c r="BL469" s="149"/>
      <c r="BM469" s="149"/>
      <c r="BN469" s="149"/>
      <c r="BO469" s="149"/>
      <c r="BP469" s="149"/>
      <c r="BQ469" s="149"/>
      <c r="BR469" s="149"/>
    </row>
    <row r="470" ht="34" customHeight="1" spans="1:70">
      <c r="A470" s="208">
        <v>476</v>
      </c>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49"/>
      <c r="AK470" s="149"/>
      <c r="AL470" s="149"/>
      <c r="AM470" s="149"/>
      <c r="AN470" s="149"/>
      <c r="AO470" s="149"/>
      <c r="AP470" s="149"/>
      <c r="AR470" s="149"/>
      <c r="AS470" s="149"/>
      <c r="AT470" s="149"/>
      <c r="AU470" s="149"/>
      <c r="AV470" s="149"/>
      <c r="AW470" s="149"/>
      <c r="AX470" s="149"/>
      <c r="AY470" s="149"/>
      <c r="AZ470" s="149"/>
      <c r="BA470" s="149"/>
      <c r="BB470" s="149"/>
      <c r="BC470" s="149"/>
      <c r="BD470" s="149"/>
      <c r="BE470" s="149"/>
      <c r="BF470" s="149"/>
      <c r="BG470" s="149"/>
      <c r="BH470" s="149"/>
      <c r="BI470" s="149"/>
      <c r="BJ470" s="149"/>
      <c r="BK470" s="149"/>
      <c r="BL470" s="149"/>
      <c r="BM470" s="149"/>
      <c r="BN470" s="149"/>
      <c r="BO470" s="149"/>
      <c r="BP470" s="149"/>
      <c r="BQ470" s="149"/>
      <c r="BR470" s="149"/>
    </row>
    <row r="471" ht="34" customHeight="1" spans="1:70">
      <c r="A471" s="208">
        <v>477</v>
      </c>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49"/>
      <c r="AK471" s="149"/>
      <c r="AL471" s="149"/>
      <c r="AM471" s="149"/>
      <c r="AN471" s="149"/>
      <c r="AO471" s="149"/>
      <c r="AP471" s="149"/>
      <c r="AR471" s="149"/>
      <c r="AS471" s="149"/>
      <c r="AT471" s="149"/>
      <c r="AU471" s="149"/>
      <c r="AV471" s="149"/>
      <c r="AW471" s="149"/>
      <c r="AX471" s="149"/>
      <c r="AY471" s="149"/>
      <c r="AZ471" s="149"/>
      <c r="BA471" s="149"/>
      <c r="BB471" s="149"/>
      <c r="BC471" s="149"/>
      <c r="BD471" s="149"/>
      <c r="BE471" s="149"/>
      <c r="BF471" s="149"/>
      <c r="BG471" s="149"/>
      <c r="BH471" s="149"/>
      <c r="BI471" s="149"/>
      <c r="BJ471" s="149"/>
      <c r="BK471" s="149"/>
      <c r="BL471" s="149"/>
      <c r="BM471" s="149"/>
      <c r="BN471" s="149"/>
      <c r="BO471" s="149"/>
      <c r="BP471" s="149"/>
      <c r="BQ471" s="149"/>
      <c r="BR471" s="149"/>
    </row>
    <row r="472" ht="34" customHeight="1" spans="1:70">
      <c r="A472" s="208">
        <v>478</v>
      </c>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49"/>
      <c r="AK472" s="149"/>
      <c r="AL472" s="149"/>
      <c r="AM472" s="149"/>
      <c r="AN472" s="149"/>
      <c r="AO472" s="149"/>
      <c r="AP472" s="149"/>
      <c r="AR472" s="149"/>
      <c r="AS472" s="149"/>
      <c r="AT472" s="149"/>
      <c r="AU472" s="149"/>
      <c r="AV472" s="149"/>
      <c r="AW472" s="149"/>
      <c r="AX472" s="149"/>
      <c r="AY472" s="149"/>
      <c r="AZ472" s="149"/>
      <c r="BA472" s="149"/>
      <c r="BB472" s="149"/>
      <c r="BC472" s="149"/>
      <c r="BD472" s="149"/>
      <c r="BE472" s="149"/>
      <c r="BF472" s="149"/>
      <c r="BG472" s="149"/>
      <c r="BH472" s="149"/>
      <c r="BI472" s="149"/>
      <c r="BJ472" s="149"/>
      <c r="BK472" s="149"/>
      <c r="BL472" s="149"/>
      <c r="BM472" s="149"/>
      <c r="BN472" s="149"/>
      <c r="BO472" s="149"/>
      <c r="BP472" s="149"/>
      <c r="BQ472" s="149"/>
      <c r="BR472" s="149"/>
    </row>
    <row r="473" ht="34" customHeight="1" spans="1:70">
      <c r="A473" s="208">
        <v>479</v>
      </c>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49"/>
      <c r="AK473" s="149"/>
      <c r="AL473" s="149"/>
      <c r="AM473" s="149"/>
      <c r="AN473" s="149"/>
      <c r="AO473" s="149"/>
      <c r="AP473" s="149"/>
      <c r="AR473" s="149"/>
      <c r="AS473" s="149"/>
      <c r="AT473" s="149"/>
      <c r="AU473" s="149"/>
      <c r="AV473" s="149"/>
      <c r="AW473" s="149"/>
      <c r="AX473" s="149"/>
      <c r="AY473" s="149"/>
      <c r="AZ473" s="149"/>
      <c r="BA473" s="149"/>
      <c r="BB473" s="149"/>
      <c r="BC473" s="149"/>
      <c r="BD473" s="149"/>
      <c r="BE473" s="149"/>
      <c r="BF473" s="149"/>
      <c r="BG473" s="149"/>
      <c r="BH473" s="149"/>
      <c r="BI473" s="149"/>
      <c r="BJ473" s="149"/>
      <c r="BK473" s="149"/>
      <c r="BL473" s="149"/>
      <c r="BM473" s="149"/>
      <c r="BN473" s="149"/>
      <c r="BO473" s="149"/>
      <c r="BP473" s="149"/>
      <c r="BQ473" s="149"/>
      <c r="BR473" s="149"/>
    </row>
    <row r="474" ht="34" customHeight="1" spans="1:70">
      <c r="A474" s="208">
        <v>480</v>
      </c>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49"/>
      <c r="AK474" s="149"/>
      <c r="AL474" s="149"/>
      <c r="AM474" s="149"/>
      <c r="AN474" s="149"/>
      <c r="AO474" s="149"/>
      <c r="AP474" s="149"/>
      <c r="AR474" s="149"/>
      <c r="AS474" s="149"/>
      <c r="AT474" s="149"/>
      <c r="AU474" s="149"/>
      <c r="AV474" s="149"/>
      <c r="AW474" s="149"/>
      <c r="AX474" s="149"/>
      <c r="AY474" s="149"/>
      <c r="AZ474" s="149"/>
      <c r="BA474" s="149"/>
      <c r="BB474" s="149"/>
      <c r="BC474" s="149"/>
      <c r="BD474" s="149"/>
      <c r="BE474" s="149"/>
      <c r="BF474" s="149"/>
      <c r="BG474" s="149"/>
      <c r="BH474" s="149"/>
      <c r="BI474" s="149"/>
      <c r="BJ474" s="149"/>
      <c r="BK474" s="149"/>
      <c r="BL474" s="149"/>
      <c r="BM474" s="149"/>
      <c r="BN474" s="149"/>
      <c r="BO474" s="149"/>
      <c r="BP474" s="149"/>
      <c r="BQ474" s="149"/>
      <c r="BR474" s="149"/>
    </row>
    <row r="475" ht="34" customHeight="1" spans="1:70">
      <c r="A475" s="208">
        <v>481</v>
      </c>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49"/>
      <c r="AK475" s="149"/>
      <c r="AL475" s="149"/>
      <c r="AM475" s="149"/>
      <c r="AN475" s="149"/>
      <c r="AO475" s="149"/>
      <c r="AP475" s="149"/>
      <c r="AR475" s="149"/>
      <c r="AS475" s="149"/>
      <c r="AT475" s="149"/>
      <c r="AU475" s="149"/>
      <c r="AV475" s="149"/>
      <c r="AW475" s="149"/>
      <c r="AX475" s="149"/>
      <c r="AY475" s="149"/>
      <c r="AZ475" s="149"/>
      <c r="BA475" s="149"/>
      <c r="BB475" s="149"/>
      <c r="BC475" s="149"/>
      <c r="BD475" s="149"/>
      <c r="BE475" s="149"/>
      <c r="BF475" s="149"/>
      <c r="BG475" s="149"/>
      <c r="BH475" s="149"/>
      <c r="BI475" s="149"/>
      <c r="BJ475" s="149"/>
      <c r="BK475" s="149"/>
      <c r="BL475" s="149"/>
      <c r="BM475" s="149"/>
      <c r="BN475" s="149"/>
      <c r="BO475" s="149"/>
      <c r="BP475" s="149"/>
      <c r="BQ475" s="149"/>
      <c r="BR475" s="149"/>
    </row>
    <row r="476" ht="34" customHeight="1" spans="1:70">
      <c r="A476" s="208">
        <v>482</v>
      </c>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49"/>
      <c r="AK476" s="149"/>
      <c r="AL476" s="149"/>
      <c r="AM476" s="149"/>
      <c r="AN476" s="149"/>
      <c r="AO476" s="149"/>
      <c r="AP476" s="149"/>
      <c r="AR476" s="149"/>
      <c r="AS476" s="149"/>
      <c r="AT476" s="149"/>
      <c r="AU476" s="149"/>
      <c r="AV476" s="149"/>
      <c r="AW476" s="149"/>
      <c r="AX476" s="149"/>
      <c r="AY476" s="149"/>
      <c r="AZ476" s="149"/>
      <c r="BA476" s="149"/>
      <c r="BB476" s="149"/>
      <c r="BC476" s="149"/>
      <c r="BD476" s="149"/>
      <c r="BE476" s="149"/>
      <c r="BF476" s="149"/>
      <c r="BG476" s="149"/>
      <c r="BH476" s="149"/>
      <c r="BI476" s="149"/>
      <c r="BJ476" s="149"/>
      <c r="BK476" s="149"/>
      <c r="BL476" s="149"/>
      <c r="BM476" s="149"/>
      <c r="BN476" s="149"/>
      <c r="BO476" s="149"/>
      <c r="BP476" s="149"/>
      <c r="BQ476" s="149"/>
      <c r="BR476" s="149"/>
    </row>
    <row r="477" ht="34" customHeight="1" spans="1:70">
      <c r="A477" s="208">
        <v>483</v>
      </c>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49"/>
      <c r="AK477" s="149"/>
      <c r="AL477" s="149"/>
      <c r="AM477" s="149"/>
      <c r="AN477" s="149"/>
      <c r="AO477" s="149"/>
      <c r="AP477" s="149"/>
      <c r="AR477" s="149"/>
      <c r="AS477" s="149"/>
      <c r="AT477" s="149"/>
      <c r="AU477" s="149"/>
      <c r="AV477" s="149"/>
      <c r="AW477" s="149"/>
      <c r="AX477" s="149"/>
      <c r="AY477" s="149"/>
      <c r="AZ477" s="149"/>
      <c r="BA477" s="149"/>
      <c r="BB477" s="149"/>
      <c r="BC477" s="149"/>
      <c r="BD477" s="149"/>
      <c r="BE477" s="149"/>
      <c r="BF477" s="149"/>
      <c r="BG477" s="149"/>
      <c r="BH477" s="149"/>
      <c r="BI477" s="149"/>
      <c r="BJ477" s="149"/>
      <c r="BK477" s="149"/>
      <c r="BL477" s="149"/>
      <c r="BM477" s="149"/>
      <c r="BN477" s="149"/>
      <c r="BO477" s="149"/>
      <c r="BP477" s="149"/>
      <c r="BQ477" s="149"/>
      <c r="BR477" s="149"/>
    </row>
    <row r="478" ht="34" customHeight="1" spans="1:70">
      <c r="A478" s="208">
        <v>484</v>
      </c>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49"/>
      <c r="AK478" s="149"/>
      <c r="AL478" s="149"/>
      <c r="AM478" s="149"/>
      <c r="AN478" s="149"/>
      <c r="AO478" s="149"/>
      <c r="AP478" s="149"/>
      <c r="AR478" s="149"/>
      <c r="AS478" s="149"/>
      <c r="AT478" s="149"/>
      <c r="AU478" s="149"/>
      <c r="AV478" s="149"/>
      <c r="AW478" s="149"/>
      <c r="AX478" s="149"/>
      <c r="AY478" s="149"/>
      <c r="AZ478" s="149"/>
      <c r="BA478" s="149"/>
      <c r="BB478" s="149"/>
      <c r="BC478" s="149"/>
      <c r="BD478" s="149"/>
      <c r="BE478" s="149"/>
      <c r="BF478" s="149"/>
      <c r="BG478" s="149"/>
      <c r="BH478" s="149"/>
      <c r="BI478" s="149"/>
      <c r="BJ478" s="149"/>
      <c r="BK478" s="149"/>
      <c r="BL478" s="149"/>
      <c r="BM478" s="149"/>
      <c r="BN478" s="149"/>
      <c r="BO478" s="149"/>
      <c r="BP478" s="149"/>
      <c r="BQ478" s="149"/>
      <c r="BR478" s="149"/>
    </row>
    <row r="479" ht="34" customHeight="1" spans="1:70">
      <c r="A479" s="208">
        <v>485</v>
      </c>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49"/>
      <c r="AK479" s="149"/>
      <c r="AL479" s="149"/>
      <c r="AM479" s="149"/>
      <c r="AN479" s="149"/>
      <c r="AO479" s="149"/>
      <c r="AP479" s="149"/>
      <c r="AR479" s="149"/>
      <c r="AS479" s="149"/>
      <c r="AT479" s="149"/>
      <c r="AU479" s="149"/>
      <c r="AV479" s="149"/>
      <c r="AW479" s="149"/>
      <c r="AX479" s="149"/>
      <c r="AY479" s="149"/>
      <c r="AZ479" s="149"/>
      <c r="BA479" s="149"/>
      <c r="BB479" s="149"/>
      <c r="BC479" s="149"/>
      <c r="BD479" s="149"/>
      <c r="BE479" s="149"/>
      <c r="BF479" s="149"/>
      <c r="BG479" s="149"/>
      <c r="BH479" s="149"/>
      <c r="BI479" s="149"/>
      <c r="BJ479" s="149"/>
      <c r="BK479" s="149"/>
      <c r="BL479" s="149"/>
      <c r="BM479" s="149"/>
      <c r="BN479" s="149"/>
      <c r="BO479" s="149"/>
      <c r="BP479" s="149"/>
      <c r="BQ479" s="149"/>
      <c r="BR479" s="149"/>
    </row>
    <row r="480" ht="34" customHeight="1" spans="1:70">
      <c r="A480" s="208">
        <v>486</v>
      </c>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49"/>
      <c r="AK480" s="149"/>
      <c r="AL480" s="149"/>
      <c r="AM480" s="149"/>
      <c r="AN480" s="149"/>
      <c r="AO480" s="149"/>
      <c r="AP480" s="149"/>
      <c r="AR480" s="149"/>
      <c r="AS480" s="149"/>
      <c r="AT480" s="149"/>
      <c r="AU480" s="149"/>
      <c r="AV480" s="149"/>
      <c r="AW480" s="149"/>
      <c r="AX480" s="149"/>
      <c r="AY480" s="149"/>
      <c r="AZ480" s="149"/>
      <c r="BA480" s="149"/>
      <c r="BB480" s="149"/>
      <c r="BC480" s="149"/>
      <c r="BD480" s="149"/>
      <c r="BE480" s="149"/>
      <c r="BF480" s="149"/>
      <c r="BG480" s="149"/>
      <c r="BH480" s="149"/>
      <c r="BI480" s="149"/>
      <c r="BJ480" s="149"/>
      <c r="BK480" s="149"/>
      <c r="BL480" s="149"/>
      <c r="BM480" s="149"/>
      <c r="BN480" s="149"/>
      <c r="BO480" s="149"/>
      <c r="BP480" s="149"/>
      <c r="BQ480" s="149"/>
      <c r="BR480" s="149"/>
    </row>
    <row r="481" ht="34" customHeight="1" spans="1:70">
      <c r="A481" s="208">
        <v>487</v>
      </c>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49"/>
      <c r="AK481" s="149"/>
      <c r="AL481" s="149"/>
      <c r="AM481" s="149"/>
      <c r="AN481" s="149"/>
      <c r="AO481" s="149"/>
      <c r="AP481" s="149"/>
      <c r="AR481" s="149"/>
      <c r="AS481" s="149"/>
      <c r="AT481" s="149"/>
      <c r="AU481" s="149"/>
      <c r="AV481" s="149"/>
      <c r="AW481" s="149"/>
      <c r="AX481" s="149"/>
      <c r="AY481" s="149"/>
      <c r="AZ481" s="149"/>
      <c r="BA481" s="149"/>
      <c r="BB481" s="149"/>
      <c r="BC481" s="149"/>
      <c r="BD481" s="149"/>
      <c r="BE481" s="149"/>
      <c r="BF481" s="149"/>
      <c r="BG481" s="149"/>
      <c r="BH481" s="149"/>
      <c r="BI481" s="149"/>
      <c r="BJ481" s="149"/>
      <c r="BK481" s="149"/>
      <c r="BL481" s="149"/>
      <c r="BM481" s="149"/>
      <c r="BN481" s="149"/>
      <c r="BO481" s="149"/>
      <c r="BP481" s="149"/>
      <c r="BQ481" s="149"/>
      <c r="BR481" s="149"/>
    </row>
    <row r="482" ht="34" customHeight="1" spans="1:70">
      <c r="A482" s="208">
        <v>488</v>
      </c>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49"/>
      <c r="AK482" s="149"/>
      <c r="AL482" s="149"/>
      <c r="AM482" s="149"/>
      <c r="AN482" s="149"/>
      <c r="AO482" s="149"/>
      <c r="AP482" s="149"/>
      <c r="AR482" s="149"/>
      <c r="AS482" s="149"/>
      <c r="AT482" s="149"/>
      <c r="AU482" s="149"/>
      <c r="AV482" s="149"/>
      <c r="AW482" s="149"/>
      <c r="AX482" s="149"/>
      <c r="AY482" s="149"/>
      <c r="AZ482" s="149"/>
      <c r="BA482" s="149"/>
      <c r="BB482" s="149"/>
      <c r="BC482" s="149"/>
      <c r="BD482" s="149"/>
      <c r="BE482" s="149"/>
      <c r="BF482" s="149"/>
      <c r="BG482" s="149"/>
      <c r="BH482" s="149"/>
      <c r="BI482" s="149"/>
      <c r="BJ482" s="149"/>
      <c r="BK482" s="149"/>
      <c r="BL482" s="149"/>
      <c r="BM482" s="149"/>
      <c r="BN482" s="149"/>
      <c r="BO482" s="149"/>
      <c r="BP482" s="149"/>
      <c r="BQ482" s="149"/>
      <c r="BR482" s="149"/>
    </row>
    <row r="483" ht="34" customHeight="1" spans="1:70">
      <c r="A483" s="208">
        <v>489</v>
      </c>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ht="34" customHeight="1" spans="1:70">
      <c r="A484" s="208">
        <v>490</v>
      </c>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49"/>
      <c r="AK484" s="149"/>
      <c r="AL484" s="149"/>
      <c r="AM484" s="149"/>
      <c r="AN484" s="149"/>
      <c r="AO484" s="149"/>
      <c r="AP484" s="149"/>
      <c r="AR484" s="149"/>
      <c r="AS484" s="149"/>
      <c r="AT484" s="149"/>
      <c r="AU484" s="149"/>
      <c r="AV484" s="149"/>
      <c r="AW484" s="149"/>
      <c r="AX484" s="149"/>
      <c r="AY484" s="149"/>
      <c r="AZ484" s="149"/>
      <c r="BA484" s="149"/>
      <c r="BB484" s="149"/>
      <c r="BC484" s="149"/>
      <c r="BD484" s="149"/>
      <c r="BE484" s="149"/>
      <c r="BF484" s="149"/>
      <c r="BG484" s="149"/>
      <c r="BH484" s="149"/>
      <c r="BI484" s="149"/>
      <c r="BJ484" s="149"/>
      <c r="BK484" s="149"/>
      <c r="BL484" s="149"/>
      <c r="BM484" s="149"/>
      <c r="BN484" s="149"/>
      <c r="BO484" s="149"/>
      <c r="BP484" s="149"/>
      <c r="BQ484" s="149"/>
      <c r="BR484" s="149"/>
    </row>
    <row r="485" ht="34" customHeight="1" spans="1:70">
      <c r="A485" s="208">
        <v>491</v>
      </c>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49"/>
      <c r="AK485" s="149"/>
      <c r="AL485" s="149"/>
      <c r="AM485" s="149"/>
      <c r="AN485" s="149"/>
      <c r="AO485" s="149"/>
      <c r="AP485" s="149"/>
      <c r="AR485" s="149"/>
      <c r="AS485" s="149"/>
      <c r="AT485" s="149"/>
      <c r="AU485" s="149"/>
      <c r="AV485" s="149"/>
      <c r="AW485" s="149"/>
      <c r="AX485" s="149"/>
      <c r="AY485" s="149"/>
      <c r="AZ485" s="149"/>
      <c r="BA485" s="149"/>
      <c r="BB485" s="149"/>
      <c r="BC485" s="149"/>
      <c r="BD485" s="149"/>
      <c r="BE485" s="149"/>
      <c r="BF485" s="149"/>
      <c r="BG485" s="149"/>
      <c r="BH485" s="149"/>
      <c r="BI485" s="149"/>
      <c r="BJ485" s="149"/>
      <c r="BK485" s="149"/>
      <c r="BL485" s="149"/>
      <c r="BM485" s="149"/>
      <c r="BN485" s="149"/>
      <c r="BO485" s="149"/>
      <c r="BP485" s="149"/>
      <c r="BQ485" s="149"/>
      <c r="BR485" s="149"/>
    </row>
    <row r="486" ht="34" customHeight="1" spans="1:70">
      <c r="A486" s="208">
        <v>492</v>
      </c>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49"/>
      <c r="AK486" s="149"/>
      <c r="AL486" s="149"/>
      <c r="AM486" s="149"/>
      <c r="AN486" s="149"/>
      <c r="AO486" s="149"/>
      <c r="AP486" s="149"/>
      <c r="AR486" s="149"/>
      <c r="AS486" s="149"/>
      <c r="AT486" s="149"/>
      <c r="AU486" s="149"/>
      <c r="AV486" s="149"/>
      <c r="AW486" s="149"/>
      <c r="AX486" s="149"/>
      <c r="AY486" s="149"/>
      <c r="AZ486" s="149"/>
      <c r="BA486" s="149"/>
      <c r="BB486" s="149"/>
      <c r="BC486" s="149"/>
      <c r="BD486" s="149"/>
      <c r="BE486" s="149"/>
      <c r="BF486" s="149"/>
      <c r="BG486" s="149"/>
      <c r="BH486" s="149"/>
      <c r="BI486" s="149"/>
      <c r="BJ486" s="149"/>
      <c r="BK486" s="149"/>
      <c r="BL486" s="149"/>
      <c r="BM486" s="149"/>
      <c r="BN486" s="149"/>
      <c r="BO486" s="149"/>
      <c r="BP486" s="149"/>
      <c r="BQ486" s="149"/>
      <c r="BR486" s="149"/>
    </row>
    <row r="487" ht="34" customHeight="1" spans="1:70">
      <c r="A487" s="208">
        <v>493</v>
      </c>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49"/>
      <c r="AK487" s="149"/>
      <c r="AL487" s="149"/>
      <c r="AM487" s="149"/>
      <c r="AN487" s="149"/>
      <c r="AO487" s="149"/>
      <c r="AP487" s="149"/>
      <c r="AR487" s="149"/>
      <c r="AS487" s="149"/>
      <c r="AT487" s="149"/>
      <c r="AU487" s="149"/>
      <c r="AV487" s="149"/>
      <c r="AW487" s="149"/>
      <c r="AX487" s="149"/>
      <c r="AY487" s="149"/>
      <c r="AZ487" s="149"/>
      <c r="BA487" s="149"/>
      <c r="BB487" s="149"/>
      <c r="BC487" s="149"/>
      <c r="BD487" s="149"/>
      <c r="BE487" s="149"/>
      <c r="BF487" s="149"/>
      <c r="BG487" s="149"/>
      <c r="BH487" s="149"/>
      <c r="BI487" s="149"/>
      <c r="BJ487" s="149"/>
      <c r="BK487" s="149"/>
      <c r="BL487" s="149"/>
      <c r="BM487" s="149"/>
      <c r="BN487" s="149"/>
      <c r="BO487" s="149"/>
      <c r="BP487" s="149"/>
      <c r="BQ487" s="149"/>
      <c r="BR487" s="149"/>
    </row>
    <row r="488" ht="34" customHeight="1" spans="1:70">
      <c r="A488" s="208">
        <v>494</v>
      </c>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49"/>
      <c r="AK488" s="149"/>
      <c r="AL488" s="149"/>
      <c r="AM488" s="149"/>
      <c r="AN488" s="149"/>
      <c r="AO488" s="149"/>
      <c r="AP488" s="149"/>
      <c r="AR488" s="149"/>
      <c r="AS488" s="149"/>
      <c r="AT488" s="149"/>
      <c r="AU488" s="149"/>
      <c r="AV488" s="149"/>
      <c r="AW488" s="149"/>
      <c r="AX488" s="149"/>
      <c r="AY488" s="149"/>
      <c r="AZ488" s="149"/>
      <c r="BA488" s="149"/>
      <c r="BB488" s="149"/>
      <c r="BC488" s="149"/>
      <c r="BD488" s="149"/>
      <c r="BE488" s="149"/>
      <c r="BF488" s="149"/>
      <c r="BG488" s="149"/>
      <c r="BH488" s="149"/>
      <c r="BI488" s="149"/>
      <c r="BJ488" s="149"/>
      <c r="BK488" s="149"/>
      <c r="BL488" s="149"/>
      <c r="BM488" s="149"/>
      <c r="BN488" s="149"/>
      <c r="BO488" s="149"/>
      <c r="BP488" s="149"/>
      <c r="BQ488" s="149"/>
      <c r="BR488" s="149"/>
    </row>
    <row r="489" ht="34" customHeight="1" spans="1:70">
      <c r="A489" s="208">
        <v>495</v>
      </c>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49"/>
      <c r="AK489" s="149"/>
      <c r="AL489" s="149"/>
      <c r="AM489" s="149"/>
      <c r="AN489" s="149"/>
      <c r="AO489" s="149"/>
      <c r="AP489" s="149"/>
      <c r="AR489" s="149"/>
      <c r="AS489" s="149"/>
      <c r="AT489" s="149"/>
      <c r="AU489" s="149"/>
      <c r="AV489" s="149"/>
      <c r="AW489" s="149"/>
      <c r="AX489" s="149"/>
      <c r="AY489" s="149"/>
      <c r="AZ489" s="149"/>
      <c r="BA489" s="149"/>
      <c r="BB489" s="149"/>
      <c r="BC489" s="149"/>
      <c r="BD489" s="149"/>
      <c r="BE489" s="149"/>
      <c r="BF489" s="149"/>
      <c r="BG489" s="149"/>
      <c r="BH489" s="149"/>
      <c r="BI489" s="149"/>
      <c r="BJ489" s="149"/>
      <c r="BK489" s="149"/>
      <c r="BL489" s="149"/>
      <c r="BM489" s="149"/>
      <c r="BN489" s="149"/>
      <c r="BO489" s="149"/>
      <c r="BP489" s="149"/>
      <c r="BQ489" s="149"/>
      <c r="BR489" s="149"/>
    </row>
    <row r="490" ht="34" customHeight="1" spans="1:70">
      <c r="A490" s="208">
        <v>496</v>
      </c>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49"/>
      <c r="AK490" s="149"/>
      <c r="AL490" s="149"/>
      <c r="AM490" s="149"/>
      <c r="AN490" s="149"/>
      <c r="AO490" s="149"/>
      <c r="AP490" s="149"/>
      <c r="AR490" s="149"/>
      <c r="AS490" s="149"/>
      <c r="AT490" s="149"/>
      <c r="AU490" s="149"/>
      <c r="AV490" s="149"/>
      <c r="AW490" s="149"/>
      <c r="AX490" s="149"/>
      <c r="AY490" s="149"/>
      <c r="AZ490" s="149"/>
      <c r="BA490" s="149"/>
      <c r="BB490" s="149"/>
      <c r="BC490" s="149"/>
      <c r="BD490" s="149"/>
      <c r="BE490" s="149"/>
      <c r="BF490" s="149"/>
      <c r="BG490" s="149"/>
      <c r="BH490" s="149"/>
      <c r="BI490" s="149"/>
      <c r="BJ490" s="149"/>
      <c r="BK490" s="149"/>
      <c r="BL490" s="149"/>
      <c r="BM490" s="149"/>
      <c r="BN490" s="149"/>
      <c r="BO490" s="149"/>
      <c r="BP490" s="149"/>
      <c r="BQ490" s="149"/>
      <c r="BR490" s="149"/>
    </row>
    <row r="491" ht="34" customHeight="1" spans="1:70">
      <c r="A491" s="208">
        <v>497</v>
      </c>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49"/>
      <c r="AK491" s="149"/>
      <c r="AL491" s="149"/>
      <c r="AM491" s="149"/>
      <c r="AN491" s="149"/>
      <c r="AO491" s="149"/>
      <c r="AP491" s="149"/>
      <c r="AR491" s="149"/>
      <c r="AS491" s="149"/>
      <c r="AT491" s="149"/>
      <c r="AU491" s="149"/>
      <c r="AV491" s="149"/>
      <c r="AW491" s="149"/>
      <c r="AX491" s="149"/>
      <c r="AY491" s="149"/>
      <c r="AZ491" s="149"/>
      <c r="BA491" s="149"/>
      <c r="BB491" s="149"/>
      <c r="BC491" s="149"/>
      <c r="BD491" s="149"/>
      <c r="BE491" s="149"/>
      <c r="BF491" s="149"/>
      <c r="BG491" s="149"/>
      <c r="BH491" s="149"/>
      <c r="BI491" s="149"/>
      <c r="BJ491" s="149"/>
      <c r="BK491" s="149"/>
      <c r="BL491" s="149"/>
      <c r="BM491" s="149"/>
      <c r="BN491" s="149"/>
      <c r="BO491" s="149"/>
      <c r="BP491" s="149"/>
      <c r="BQ491" s="149"/>
      <c r="BR491" s="149"/>
    </row>
    <row r="492" ht="34" customHeight="1" spans="1:70">
      <c r="A492" s="208">
        <v>498</v>
      </c>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49"/>
      <c r="AK492" s="149"/>
      <c r="AL492" s="149"/>
      <c r="AM492" s="149"/>
      <c r="AN492" s="149"/>
      <c r="AO492" s="149"/>
      <c r="AP492" s="149"/>
      <c r="AR492" s="149"/>
      <c r="AS492" s="149"/>
      <c r="AT492" s="149"/>
      <c r="AU492" s="149"/>
      <c r="AV492" s="149"/>
      <c r="AW492" s="149"/>
      <c r="AX492" s="149"/>
      <c r="AY492" s="149"/>
      <c r="AZ492" s="149"/>
      <c r="BA492" s="149"/>
      <c r="BB492" s="149"/>
      <c r="BC492" s="149"/>
      <c r="BD492" s="149"/>
      <c r="BE492" s="149"/>
      <c r="BF492" s="149"/>
      <c r="BG492" s="149"/>
      <c r="BH492" s="149"/>
      <c r="BI492" s="149"/>
      <c r="BJ492" s="149"/>
      <c r="BK492" s="149"/>
      <c r="BL492" s="149"/>
      <c r="BM492" s="149"/>
      <c r="BN492" s="149"/>
      <c r="BO492" s="149"/>
      <c r="BP492" s="149"/>
      <c r="BQ492" s="149"/>
      <c r="BR492" s="149"/>
    </row>
    <row r="493" ht="34" customHeight="1" spans="1:70">
      <c r="A493" s="208">
        <v>499</v>
      </c>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49"/>
      <c r="AK493" s="149"/>
      <c r="AL493" s="149"/>
      <c r="AM493" s="149"/>
      <c r="AN493" s="149"/>
      <c r="AO493" s="149"/>
      <c r="AP493" s="149"/>
      <c r="AR493" s="149"/>
      <c r="AS493" s="149"/>
      <c r="AT493" s="149"/>
      <c r="AU493" s="149"/>
      <c r="AV493" s="149"/>
      <c r="AW493" s="149"/>
      <c r="AX493" s="149"/>
      <c r="AY493" s="149"/>
      <c r="AZ493" s="149"/>
      <c r="BA493" s="149"/>
      <c r="BB493" s="149"/>
      <c r="BC493" s="149"/>
      <c r="BD493" s="149"/>
      <c r="BE493" s="149"/>
      <c r="BF493" s="149"/>
      <c r="BG493" s="149"/>
      <c r="BH493" s="149"/>
      <c r="BI493" s="149"/>
      <c r="BJ493" s="149"/>
      <c r="BK493" s="149"/>
      <c r="BL493" s="149"/>
      <c r="BM493" s="149"/>
      <c r="BN493" s="149"/>
      <c r="BO493" s="149"/>
      <c r="BP493" s="149"/>
      <c r="BQ493" s="149"/>
      <c r="BR493" s="149"/>
    </row>
    <row r="494" ht="34" customHeight="1" spans="1:70">
      <c r="A494" s="208">
        <v>500</v>
      </c>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49"/>
      <c r="AK494" s="149"/>
      <c r="AL494" s="149"/>
      <c r="AM494" s="149"/>
      <c r="AN494" s="149"/>
      <c r="AO494" s="149"/>
      <c r="AP494" s="149"/>
      <c r="AR494" s="149"/>
      <c r="AS494" s="149"/>
      <c r="AT494" s="149"/>
      <c r="AU494" s="149"/>
      <c r="AV494" s="149"/>
      <c r="AW494" s="149"/>
      <c r="AX494" s="149"/>
      <c r="AY494" s="149"/>
      <c r="AZ494" s="149"/>
      <c r="BA494" s="149"/>
      <c r="BB494" s="149"/>
      <c r="BC494" s="149"/>
      <c r="BD494" s="149"/>
      <c r="BE494" s="149"/>
      <c r="BF494" s="149"/>
      <c r="BG494" s="149"/>
      <c r="BH494" s="149"/>
      <c r="BI494" s="149"/>
      <c r="BJ494" s="149"/>
      <c r="BK494" s="149"/>
      <c r="BL494" s="149"/>
      <c r="BM494" s="149"/>
      <c r="BN494" s="149"/>
      <c r="BO494" s="149"/>
      <c r="BP494" s="149"/>
      <c r="BQ494" s="149"/>
      <c r="BR494" s="149"/>
    </row>
    <row r="495" ht="34" customHeight="1" spans="1:70">
      <c r="A495" s="208">
        <v>501</v>
      </c>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49"/>
      <c r="AK495" s="149"/>
      <c r="AL495" s="149"/>
      <c r="AM495" s="149"/>
      <c r="AN495" s="149"/>
      <c r="AO495" s="149"/>
      <c r="AP495" s="149"/>
      <c r="AR495" s="149"/>
      <c r="AS495" s="149"/>
      <c r="AT495" s="149"/>
      <c r="AU495" s="149"/>
      <c r="AV495" s="149"/>
      <c r="AW495" s="149"/>
      <c r="AX495" s="149"/>
      <c r="AY495" s="149"/>
      <c r="AZ495" s="149"/>
      <c r="BA495" s="149"/>
      <c r="BB495" s="149"/>
      <c r="BC495" s="149"/>
      <c r="BD495" s="149"/>
      <c r="BE495" s="149"/>
      <c r="BF495" s="149"/>
      <c r="BG495" s="149"/>
      <c r="BH495" s="149"/>
      <c r="BI495" s="149"/>
      <c r="BJ495" s="149"/>
      <c r="BK495" s="149"/>
      <c r="BL495" s="149"/>
      <c r="BM495" s="149"/>
      <c r="BN495" s="149"/>
      <c r="BO495" s="149"/>
      <c r="BP495" s="149"/>
      <c r="BQ495" s="149"/>
      <c r="BR495" s="149"/>
    </row>
    <row r="496" ht="34" customHeight="1" spans="1:70">
      <c r="A496" s="208">
        <v>502</v>
      </c>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49"/>
      <c r="AK496" s="149"/>
      <c r="AL496" s="149"/>
      <c r="AM496" s="149"/>
      <c r="AN496" s="149"/>
      <c r="AO496" s="149"/>
      <c r="AP496" s="149"/>
      <c r="AR496" s="149"/>
      <c r="AS496" s="149"/>
      <c r="AT496" s="149"/>
      <c r="AU496" s="149"/>
      <c r="AV496" s="149"/>
      <c r="AW496" s="149"/>
      <c r="AX496" s="149"/>
      <c r="AY496" s="149"/>
      <c r="AZ496" s="149"/>
      <c r="BA496" s="149"/>
      <c r="BB496" s="149"/>
      <c r="BC496" s="149"/>
      <c r="BD496" s="149"/>
      <c r="BE496" s="149"/>
      <c r="BF496" s="149"/>
      <c r="BG496" s="149"/>
      <c r="BH496" s="149"/>
      <c r="BI496" s="149"/>
      <c r="BJ496" s="149"/>
      <c r="BK496" s="149"/>
      <c r="BL496" s="149"/>
      <c r="BM496" s="149"/>
      <c r="BN496" s="149"/>
      <c r="BO496" s="149"/>
      <c r="BP496" s="149"/>
      <c r="BQ496" s="149"/>
      <c r="BR496" s="149"/>
    </row>
    <row r="497" ht="34" customHeight="1" spans="1:70">
      <c r="A497" s="208">
        <v>503</v>
      </c>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49"/>
      <c r="AK497" s="149"/>
      <c r="AL497" s="149"/>
      <c r="AM497" s="149"/>
      <c r="AN497" s="149"/>
      <c r="AO497" s="149"/>
      <c r="AP497" s="149"/>
      <c r="AR497" s="149"/>
      <c r="AS497" s="149"/>
      <c r="AT497" s="149"/>
      <c r="AU497" s="149"/>
      <c r="AV497" s="149"/>
      <c r="AW497" s="149"/>
      <c r="AX497" s="149"/>
      <c r="AY497" s="149"/>
      <c r="AZ497" s="149"/>
      <c r="BA497" s="149"/>
      <c r="BB497" s="149"/>
      <c r="BC497" s="149"/>
      <c r="BD497" s="149"/>
      <c r="BE497" s="149"/>
      <c r="BF497" s="149"/>
      <c r="BG497" s="149"/>
      <c r="BH497" s="149"/>
      <c r="BI497" s="149"/>
      <c r="BJ497" s="149"/>
      <c r="BK497" s="149"/>
      <c r="BL497" s="149"/>
      <c r="BM497" s="149"/>
      <c r="BN497" s="149"/>
      <c r="BO497" s="149"/>
      <c r="BP497" s="149"/>
      <c r="BQ497" s="149"/>
      <c r="BR497" s="149"/>
    </row>
    <row r="498" ht="34" customHeight="1" spans="1:70">
      <c r="A498" s="208">
        <v>504</v>
      </c>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49"/>
      <c r="AK498" s="149"/>
      <c r="AL498" s="149"/>
      <c r="AM498" s="149"/>
      <c r="AN498" s="149"/>
      <c r="AO498" s="149"/>
      <c r="AP498" s="149"/>
      <c r="AR498" s="149"/>
      <c r="AS498" s="149"/>
      <c r="AT498" s="149"/>
      <c r="AU498" s="149"/>
      <c r="AV498" s="149"/>
      <c r="AW498" s="149"/>
      <c r="AX498" s="149"/>
      <c r="AY498" s="149"/>
      <c r="AZ498" s="149"/>
      <c r="BA498" s="149"/>
      <c r="BB498" s="149"/>
      <c r="BC498" s="149"/>
      <c r="BD498" s="149"/>
      <c r="BE498" s="149"/>
      <c r="BF498" s="149"/>
      <c r="BG498" s="149"/>
      <c r="BH498" s="149"/>
      <c r="BI498" s="149"/>
      <c r="BJ498" s="149"/>
      <c r="BK498" s="149"/>
      <c r="BL498" s="149"/>
      <c r="BM498" s="149"/>
      <c r="BN498" s="149"/>
      <c r="BO498" s="149"/>
      <c r="BP498" s="149"/>
      <c r="BQ498" s="149"/>
      <c r="BR498" s="149"/>
    </row>
    <row r="499" ht="34" customHeight="1" spans="1:70">
      <c r="A499" s="208">
        <v>505</v>
      </c>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ht="34" customHeight="1" spans="1:70">
      <c r="A500" s="208">
        <v>506</v>
      </c>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49"/>
      <c r="AK500" s="149"/>
      <c r="AL500" s="149"/>
      <c r="AM500" s="149"/>
      <c r="AN500" s="149"/>
      <c r="AO500" s="149"/>
      <c r="AP500" s="149"/>
      <c r="AR500" s="149"/>
      <c r="AS500" s="149"/>
      <c r="AT500" s="149"/>
      <c r="AU500" s="149"/>
      <c r="AV500" s="149"/>
      <c r="AW500" s="149"/>
      <c r="AX500" s="149"/>
      <c r="AY500" s="149"/>
      <c r="AZ500" s="149"/>
      <c r="BA500" s="149"/>
      <c r="BB500" s="149"/>
      <c r="BC500" s="149"/>
      <c r="BD500" s="149"/>
      <c r="BE500" s="149"/>
      <c r="BF500" s="149"/>
      <c r="BG500" s="149"/>
      <c r="BH500" s="149"/>
      <c r="BI500" s="149"/>
      <c r="BJ500" s="149"/>
      <c r="BK500" s="149"/>
      <c r="BL500" s="149"/>
      <c r="BM500" s="149"/>
      <c r="BN500" s="149"/>
      <c r="BO500" s="149"/>
      <c r="BP500" s="149"/>
      <c r="BQ500" s="149"/>
      <c r="BR500" s="149"/>
    </row>
    <row r="501" ht="34" customHeight="1" spans="1:70">
      <c r="A501" s="208">
        <v>507</v>
      </c>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49"/>
      <c r="AK501" s="149"/>
      <c r="AL501" s="149"/>
      <c r="AM501" s="149"/>
      <c r="AN501" s="149"/>
      <c r="AO501" s="149"/>
      <c r="AP501" s="149"/>
      <c r="AR501" s="149"/>
      <c r="AS501" s="149"/>
      <c r="AT501" s="149"/>
      <c r="AU501" s="149"/>
      <c r="AV501" s="149"/>
      <c r="AW501" s="149"/>
      <c r="AX501" s="149"/>
      <c r="AY501" s="149"/>
      <c r="AZ501" s="149"/>
      <c r="BA501" s="149"/>
      <c r="BB501" s="149"/>
      <c r="BC501" s="149"/>
      <c r="BD501" s="149"/>
      <c r="BE501" s="149"/>
      <c r="BF501" s="149"/>
      <c r="BG501" s="149"/>
      <c r="BH501" s="149"/>
      <c r="BI501" s="149"/>
      <c r="BJ501" s="149"/>
      <c r="BK501" s="149"/>
      <c r="BL501" s="149"/>
      <c r="BM501" s="149"/>
      <c r="BN501" s="149"/>
      <c r="BO501" s="149"/>
      <c r="BP501" s="149"/>
      <c r="BQ501" s="149"/>
      <c r="BR501" s="149"/>
    </row>
    <row r="502" ht="34" customHeight="1" spans="1:70">
      <c r="A502" s="208">
        <v>508</v>
      </c>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49"/>
      <c r="AK502" s="149"/>
      <c r="AL502" s="149"/>
      <c r="AM502" s="149"/>
      <c r="AN502" s="149"/>
      <c r="AO502" s="149"/>
      <c r="AP502" s="149"/>
      <c r="AR502" s="149"/>
      <c r="AS502" s="149"/>
      <c r="AT502" s="149"/>
      <c r="AU502" s="149"/>
      <c r="AV502" s="149"/>
      <c r="AW502" s="149"/>
      <c r="AX502" s="149"/>
      <c r="AY502" s="149"/>
      <c r="AZ502" s="149"/>
      <c r="BA502" s="149"/>
      <c r="BB502" s="149"/>
      <c r="BC502" s="149"/>
      <c r="BD502" s="149"/>
      <c r="BE502" s="149"/>
      <c r="BF502" s="149"/>
      <c r="BG502" s="149"/>
      <c r="BH502" s="149"/>
      <c r="BI502" s="149"/>
      <c r="BJ502" s="149"/>
      <c r="BK502" s="149"/>
      <c r="BL502" s="149"/>
      <c r="BM502" s="149"/>
      <c r="BN502" s="149"/>
      <c r="BO502" s="149"/>
      <c r="BP502" s="149"/>
      <c r="BQ502" s="149"/>
      <c r="BR502" s="149"/>
    </row>
    <row r="503" ht="34" customHeight="1" spans="1:70">
      <c r="A503" s="208">
        <v>509</v>
      </c>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49"/>
      <c r="AK503" s="149"/>
      <c r="AL503" s="149"/>
      <c r="AM503" s="149"/>
      <c r="AN503" s="149"/>
      <c r="AO503" s="149"/>
      <c r="AP503" s="149"/>
      <c r="AR503" s="149"/>
      <c r="AS503" s="149"/>
      <c r="AT503" s="149"/>
      <c r="AU503" s="149"/>
      <c r="AV503" s="149"/>
      <c r="AW503" s="149"/>
      <c r="AX503" s="149"/>
      <c r="AY503" s="149"/>
      <c r="AZ503" s="149"/>
      <c r="BA503" s="149"/>
      <c r="BB503" s="149"/>
      <c r="BC503" s="149"/>
      <c r="BD503" s="149"/>
      <c r="BE503" s="149"/>
      <c r="BF503" s="149"/>
      <c r="BG503" s="149"/>
      <c r="BH503" s="149"/>
      <c r="BI503" s="149"/>
      <c r="BJ503" s="149"/>
      <c r="BK503" s="149"/>
      <c r="BL503" s="149"/>
      <c r="BM503" s="149"/>
      <c r="BN503" s="149"/>
      <c r="BO503" s="149"/>
      <c r="BP503" s="149"/>
      <c r="BQ503" s="149"/>
      <c r="BR503" s="149"/>
    </row>
    <row r="504" ht="34" customHeight="1" spans="1:70">
      <c r="A504" s="208">
        <v>510</v>
      </c>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49"/>
      <c r="AK504" s="149"/>
      <c r="AL504" s="149"/>
      <c r="AM504" s="149"/>
      <c r="AN504" s="149"/>
      <c r="AO504" s="149"/>
      <c r="AP504" s="149"/>
      <c r="AR504" s="149"/>
      <c r="AS504" s="149"/>
      <c r="AT504" s="149"/>
      <c r="AU504" s="149"/>
      <c r="AV504" s="149"/>
      <c r="AW504" s="149"/>
      <c r="AX504" s="149"/>
      <c r="AY504" s="149"/>
      <c r="AZ504" s="149"/>
      <c r="BA504" s="149"/>
      <c r="BB504" s="149"/>
      <c r="BC504" s="149"/>
      <c r="BD504" s="149"/>
      <c r="BE504" s="149"/>
      <c r="BF504" s="149"/>
      <c r="BG504" s="149"/>
      <c r="BH504" s="149"/>
      <c r="BI504" s="149"/>
      <c r="BJ504" s="149"/>
      <c r="BK504" s="149"/>
      <c r="BL504" s="149"/>
      <c r="BM504" s="149"/>
      <c r="BN504" s="149"/>
      <c r="BO504" s="149"/>
      <c r="BP504" s="149"/>
      <c r="BQ504" s="149"/>
      <c r="BR504" s="149"/>
    </row>
    <row r="505" ht="34" customHeight="1" spans="1:70">
      <c r="A505" s="208">
        <v>511</v>
      </c>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49"/>
      <c r="AK505" s="149"/>
      <c r="AL505" s="149"/>
      <c r="AM505" s="149"/>
      <c r="AN505" s="149"/>
      <c r="AO505" s="149"/>
      <c r="AP505" s="149"/>
      <c r="AR505" s="149"/>
      <c r="AS505" s="149"/>
      <c r="AT505" s="149"/>
      <c r="AU505" s="149"/>
      <c r="AV505" s="149"/>
      <c r="AW505" s="149"/>
      <c r="AX505" s="149"/>
      <c r="AY505" s="149"/>
      <c r="AZ505" s="149"/>
      <c r="BA505" s="149"/>
      <c r="BB505" s="149"/>
      <c r="BC505" s="149"/>
      <c r="BD505" s="149"/>
      <c r="BE505" s="149"/>
      <c r="BF505" s="149"/>
      <c r="BG505" s="149"/>
      <c r="BH505" s="149"/>
      <c r="BI505" s="149"/>
      <c r="BJ505" s="149"/>
      <c r="BK505" s="149"/>
      <c r="BL505" s="149"/>
      <c r="BM505" s="149"/>
      <c r="BN505" s="149"/>
      <c r="BO505" s="149"/>
      <c r="BP505" s="149"/>
      <c r="BQ505" s="149"/>
      <c r="BR505" s="149"/>
    </row>
    <row r="506" ht="34" customHeight="1" spans="1:70">
      <c r="A506" s="208">
        <v>512</v>
      </c>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49"/>
      <c r="AK506" s="149"/>
      <c r="AL506" s="149"/>
      <c r="AM506" s="149"/>
      <c r="AN506" s="149"/>
      <c r="AO506" s="149"/>
      <c r="AP506" s="149"/>
      <c r="AR506" s="149"/>
      <c r="AS506" s="149"/>
      <c r="AT506" s="149"/>
      <c r="AU506" s="149"/>
      <c r="AV506" s="149"/>
      <c r="AW506" s="149"/>
      <c r="AX506" s="149"/>
      <c r="AY506" s="149"/>
      <c r="AZ506" s="149"/>
      <c r="BA506" s="149"/>
      <c r="BB506" s="149"/>
      <c r="BC506" s="149"/>
      <c r="BD506" s="149"/>
      <c r="BE506" s="149"/>
      <c r="BF506" s="149"/>
      <c r="BG506" s="149"/>
      <c r="BH506" s="149"/>
      <c r="BI506" s="149"/>
      <c r="BJ506" s="149"/>
      <c r="BK506" s="149"/>
      <c r="BL506" s="149"/>
      <c r="BM506" s="149"/>
      <c r="BN506" s="149"/>
      <c r="BO506" s="149"/>
      <c r="BP506" s="149"/>
      <c r="BQ506" s="149"/>
      <c r="BR506" s="149"/>
    </row>
    <row r="507" ht="34" customHeight="1" spans="1:70">
      <c r="A507" s="208">
        <v>513</v>
      </c>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49"/>
      <c r="AK507" s="149"/>
      <c r="AL507" s="149"/>
      <c r="AM507" s="149"/>
      <c r="AN507" s="149"/>
      <c r="AO507" s="149"/>
      <c r="AP507" s="149"/>
      <c r="AR507" s="149"/>
      <c r="AS507" s="149"/>
      <c r="AT507" s="149"/>
      <c r="AU507" s="149"/>
      <c r="AV507" s="149"/>
      <c r="AW507" s="149"/>
      <c r="AX507" s="149"/>
      <c r="AY507" s="149"/>
      <c r="AZ507" s="149"/>
      <c r="BA507" s="149"/>
      <c r="BB507" s="149"/>
      <c r="BC507" s="149"/>
      <c r="BD507" s="149"/>
      <c r="BE507" s="149"/>
      <c r="BF507" s="149"/>
      <c r="BG507" s="149"/>
      <c r="BH507" s="149"/>
      <c r="BI507" s="149"/>
      <c r="BJ507" s="149"/>
      <c r="BK507" s="149"/>
      <c r="BL507" s="149"/>
      <c r="BM507" s="149"/>
      <c r="BN507" s="149"/>
      <c r="BO507" s="149"/>
      <c r="BP507" s="149"/>
      <c r="BQ507" s="149"/>
      <c r="BR507" s="149"/>
    </row>
    <row r="508" ht="34" customHeight="1" spans="1:70">
      <c r="A508" s="208">
        <v>514</v>
      </c>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49"/>
      <c r="AK508" s="149"/>
      <c r="AL508" s="149"/>
      <c r="AM508" s="149"/>
      <c r="AN508" s="149"/>
      <c r="AO508" s="149"/>
      <c r="AP508" s="149"/>
      <c r="AR508" s="149"/>
      <c r="AS508" s="149"/>
      <c r="AT508" s="149"/>
      <c r="AU508" s="149"/>
      <c r="AV508" s="149"/>
      <c r="AW508" s="149"/>
      <c r="AX508" s="149"/>
      <c r="AY508" s="149"/>
      <c r="AZ508" s="149"/>
      <c r="BA508" s="149"/>
      <c r="BB508" s="149"/>
      <c r="BC508" s="149"/>
      <c r="BD508" s="149"/>
      <c r="BE508" s="149"/>
      <c r="BF508" s="149"/>
      <c r="BG508" s="149"/>
      <c r="BH508" s="149"/>
      <c r="BI508" s="149"/>
      <c r="BJ508" s="149"/>
      <c r="BK508" s="149"/>
      <c r="BL508" s="149"/>
      <c r="BM508" s="149"/>
      <c r="BN508" s="149"/>
      <c r="BO508" s="149"/>
      <c r="BP508" s="149"/>
      <c r="BQ508" s="149"/>
      <c r="BR508" s="149"/>
    </row>
    <row r="509" ht="34" customHeight="1" spans="1:70">
      <c r="A509" s="208">
        <v>515</v>
      </c>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49"/>
      <c r="AK509" s="149"/>
      <c r="AL509" s="149"/>
      <c r="AM509" s="149"/>
      <c r="AN509" s="149"/>
      <c r="AO509" s="149"/>
      <c r="AP509" s="149"/>
      <c r="AR509" s="149"/>
      <c r="AS509" s="149"/>
      <c r="AT509" s="149"/>
      <c r="AU509" s="149"/>
      <c r="AV509" s="149"/>
      <c r="AW509" s="149"/>
      <c r="AX509" s="149"/>
      <c r="AY509" s="149"/>
      <c r="AZ509" s="149"/>
      <c r="BA509" s="149"/>
      <c r="BB509" s="149"/>
      <c r="BC509" s="149"/>
      <c r="BD509" s="149"/>
      <c r="BE509" s="149"/>
      <c r="BF509" s="149"/>
      <c r="BG509" s="149"/>
      <c r="BH509" s="149"/>
      <c r="BI509" s="149"/>
      <c r="BJ509" s="149"/>
      <c r="BK509" s="149"/>
      <c r="BL509" s="149"/>
      <c r="BM509" s="149"/>
      <c r="BN509" s="149"/>
      <c r="BO509" s="149"/>
      <c r="BP509" s="149"/>
      <c r="BQ509" s="149"/>
      <c r="BR509" s="149"/>
    </row>
    <row r="510" ht="34" customHeight="1" spans="1:70">
      <c r="A510" s="208">
        <v>516</v>
      </c>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49"/>
      <c r="AK510" s="149"/>
      <c r="AL510" s="149"/>
      <c r="AM510" s="149"/>
      <c r="AN510" s="149"/>
      <c r="AO510" s="149"/>
      <c r="AP510" s="149"/>
      <c r="AR510" s="149"/>
      <c r="AS510" s="149"/>
      <c r="AT510" s="149"/>
      <c r="AU510" s="149"/>
      <c r="AV510" s="149"/>
      <c r="AW510" s="149"/>
      <c r="AX510" s="149"/>
      <c r="AY510" s="149"/>
      <c r="AZ510" s="149"/>
      <c r="BA510" s="149"/>
      <c r="BB510" s="149"/>
      <c r="BC510" s="149"/>
      <c r="BD510" s="149"/>
      <c r="BE510" s="149"/>
      <c r="BF510" s="149"/>
      <c r="BG510" s="149"/>
      <c r="BH510" s="149"/>
      <c r="BI510" s="149"/>
      <c r="BJ510" s="149"/>
      <c r="BK510" s="149"/>
      <c r="BL510" s="149"/>
      <c r="BM510" s="149"/>
      <c r="BN510" s="149"/>
      <c r="BO510" s="149"/>
      <c r="BP510" s="149"/>
      <c r="BQ510" s="149"/>
      <c r="BR510" s="149"/>
    </row>
    <row r="511" ht="34" customHeight="1" spans="1:70">
      <c r="A511" s="208">
        <v>517</v>
      </c>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49"/>
      <c r="AK511" s="149"/>
      <c r="AL511" s="149"/>
      <c r="AM511" s="149"/>
      <c r="AN511" s="149"/>
      <c r="AO511" s="149"/>
      <c r="AP511" s="149"/>
      <c r="AR511" s="149"/>
      <c r="AS511" s="149"/>
      <c r="AT511" s="149"/>
      <c r="AU511" s="149"/>
      <c r="AV511" s="149"/>
      <c r="AW511" s="149"/>
      <c r="AX511" s="149"/>
      <c r="AY511" s="149"/>
      <c r="AZ511" s="149"/>
      <c r="BA511" s="149"/>
      <c r="BB511" s="149"/>
      <c r="BC511" s="149"/>
      <c r="BD511" s="149"/>
      <c r="BE511" s="149"/>
      <c r="BF511" s="149"/>
      <c r="BG511" s="149"/>
      <c r="BH511" s="149"/>
      <c r="BI511" s="149"/>
      <c r="BJ511" s="149"/>
      <c r="BK511" s="149"/>
      <c r="BL511" s="149"/>
      <c r="BM511" s="149"/>
      <c r="BN511" s="149"/>
      <c r="BO511" s="149"/>
      <c r="BP511" s="149"/>
      <c r="BQ511" s="149"/>
      <c r="BR511" s="149"/>
    </row>
    <row r="512" ht="34" customHeight="1" spans="1:70">
      <c r="A512" s="208">
        <v>518</v>
      </c>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49"/>
      <c r="AK512" s="149"/>
      <c r="AL512" s="149"/>
      <c r="AM512" s="149"/>
      <c r="AN512" s="149"/>
      <c r="AO512" s="149"/>
      <c r="AP512" s="149"/>
      <c r="AR512" s="149"/>
      <c r="AS512" s="149"/>
      <c r="AT512" s="149"/>
      <c r="AU512" s="149"/>
      <c r="AV512" s="149"/>
      <c r="AW512" s="149"/>
      <c r="AX512" s="149"/>
      <c r="AY512" s="149"/>
      <c r="AZ512" s="149"/>
      <c r="BA512" s="149"/>
      <c r="BB512" s="149"/>
      <c r="BC512" s="149"/>
      <c r="BD512" s="149"/>
      <c r="BE512" s="149"/>
      <c r="BF512" s="149"/>
      <c r="BG512" s="149"/>
      <c r="BH512" s="149"/>
      <c r="BI512" s="149"/>
      <c r="BJ512" s="149"/>
      <c r="BK512" s="149"/>
      <c r="BL512" s="149"/>
      <c r="BM512" s="149"/>
      <c r="BN512" s="149"/>
      <c r="BO512" s="149"/>
      <c r="BP512" s="149"/>
      <c r="BQ512" s="149"/>
      <c r="BR512" s="149"/>
    </row>
    <row r="513" ht="34" customHeight="1" spans="1:70">
      <c r="A513" s="208">
        <v>519</v>
      </c>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49"/>
      <c r="AK513" s="149"/>
      <c r="AL513" s="149"/>
      <c r="AM513" s="149"/>
      <c r="AN513" s="149"/>
      <c r="AO513" s="149"/>
      <c r="AP513" s="149"/>
      <c r="AR513" s="149"/>
      <c r="AS513" s="149"/>
      <c r="AT513" s="149"/>
      <c r="AU513" s="149"/>
      <c r="AV513" s="149"/>
      <c r="AW513" s="149"/>
      <c r="AX513" s="149"/>
      <c r="AY513" s="149"/>
      <c r="AZ513" s="149"/>
      <c r="BA513" s="149"/>
      <c r="BB513" s="149"/>
      <c r="BC513" s="149"/>
      <c r="BD513" s="149"/>
      <c r="BE513" s="149"/>
      <c r="BF513" s="149"/>
      <c r="BG513" s="149"/>
      <c r="BH513" s="149"/>
      <c r="BI513" s="149"/>
      <c r="BJ513" s="149"/>
      <c r="BK513" s="149"/>
      <c r="BL513" s="149"/>
      <c r="BM513" s="149"/>
      <c r="BN513" s="149"/>
      <c r="BO513" s="149"/>
      <c r="BP513" s="149"/>
      <c r="BQ513" s="149"/>
      <c r="BR513" s="149"/>
    </row>
    <row r="514" ht="34" customHeight="1" spans="1:70">
      <c r="A514" s="208">
        <v>520</v>
      </c>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49"/>
      <c r="AK514" s="149"/>
      <c r="AL514" s="149"/>
      <c r="AM514" s="149"/>
      <c r="AN514" s="149"/>
      <c r="AO514" s="149"/>
      <c r="AP514" s="149"/>
      <c r="AR514" s="149"/>
      <c r="AS514" s="149"/>
      <c r="AT514" s="149"/>
      <c r="AU514" s="149"/>
      <c r="AV514" s="149"/>
      <c r="AW514" s="149"/>
      <c r="AX514" s="149"/>
      <c r="AY514" s="149"/>
      <c r="AZ514" s="149"/>
      <c r="BA514" s="149"/>
      <c r="BB514" s="149"/>
      <c r="BC514" s="149"/>
      <c r="BD514" s="149"/>
      <c r="BE514" s="149"/>
      <c r="BF514" s="149"/>
      <c r="BG514" s="149"/>
      <c r="BH514" s="149"/>
      <c r="BI514" s="149"/>
      <c r="BJ514" s="149"/>
      <c r="BK514" s="149"/>
      <c r="BL514" s="149"/>
      <c r="BM514" s="149"/>
      <c r="BN514" s="149"/>
      <c r="BO514" s="149"/>
      <c r="BP514" s="149"/>
      <c r="BQ514" s="149"/>
      <c r="BR514" s="149"/>
    </row>
    <row r="515" ht="34" customHeight="1" spans="1:70">
      <c r="A515" s="208">
        <v>521</v>
      </c>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ht="34" customHeight="1" spans="1:70">
      <c r="A516" s="208">
        <v>522</v>
      </c>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49"/>
      <c r="AK516" s="149"/>
      <c r="AL516" s="149"/>
      <c r="AM516" s="149"/>
      <c r="AN516" s="149"/>
      <c r="AO516" s="149"/>
      <c r="AP516" s="149"/>
      <c r="AR516" s="149"/>
      <c r="AS516" s="149"/>
      <c r="AT516" s="149"/>
      <c r="AU516" s="149"/>
      <c r="AV516" s="149"/>
      <c r="AW516" s="149"/>
      <c r="AX516" s="149"/>
      <c r="AY516" s="149"/>
      <c r="AZ516" s="149"/>
      <c r="BA516" s="149"/>
      <c r="BB516" s="149"/>
      <c r="BC516" s="149"/>
      <c r="BD516" s="149"/>
      <c r="BE516" s="149"/>
      <c r="BF516" s="149"/>
      <c r="BG516" s="149"/>
      <c r="BH516" s="149"/>
      <c r="BI516" s="149"/>
      <c r="BJ516" s="149"/>
      <c r="BK516" s="149"/>
      <c r="BL516" s="149"/>
      <c r="BM516" s="149"/>
      <c r="BN516" s="149"/>
      <c r="BO516" s="149"/>
      <c r="BP516" s="149"/>
      <c r="BQ516" s="149"/>
      <c r="BR516" s="149"/>
    </row>
    <row r="517" ht="34" customHeight="1" spans="1:70">
      <c r="A517" s="208">
        <v>523</v>
      </c>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49"/>
      <c r="AK517" s="149"/>
      <c r="AL517" s="149"/>
      <c r="AM517" s="149"/>
      <c r="AN517" s="149"/>
      <c r="AO517" s="149"/>
      <c r="AP517" s="149"/>
      <c r="AR517" s="149"/>
      <c r="AS517" s="149"/>
      <c r="AT517" s="149"/>
      <c r="AU517" s="149"/>
      <c r="AV517" s="149"/>
      <c r="AW517" s="149"/>
      <c r="AX517" s="149"/>
      <c r="AY517" s="149"/>
      <c r="AZ517" s="149"/>
      <c r="BA517" s="149"/>
      <c r="BB517" s="149"/>
      <c r="BC517" s="149"/>
      <c r="BD517" s="149"/>
      <c r="BE517" s="149"/>
      <c r="BF517" s="149"/>
      <c r="BG517" s="149"/>
      <c r="BH517" s="149"/>
      <c r="BI517" s="149"/>
      <c r="BJ517" s="149"/>
      <c r="BK517" s="149"/>
      <c r="BL517" s="149"/>
      <c r="BM517" s="149"/>
      <c r="BN517" s="149"/>
      <c r="BO517" s="149"/>
      <c r="BP517" s="149"/>
      <c r="BQ517" s="149"/>
      <c r="BR517" s="149"/>
    </row>
    <row r="518" ht="34" customHeight="1" spans="1:70">
      <c r="A518" s="208">
        <v>524</v>
      </c>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49"/>
      <c r="AK518" s="149"/>
      <c r="AL518" s="149"/>
      <c r="AM518" s="149"/>
      <c r="AN518" s="149"/>
      <c r="AO518" s="149"/>
      <c r="AP518" s="149"/>
      <c r="AR518" s="149"/>
      <c r="AS518" s="149"/>
      <c r="AT518" s="149"/>
      <c r="AU518" s="149"/>
      <c r="AV518" s="149"/>
      <c r="AW518" s="149"/>
      <c r="AX518" s="149"/>
      <c r="AY518" s="149"/>
      <c r="AZ518" s="149"/>
      <c r="BA518" s="149"/>
      <c r="BB518" s="149"/>
      <c r="BC518" s="149"/>
      <c r="BD518" s="149"/>
      <c r="BE518" s="149"/>
      <c r="BF518" s="149"/>
      <c r="BG518" s="149"/>
      <c r="BH518" s="149"/>
      <c r="BI518" s="149"/>
      <c r="BJ518" s="149"/>
      <c r="BK518" s="149"/>
      <c r="BL518" s="149"/>
      <c r="BM518" s="149"/>
      <c r="BN518" s="149"/>
      <c r="BO518" s="149"/>
      <c r="BP518" s="149"/>
      <c r="BQ518" s="149"/>
      <c r="BR518" s="149"/>
    </row>
    <row r="519" ht="34" customHeight="1" spans="1:70">
      <c r="A519" s="208">
        <v>525</v>
      </c>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49"/>
      <c r="AK519" s="149"/>
      <c r="AL519" s="149"/>
      <c r="AM519" s="149"/>
      <c r="AN519" s="149"/>
      <c r="AO519" s="149"/>
      <c r="AP519" s="149"/>
      <c r="AR519" s="149"/>
      <c r="AS519" s="149"/>
      <c r="AT519" s="149"/>
      <c r="AU519" s="149"/>
      <c r="AV519" s="149"/>
      <c r="AW519" s="149"/>
      <c r="AX519" s="149"/>
      <c r="AY519" s="149"/>
      <c r="AZ519" s="149"/>
      <c r="BA519" s="149"/>
      <c r="BB519" s="149"/>
      <c r="BC519" s="149"/>
      <c r="BD519" s="149"/>
      <c r="BE519" s="149"/>
      <c r="BF519" s="149"/>
      <c r="BG519" s="149"/>
      <c r="BH519" s="149"/>
      <c r="BI519" s="149"/>
      <c r="BJ519" s="149"/>
      <c r="BK519" s="149"/>
      <c r="BL519" s="149"/>
      <c r="BM519" s="149"/>
      <c r="BN519" s="149"/>
      <c r="BO519" s="149"/>
      <c r="BP519" s="149"/>
      <c r="BQ519" s="149"/>
      <c r="BR519" s="149"/>
    </row>
    <row r="520" ht="34" customHeight="1" spans="1:70">
      <c r="A520" s="208">
        <v>526</v>
      </c>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49"/>
      <c r="AK520" s="149"/>
      <c r="AL520" s="149"/>
      <c r="AM520" s="149"/>
      <c r="AN520" s="149"/>
      <c r="AO520" s="149"/>
      <c r="AP520" s="149"/>
      <c r="AR520" s="149"/>
      <c r="AS520" s="149"/>
      <c r="AT520" s="149"/>
      <c r="AU520" s="149"/>
      <c r="AV520" s="149"/>
      <c r="AW520" s="149"/>
      <c r="AX520" s="149"/>
      <c r="AY520" s="149"/>
      <c r="AZ520" s="149"/>
      <c r="BA520" s="149"/>
      <c r="BB520" s="149"/>
      <c r="BC520" s="149"/>
      <c r="BD520" s="149"/>
      <c r="BE520" s="149"/>
      <c r="BF520" s="149"/>
      <c r="BG520" s="149"/>
      <c r="BH520" s="149"/>
      <c r="BI520" s="149"/>
      <c r="BJ520" s="149"/>
      <c r="BK520" s="149"/>
      <c r="BL520" s="149"/>
      <c r="BM520" s="149"/>
      <c r="BN520" s="149"/>
      <c r="BO520" s="149"/>
      <c r="BP520" s="149"/>
      <c r="BQ520" s="149"/>
      <c r="BR520" s="149"/>
    </row>
    <row r="521" ht="34" customHeight="1" spans="1:70">
      <c r="A521" s="208">
        <v>527</v>
      </c>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149"/>
      <c r="AD521" s="149"/>
      <c r="AE521" s="149"/>
      <c r="AF521" s="149"/>
      <c r="AG521" s="149"/>
      <c r="AH521" s="149"/>
      <c r="AI521" s="149"/>
      <c r="AJ521" s="149"/>
      <c r="AK521" s="149"/>
      <c r="AL521" s="149"/>
      <c r="AM521" s="149"/>
      <c r="AN521" s="149"/>
      <c r="AO521" s="149"/>
      <c r="AP521" s="149"/>
      <c r="AR521" s="149"/>
      <c r="AS521" s="149"/>
      <c r="AT521" s="149"/>
      <c r="AU521" s="149"/>
      <c r="AV521" s="149"/>
      <c r="AW521" s="149"/>
      <c r="AX521" s="149"/>
      <c r="AY521" s="149"/>
      <c r="AZ521" s="149"/>
      <c r="BA521" s="149"/>
      <c r="BB521" s="149"/>
      <c r="BC521" s="149"/>
      <c r="BD521" s="149"/>
      <c r="BE521" s="149"/>
      <c r="BF521" s="149"/>
      <c r="BG521" s="149"/>
      <c r="BH521" s="149"/>
      <c r="BI521" s="149"/>
      <c r="BJ521" s="149"/>
      <c r="BK521" s="149"/>
      <c r="BL521" s="149"/>
      <c r="BM521" s="149"/>
      <c r="BN521" s="149"/>
      <c r="BO521" s="149"/>
      <c r="BP521" s="149"/>
      <c r="BQ521" s="149"/>
      <c r="BR521" s="149"/>
    </row>
    <row r="522" ht="34" customHeight="1" spans="1:70">
      <c r="A522" s="208">
        <v>528</v>
      </c>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149"/>
      <c r="AD522" s="149"/>
      <c r="AE522" s="149"/>
      <c r="AF522" s="149"/>
      <c r="AG522" s="149"/>
      <c r="AH522" s="149"/>
      <c r="AI522" s="149"/>
      <c r="AJ522" s="149"/>
      <c r="AK522" s="149"/>
      <c r="AL522" s="149"/>
      <c r="AM522" s="149"/>
      <c r="AN522" s="149"/>
      <c r="AO522" s="149"/>
      <c r="AP522" s="149"/>
      <c r="AR522" s="149"/>
      <c r="AS522" s="149"/>
      <c r="AT522" s="149"/>
      <c r="AU522" s="149"/>
      <c r="AV522" s="149"/>
      <c r="AW522" s="149"/>
      <c r="AX522" s="149"/>
      <c r="AY522" s="149"/>
      <c r="AZ522" s="149"/>
      <c r="BA522" s="149"/>
      <c r="BB522" s="149"/>
      <c r="BC522" s="149"/>
      <c r="BD522" s="149"/>
      <c r="BE522" s="149"/>
      <c r="BF522" s="149"/>
      <c r="BG522" s="149"/>
      <c r="BH522" s="149"/>
      <c r="BI522" s="149"/>
      <c r="BJ522" s="149"/>
      <c r="BK522" s="149"/>
      <c r="BL522" s="149"/>
      <c r="BM522" s="149"/>
      <c r="BN522" s="149"/>
      <c r="BO522" s="149"/>
      <c r="BP522" s="149"/>
      <c r="BQ522" s="149"/>
      <c r="BR522" s="149"/>
    </row>
    <row r="523" ht="34" customHeight="1" spans="1:70">
      <c r="A523" s="208">
        <v>529</v>
      </c>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149"/>
      <c r="AD523" s="149"/>
      <c r="AE523" s="149"/>
      <c r="AF523" s="149"/>
      <c r="AG523" s="149"/>
      <c r="AH523" s="149"/>
      <c r="AI523" s="149"/>
      <c r="AJ523" s="149"/>
      <c r="AK523" s="149"/>
      <c r="AL523" s="149"/>
      <c r="AM523" s="149"/>
      <c r="AN523" s="149"/>
      <c r="AO523" s="149"/>
      <c r="AP523" s="149"/>
      <c r="AR523" s="149"/>
      <c r="AS523" s="149"/>
      <c r="AT523" s="149"/>
      <c r="AU523" s="149"/>
      <c r="AV523" s="149"/>
      <c r="AW523" s="149"/>
      <c r="AX523" s="149"/>
      <c r="AY523" s="149"/>
      <c r="AZ523" s="149"/>
      <c r="BA523" s="149"/>
      <c r="BB523" s="149"/>
      <c r="BC523" s="149"/>
      <c r="BD523" s="149"/>
      <c r="BE523" s="149"/>
      <c r="BF523" s="149"/>
      <c r="BG523" s="149"/>
      <c r="BH523" s="149"/>
      <c r="BI523" s="149"/>
      <c r="BJ523" s="149"/>
      <c r="BK523" s="149"/>
      <c r="BL523" s="149"/>
      <c r="BM523" s="149"/>
      <c r="BN523" s="149"/>
      <c r="BO523" s="149"/>
      <c r="BP523" s="149"/>
      <c r="BQ523" s="149"/>
      <c r="BR523" s="149"/>
    </row>
    <row r="524" ht="34" customHeight="1" spans="1:70">
      <c r="A524" s="208">
        <v>530</v>
      </c>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149"/>
      <c r="AD524" s="149"/>
      <c r="AE524" s="149"/>
      <c r="AF524" s="149"/>
      <c r="AG524" s="149"/>
      <c r="AH524" s="149"/>
      <c r="AI524" s="149"/>
      <c r="AJ524" s="149"/>
      <c r="AK524" s="149"/>
      <c r="AL524" s="149"/>
      <c r="AM524" s="149"/>
      <c r="AN524" s="149"/>
      <c r="AO524" s="149"/>
      <c r="AP524" s="149"/>
      <c r="AR524" s="149"/>
      <c r="AS524" s="149"/>
      <c r="AT524" s="149"/>
      <c r="AU524" s="149"/>
      <c r="AV524" s="149"/>
      <c r="AW524" s="149"/>
      <c r="AX524" s="149"/>
      <c r="AY524" s="149"/>
      <c r="AZ524" s="149"/>
      <c r="BA524" s="149"/>
      <c r="BB524" s="149"/>
      <c r="BC524" s="149"/>
      <c r="BD524" s="149"/>
      <c r="BE524" s="149"/>
      <c r="BF524" s="149"/>
      <c r="BG524" s="149"/>
      <c r="BH524" s="149"/>
      <c r="BI524" s="149"/>
      <c r="BJ524" s="149"/>
      <c r="BK524" s="149"/>
      <c r="BL524" s="149"/>
      <c r="BM524" s="149"/>
      <c r="BN524" s="149"/>
      <c r="BO524" s="149"/>
      <c r="BP524" s="149"/>
      <c r="BQ524" s="149"/>
      <c r="BR524" s="149"/>
    </row>
    <row r="525" ht="34" customHeight="1" spans="1:70">
      <c r="A525" s="208">
        <v>531</v>
      </c>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149"/>
      <c r="AD525" s="149"/>
      <c r="AE525" s="149"/>
      <c r="AF525" s="149"/>
      <c r="AG525" s="149"/>
      <c r="AH525" s="149"/>
      <c r="AI525" s="149"/>
      <c r="AJ525" s="149"/>
      <c r="AK525" s="149"/>
      <c r="AL525" s="149"/>
      <c r="AM525" s="149"/>
      <c r="AN525" s="149"/>
      <c r="AO525" s="149"/>
      <c r="AP525" s="149"/>
      <c r="AR525" s="149"/>
      <c r="AS525" s="149"/>
      <c r="AT525" s="149"/>
      <c r="AU525" s="149"/>
      <c r="AV525" s="149"/>
      <c r="AW525" s="149"/>
      <c r="AX525" s="149"/>
      <c r="AY525" s="149"/>
      <c r="AZ525" s="149"/>
      <c r="BA525" s="149"/>
      <c r="BB525" s="149"/>
      <c r="BC525" s="149"/>
      <c r="BD525" s="149"/>
      <c r="BE525" s="149"/>
      <c r="BF525" s="149"/>
      <c r="BG525" s="149"/>
      <c r="BH525" s="149"/>
      <c r="BI525" s="149"/>
      <c r="BJ525" s="149"/>
      <c r="BK525" s="149"/>
      <c r="BL525" s="149"/>
      <c r="BM525" s="149"/>
      <c r="BN525" s="149"/>
      <c r="BO525" s="149"/>
      <c r="BP525" s="149"/>
      <c r="BQ525" s="149"/>
      <c r="BR525" s="149"/>
    </row>
    <row r="526" ht="34" customHeight="1" spans="1:70">
      <c r="A526" s="208">
        <v>532</v>
      </c>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149"/>
      <c r="AD526" s="149"/>
      <c r="AE526" s="149"/>
      <c r="AF526" s="149"/>
      <c r="AG526" s="149"/>
      <c r="AH526" s="149"/>
      <c r="AI526" s="149"/>
      <c r="AJ526" s="149"/>
      <c r="AK526" s="149"/>
      <c r="AL526" s="149"/>
      <c r="AM526" s="149"/>
      <c r="AN526" s="149"/>
      <c r="AO526" s="149"/>
      <c r="AP526" s="149"/>
      <c r="AR526" s="149"/>
      <c r="AS526" s="149"/>
      <c r="AT526" s="149"/>
      <c r="AU526" s="149"/>
      <c r="AV526" s="149"/>
      <c r="AW526" s="149"/>
      <c r="AX526" s="149"/>
      <c r="AY526" s="149"/>
      <c r="AZ526" s="149"/>
      <c r="BA526" s="149"/>
      <c r="BB526" s="149"/>
      <c r="BC526" s="149"/>
      <c r="BD526" s="149"/>
      <c r="BE526" s="149"/>
      <c r="BF526" s="149"/>
      <c r="BG526" s="149"/>
      <c r="BH526" s="149"/>
      <c r="BI526" s="149"/>
      <c r="BJ526" s="149"/>
      <c r="BK526" s="149"/>
      <c r="BL526" s="149"/>
      <c r="BM526" s="149"/>
      <c r="BN526" s="149"/>
      <c r="BO526" s="149"/>
      <c r="BP526" s="149"/>
      <c r="BQ526" s="149"/>
      <c r="BR526" s="149"/>
    </row>
    <row r="527" ht="34" customHeight="1" spans="1:70">
      <c r="A527" s="208">
        <v>533</v>
      </c>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149"/>
      <c r="AD527" s="149"/>
      <c r="AE527" s="149"/>
      <c r="AF527" s="149"/>
      <c r="AG527" s="149"/>
      <c r="AH527" s="149"/>
      <c r="AI527" s="149"/>
      <c r="AJ527" s="149"/>
      <c r="AK527" s="149"/>
      <c r="AL527" s="149"/>
      <c r="AM527" s="149"/>
      <c r="AN527" s="149"/>
      <c r="AO527" s="149"/>
      <c r="AP527" s="149"/>
      <c r="AR527" s="149"/>
      <c r="AS527" s="149"/>
      <c r="AT527" s="149"/>
      <c r="AU527" s="149"/>
      <c r="AV527" s="149"/>
      <c r="AW527" s="149"/>
      <c r="AX527" s="149"/>
      <c r="AY527" s="149"/>
      <c r="AZ527" s="149"/>
      <c r="BA527" s="149"/>
      <c r="BB527" s="149"/>
      <c r="BC527" s="149"/>
      <c r="BD527" s="149"/>
      <c r="BE527" s="149"/>
      <c r="BF527" s="149"/>
      <c r="BG527" s="149"/>
      <c r="BH527" s="149"/>
      <c r="BI527" s="149"/>
      <c r="BJ527" s="149"/>
      <c r="BK527" s="149"/>
      <c r="BL527" s="149"/>
      <c r="BM527" s="149"/>
      <c r="BN527" s="149"/>
      <c r="BO527" s="149"/>
      <c r="BP527" s="149"/>
      <c r="BQ527" s="149"/>
      <c r="BR527" s="149"/>
    </row>
    <row r="528" ht="34" customHeight="1" spans="1:70">
      <c r="A528" s="208">
        <v>534</v>
      </c>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149"/>
      <c r="AD528" s="149"/>
      <c r="AE528" s="149"/>
      <c r="AF528" s="149"/>
      <c r="AG528" s="149"/>
      <c r="AH528" s="149"/>
      <c r="AI528" s="149"/>
      <c r="AJ528" s="149"/>
      <c r="AK528" s="149"/>
      <c r="AL528" s="149"/>
      <c r="AM528" s="149"/>
      <c r="AN528" s="149"/>
      <c r="AO528" s="149"/>
      <c r="AP528" s="149"/>
      <c r="AR528" s="149"/>
      <c r="AS528" s="149"/>
      <c r="AT528" s="149"/>
      <c r="AU528" s="149"/>
      <c r="AV528" s="149"/>
      <c r="AW528" s="149"/>
      <c r="AX528" s="149"/>
      <c r="AY528" s="149"/>
      <c r="AZ528" s="149"/>
      <c r="BA528" s="149"/>
      <c r="BB528" s="149"/>
      <c r="BC528" s="149"/>
      <c r="BD528" s="149"/>
      <c r="BE528" s="149"/>
      <c r="BF528" s="149"/>
      <c r="BG528" s="149"/>
      <c r="BH528" s="149"/>
      <c r="BI528" s="149"/>
      <c r="BJ528" s="149"/>
      <c r="BK528" s="149"/>
      <c r="BL528" s="149"/>
      <c r="BM528" s="149"/>
      <c r="BN528" s="149"/>
      <c r="BO528" s="149"/>
      <c r="BP528" s="149"/>
      <c r="BQ528" s="149"/>
      <c r="BR528" s="149"/>
    </row>
    <row r="529" ht="34" customHeight="1" spans="1:70">
      <c r="A529" s="208">
        <v>535</v>
      </c>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149"/>
      <c r="AD529" s="149"/>
      <c r="AE529" s="149"/>
      <c r="AF529" s="149"/>
      <c r="AG529" s="149"/>
      <c r="AH529" s="149"/>
      <c r="AI529" s="149"/>
      <c r="AJ529" s="149"/>
      <c r="AK529" s="149"/>
      <c r="AL529" s="149"/>
      <c r="AM529" s="149"/>
      <c r="AN529" s="149"/>
      <c r="AO529" s="149"/>
      <c r="AP529" s="149"/>
      <c r="AR529" s="149"/>
      <c r="AS529" s="149"/>
      <c r="AT529" s="149"/>
      <c r="AU529" s="149"/>
      <c r="AV529" s="149"/>
      <c r="AW529" s="149"/>
      <c r="AX529" s="149"/>
      <c r="AY529" s="149"/>
      <c r="AZ529" s="149"/>
      <c r="BA529" s="149"/>
      <c r="BB529" s="149"/>
      <c r="BC529" s="149"/>
      <c r="BD529" s="149"/>
      <c r="BE529" s="149"/>
      <c r="BF529" s="149"/>
      <c r="BG529" s="149"/>
      <c r="BH529" s="149"/>
      <c r="BI529" s="149"/>
      <c r="BJ529" s="149"/>
      <c r="BK529" s="149"/>
      <c r="BL529" s="149"/>
      <c r="BM529" s="149"/>
      <c r="BN529" s="149"/>
      <c r="BO529" s="149"/>
      <c r="BP529" s="149"/>
      <c r="BQ529" s="149"/>
      <c r="BR529" s="149"/>
    </row>
    <row r="530" ht="34" customHeight="1" spans="1:70">
      <c r="A530" s="208">
        <v>536</v>
      </c>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149"/>
      <c r="AD530" s="149"/>
      <c r="AE530" s="149"/>
      <c r="AF530" s="149"/>
      <c r="AG530" s="149"/>
      <c r="AH530" s="149"/>
      <c r="AI530" s="149"/>
      <c r="AJ530" s="149"/>
      <c r="AK530" s="149"/>
      <c r="AL530" s="149"/>
      <c r="AM530" s="149"/>
      <c r="AN530" s="149"/>
      <c r="AO530" s="149"/>
      <c r="AP530" s="149"/>
      <c r="AR530" s="149"/>
      <c r="AS530" s="149"/>
      <c r="AT530" s="149"/>
      <c r="AU530" s="149"/>
      <c r="AV530" s="149"/>
      <c r="AW530" s="149"/>
      <c r="AX530" s="149"/>
      <c r="AY530" s="149"/>
      <c r="AZ530" s="149"/>
      <c r="BA530" s="149"/>
      <c r="BB530" s="149"/>
      <c r="BC530" s="149"/>
      <c r="BD530" s="149"/>
      <c r="BE530" s="149"/>
      <c r="BF530" s="149"/>
      <c r="BG530" s="149"/>
      <c r="BH530" s="149"/>
      <c r="BI530" s="149"/>
      <c r="BJ530" s="149"/>
      <c r="BK530" s="149"/>
      <c r="BL530" s="149"/>
      <c r="BM530" s="149"/>
      <c r="BN530" s="149"/>
      <c r="BO530" s="149"/>
      <c r="BP530" s="149"/>
      <c r="BQ530" s="149"/>
      <c r="BR530" s="149"/>
    </row>
    <row r="531" ht="34" customHeight="1" spans="1:70">
      <c r="A531" s="208">
        <v>537</v>
      </c>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ht="34" customHeight="1" spans="1:70">
      <c r="A532" s="208">
        <v>538</v>
      </c>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149"/>
      <c r="AD532" s="149"/>
      <c r="AE532" s="149"/>
      <c r="AF532" s="149"/>
      <c r="AG532" s="149"/>
      <c r="AH532" s="149"/>
      <c r="AI532" s="149"/>
      <c r="AJ532" s="149"/>
      <c r="AK532" s="149"/>
      <c r="AL532" s="149"/>
      <c r="AM532" s="149"/>
      <c r="AN532" s="149"/>
      <c r="AO532" s="149"/>
      <c r="AP532" s="149"/>
      <c r="AR532" s="149"/>
      <c r="AS532" s="149"/>
      <c r="AT532" s="149"/>
      <c r="AU532" s="149"/>
      <c r="AV532" s="149"/>
      <c r="AW532" s="149"/>
      <c r="AX532" s="149"/>
      <c r="AY532" s="149"/>
      <c r="AZ532" s="149"/>
      <c r="BA532" s="149"/>
      <c r="BB532" s="149"/>
      <c r="BC532" s="149"/>
      <c r="BD532" s="149"/>
      <c r="BE532" s="149"/>
      <c r="BF532" s="149"/>
      <c r="BG532" s="149"/>
      <c r="BH532" s="149"/>
      <c r="BI532" s="149"/>
      <c r="BJ532" s="149"/>
      <c r="BK532" s="149"/>
      <c r="BL532" s="149"/>
      <c r="BM532" s="149"/>
      <c r="BN532" s="149"/>
      <c r="BO532" s="149"/>
      <c r="BP532" s="149"/>
      <c r="BQ532" s="149"/>
      <c r="BR532" s="149"/>
    </row>
    <row r="533" ht="34" customHeight="1" spans="1:70">
      <c r="A533" s="208">
        <v>539</v>
      </c>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149"/>
      <c r="AD533" s="149"/>
      <c r="AE533" s="149"/>
      <c r="AF533" s="149"/>
      <c r="AG533" s="149"/>
      <c r="AH533" s="149"/>
      <c r="AI533" s="149"/>
      <c r="AJ533" s="149"/>
      <c r="AK533" s="149"/>
      <c r="AL533" s="149"/>
      <c r="AM533" s="149"/>
      <c r="AN533" s="149"/>
      <c r="AO533" s="149"/>
      <c r="AP533" s="149"/>
      <c r="AR533" s="149"/>
      <c r="AS533" s="149"/>
      <c r="AT533" s="149"/>
      <c r="AU533" s="149"/>
      <c r="AV533" s="149"/>
      <c r="AW533" s="149"/>
      <c r="AX533" s="149"/>
      <c r="AY533" s="149"/>
      <c r="AZ533" s="149"/>
      <c r="BA533" s="149"/>
      <c r="BB533" s="149"/>
      <c r="BC533" s="149"/>
      <c r="BD533" s="149"/>
      <c r="BE533" s="149"/>
      <c r="BF533" s="149"/>
      <c r="BG533" s="149"/>
      <c r="BH533" s="149"/>
      <c r="BI533" s="149"/>
      <c r="BJ533" s="149"/>
      <c r="BK533" s="149"/>
      <c r="BL533" s="149"/>
      <c r="BM533" s="149"/>
      <c r="BN533" s="149"/>
      <c r="BO533" s="149"/>
      <c r="BP533" s="149"/>
      <c r="BQ533" s="149"/>
      <c r="BR533" s="149"/>
    </row>
    <row r="534" ht="34" customHeight="1" spans="1:70">
      <c r="A534" s="208">
        <v>540</v>
      </c>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149"/>
      <c r="AD534" s="149"/>
      <c r="AE534" s="149"/>
      <c r="AF534" s="149"/>
      <c r="AG534" s="149"/>
      <c r="AH534" s="149"/>
      <c r="AI534" s="149"/>
      <c r="AJ534" s="149"/>
      <c r="AK534" s="149"/>
      <c r="AL534" s="149"/>
      <c r="AM534" s="149"/>
      <c r="AN534" s="149"/>
      <c r="AO534" s="149"/>
      <c r="AP534" s="149"/>
      <c r="AR534" s="149"/>
      <c r="AS534" s="149"/>
      <c r="AT534" s="149"/>
      <c r="AU534" s="149"/>
      <c r="AV534" s="149"/>
      <c r="AW534" s="149"/>
      <c r="AX534" s="149"/>
      <c r="AY534" s="149"/>
      <c r="AZ534" s="149"/>
      <c r="BA534" s="149"/>
      <c r="BB534" s="149"/>
      <c r="BC534" s="149"/>
      <c r="BD534" s="149"/>
      <c r="BE534" s="149"/>
      <c r="BF534" s="149"/>
      <c r="BG534" s="149"/>
      <c r="BH534" s="149"/>
      <c r="BI534" s="149"/>
      <c r="BJ534" s="149"/>
      <c r="BK534" s="149"/>
      <c r="BL534" s="149"/>
      <c r="BM534" s="149"/>
      <c r="BN534" s="149"/>
      <c r="BO534" s="149"/>
      <c r="BP534" s="149"/>
      <c r="BQ534" s="149"/>
      <c r="BR534" s="149"/>
    </row>
    <row r="535" ht="34" customHeight="1" spans="1:70">
      <c r="A535" s="208">
        <v>541</v>
      </c>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149"/>
      <c r="AD535" s="149"/>
      <c r="AE535" s="149"/>
      <c r="AF535" s="149"/>
      <c r="AG535" s="149"/>
      <c r="AH535" s="149"/>
      <c r="AI535" s="149"/>
      <c r="AJ535" s="149"/>
      <c r="AK535" s="149"/>
      <c r="AL535" s="149"/>
      <c r="AM535" s="149"/>
      <c r="AN535" s="149"/>
      <c r="AO535" s="149"/>
      <c r="AP535" s="149"/>
      <c r="AR535" s="149"/>
      <c r="AS535" s="149"/>
      <c r="AT535" s="149"/>
      <c r="AU535" s="149"/>
      <c r="AV535" s="149"/>
      <c r="AW535" s="149"/>
      <c r="AX535" s="149"/>
      <c r="AY535" s="149"/>
      <c r="AZ535" s="149"/>
      <c r="BA535" s="149"/>
      <c r="BB535" s="149"/>
      <c r="BC535" s="149"/>
      <c r="BD535" s="149"/>
      <c r="BE535" s="149"/>
      <c r="BF535" s="149"/>
      <c r="BG535" s="149"/>
      <c r="BH535" s="149"/>
      <c r="BI535" s="149"/>
      <c r="BJ535" s="149"/>
      <c r="BK535" s="149"/>
      <c r="BL535" s="149"/>
      <c r="BM535" s="149"/>
      <c r="BN535" s="149"/>
      <c r="BO535" s="149"/>
      <c r="BP535" s="149"/>
      <c r="BQ535" s="149"/>
      <c r="BR535" s="149"/>
    </row>
    <row r="536" ht="34" customHeight="1" spans="1:70">
      <c r="A536" s="208">
        <v>542</v>
      </c>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149"/>
      <c r="AD536" s="149"/>
      <c r="AE536" s="149"/>
      <c r="AF536" s="149"/>
      <c r="AG536" s="149"/>
      <c r="AH536" s="149"/>
      <c r="AI536" s="149"/>
      <c r="AJ536" s="149"/>
      <c r="AK536" s="149"/>
      <c r="AL536" s="149"/>
      <c r="AM536" s="149"/>
      <c r="AN536" s="149"/>
      <c r="AO536" s="149"/>
      <c r="AP536" s="149"/>
      <c r="AR536" s="149"/>
      <c r="AS536" s="149"/>
      <c r="AT536" s="149"/>
      <c r="AU536" s="149"/>
      <c r="AV536" s="149"/>
      <c r="AW536" s="149"/>
      <c r="AX536" s="149"/>
      <c r="AY536" s="149"/>
      <c r="AZ536" s="149"/>
      <c r="BA536" s="149"/>
      <c r="BB536" s="149"/>
      <c r="BC536" s="149"/>
      <c r="BD536" s="149"/>
      <c r="BE536" s="149"/>
      <c r="BF536" s="149"/>
      <c r="BG536" s="149"/>
      <c r="BH536" s="149"/>
      <c r="BI536" s="149"/>
      <c r="BJ536" s="149"/>
      <c r="BK536" s="149"/>
      <c r="BL536" s="149"/>
      <c r="BM536" s="149"/>
      <c r="BN536" s="149"/>
      <c r="BO536" s="149"/>
      <c r="BP536" s="149"/>
      <c r="BQ536" s="149"/>
      <c r="BR536" s="149"/>
    </row>
    <row r="537" ht="34" customHeight="1" spans="1:70">
      <c r="A537" s="208">
        <v>543</v>
      </c>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149"/>
      <c r="AD537" s="149"/>
      <c r="AE537" s="149"/>
      <c r="AF537" s="149"/>
      <c r="AG537" s="149"/>
      <c r="AH537" s="149"/>
      <c r="AI537" s="149"/>
      <c r="AJ537" s="149"/>
      <c r="AK537" s="149"/>
      <c r="AL537" s="149"/>
      <c r="AM537" s="149"/>
      <c r="AN537" s="149"/>
      <c r="AO537" s="149"/>
      <c r="AP537" s="149"/>
      <c r="AR537" s="149"/>
      <c r="AS537" s="149"/>
      <c r="AT537" s="149"/>
      <c r="AU537" s="149"/>
      <c r="AV537" s="149"/>
      <c r="AW537" s="149"/>
      <c r="AX537" s="149"/>
      <c r="AY537" s="149"/>
      <c r="AZ537" s="149"/>
      <c r="BA537" s="149"/>
      <c r="BB537" s="149"/>
      <c r="BC537" s="149"/>
      <c r="BD537" s="149"/>
      <c r="BE537" s="149"/>
      <c r="BF537" s="149"/>
      <c r="BG537" s="149"/>
      <c r="BH537" s="149"/>
      <c r="BI537" s="149"/>
      <c r="BJ537" s="149"/>
      <c r="BK537" s="149"/>
      <c r="BL537" s="149"/>
      <c r="BM537" s="149"/>
      <c r="BN537" s="149"/>
      <c r="BO537" s="149"/>
      <c r="BP537" s="149"/>
      <c r="BQ537" s="149"/>
      <c r="BR537" s="149"/>
    </row>
    <row r="538" ht="34" customHeight="1" spans="1:70">
      <c r="A538" s="208">
        <v>544</v>
      </c>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149"/>
      <c r="AD538" s="149"/>
      <c r="AE538" s="149"/>
      <c r="AF538" s="149"/>
      <c r="AG538" s="149"/>
      <c r="AH538" s="149"/>
      <c r="AI538" s="149"/>
      <c r="AJ538" s="149"/>
      <c r="AK538" s="149"/>
      <c r="AL538" s="149"/>
      <c r="AM538" s="149"/>
      <c r="AN538" s="149"/>
      <c r="AO538" s="149"/>
      <c r="AP538" s="149"/>
      <c r="AR538" s="149"/>
      <c r="AS538" s="149"/>
      <c r="AT538" s="149"/>
      <c r="AU538" s="149"/>
      <c r="AV538" s="149"/>
      <c r="AW538" s="149"/>
      <c r="AX538" s="149"/>
      <c r="AY538" s="149"/>
      <c r="AZ538" s="149"/>
      <c r="BA538" s="149"/>
      <c r="BB538" s="149"/>
      <c r="BC538" s="149"/>
      <c r="BD538" s="149"/>
      <c r="BE538" s="149"/>
      <c r="BF538" s="149"/>
      <c r="BG538" s="149"/>
      <c r="BH538" s="149"/>
      <c r="BI538" s="149"/>
      <c r="BJ538" s="149"/>
      <c r="BK538" s="149"/>
      <c r="BL538" s="149"/>
      <c r="BM538" s="149"/>
      <c r="BN538" s="149"/>
      <c r="BO538" s="149"/>
      <c r="BP538" s="149"/>
      <c r="BQ538" s="149"/>
      <c r="BR538" s="149"/>
    </row>
    <row r="539" ht="34" customHeight="1" spans="1:70">
      <c r="A539" s="208">
        <v>545</v>
      </c>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149"/>
      <c r="AD539" s="149"/>
      <c r="AE539" s="149"/>
      <c r="AF539" s="149"/>
      <c r="AG539" s="149"/>
      <c r="AH539" s="149"/>
      <c r="AI539" s="149"/>
      <c r="AJ539" s="149"/>
      <c r="AK539" s="149"/>
      <c r="AL539" s="149"/>
      <c r="AM539" s="149"/>
      <c r="AN539" s="149"/>
      <c r="AO539" s="149"/>
      <c r="AP539" s="149"/>
      <c r="AR539" s="149"/>
      <c r="AS539" s="149"/>
      <c r="AT539" s="149"/>
      <c r="AU539" s="149"/>
      <c r="AV539" s="149"/>
      <c r="AW539" s="149"/>
      <c r="AX539" s="149"/>
      <c r="AY539" s="149"/>
      <c r="AZ539" s="149"/>
      <c r="BA539" s="149"/>
      <c r="BB539" s="149"/>
      <c r="BC539" s="149"/>
      <c r="BD539" s="149"/>
      <c r="BE539" s="149"/>
      <c r="BF539" s="149"/>
      <c r="BG539" s="149"/>
      <c r="BH539" s="149"/>
      <c r="BI539" s="149"/>
      <c r="BJ539" s="149"/>
      <c r="BK539" s="149"/>
      <c r="BL539" s="149"/>
      <c r="BM539" s="149"/>
      <c r="BN539" s="149"/>
      <c r="BO539" s="149"/>
      <c r="BP539" s="149"/>
      <c r="BQ539" s="149"/>
      <c r="BR539" s="149"/>
    </row>
    <row r="540" ht="34" customHeight="1" spans="1:70">
      <c r="A540" s="208">
        <v>546</v>
      </c>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149"/>
      <c r="AD540" s="149"/>
      <c r="AE540" s="149"/>
      <c r="AF540" s="149"/>
      <c r="AG540" s="149"/>
      <c r="AH540" s="149"/>
      <c r="AI540" s="149"/>
      <c r="AJ540" s="149"/>
      <c r="AK540" s="149"/>
      <c r="AL540" s="149"/>
      <c r="AM540" s="149"/>
      <c r="AN540" s="149"/>
      <c r="AO540" s="149"/>
      <c r="AP540" s="149"/>
      <c r="AR540" s="149"/>
      <c r="AS540" s="149"/>
      <c r="AT540" s="149"/>
      <c r="AU540" s="149"/>
      <c r="AV540" s="149"/>
      <c r="AW540" s="149"/>
      <c r="AX540" s="149"/>
      <c r="AY540" s="149"/>
      <c r="AZ540" s="149"/>
      <c r="BA540" s="149"/>
      <c r="BB540" s="149"/>
      <c r="BC540" s="149"/>
      <c r="BD540" s="149"/>
      <c r="BE540" s="149"/>
      <c r="BF540" s="149"/>
      <c r="BG540" s="149"/>
      <c r="BH540" s="149"/>
      <c r="BI540" s="149"/>
      <c r="BJ540" s="149"/>
      <c r="BK540" s="149"/>
      <c r="BL540" s="149"/>
      <c r="BM540" s="149"/>
      <c r="BN540" s="149"/>
      <c r="BO540" s="149"/>
      <c r="BP540" s="149"/>
      <c r="BQ540" s="149"/>
      <c r="BR540" s="149"/>
    </row>
    <row r="541" ht="34" customHeight="1" spans="1:70">
      <c r="A541" s="208">
        <v>547</v>
      </c>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149"/>
      <c r="AD541" s="149"/>
      <c r="AE541" s="149"/>
      <c r="AF541" s="149"/>
      <c r="AG541" s="149"/>
      <c r="AH541" s="149"/>
      <c r="AI541" s="149"/>
      <c r="AJ541" s="149"/>
      <c r="AK541" s="149"/>
      <c r="AL541" s="149"/>
      <c r="AM541" s="149"/>
      <c r="AN541" s="149"/>
      <c r="AO541" s="149"/>
      <c r="AP541" s="149"/>
      <c r="AR541" s="149"/>
      <c r="AS541" s="149"/>
      <c r="AT541" s="149"/>
      <c r="AU541" s="149"/>
      <c r="AV541" s="149"/>
      <c r="AW541" s="149"/>
      <c r="AX541" s="149"/>
      <c r="AY541" s="149"/>
      <c r="AZ541" s="149"/>
      <c r="BA541" s="149"/>
      <c r="BB541" s="149"/>
      <c r="BC541" s="149"/>
      <c r="BD541" s="149"/>
      <c r="BE541" s="149"/>
      <c r="BF541" s="149"/>
      <c r="BG541" s="149"/>
      <c r="BH541" s="149"/>
      <c r="BI541" s="149"/>
      <c r="BJ541" s="149"/>
      <c r="BK541" s="149"/>
      <c r="BL541" s="149"/>
      <c r="BM541" s="149"/>
      <c r="BN541" s="149"/>
      <c r="BO541" s="149"/>
      <c r="BP541" s="149"/>
      <c r="BQ541" s="149"/>
      <c r="BR541" s="149"/>
    </row>
    <row r="542" ht="34" customHeight="1" spans="1:70">
      <c r="A542" s="208">
        <v>548</v>
      </c>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149"/>
      <c r="AD542" s="149"/>
      <c r="AE542" s="149"/>
      <c r="AF542" s="149"/>
      <c r="AG542" s="149"/>
      <c r="AH542" s="149"/>
      <c r="AI542" s="149"/>
      <c r="AJ542" s="149"/>
      <c r="AK542" s="149"/>
      <c r="AL542" s="149"/>
      <c r="AM542" s="149"/>
      <c r="AN542" s="149"/>
      <c r="AO542" s="149"/>
      <c r="AP542" s="149"/>
      <c r="AR542" s="149"/>
      <c r="AS542" s="149"/>
      <c r="AT542" s="149"/>
      <c r="AU542" s="149"/>
      <c r="AV542" s="149"/>
      <c r="AW542" s="149"/>
      <c r="AX542" s="149"/>
      <c r="AY542" s="149"/>
      <c r="AZ542" s="149"/>
      <c r="BA542" s="149"/>
      <c r="BB542" s="149"/>
      <c r="BC542" s="149"/>
      <c r="BD542" s="149"/>
      <c r="BE542" s="149"/>
      <c r="BF542" s="149"/>
      <c r="BG542" s="149"/>
      <c r="BH542" s="149"/>
      <c r="BI542" s="149"/>
      <c r="BJ542" s="149"/>
      <c r="BK542" s="149"/>
      <c r="BL542" s="149"/>
      <c r="BM542" s="149"/>
      <c r="BN542" s="149"/>
      <c r="BO542" s="149"/>
      <c r="BP542" s="149"/>
      <c r="BQ542" s="149"/>
      <c r="BR542" s="149"/>
    </row>
    <row r="543" ht="34" customHeight="1" spans="1:70">
      <c r="A543" s="208">
        <v>549</v>
      </c>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149"/>
      <c r="AD543" s="149"/>
      <c r="AE543" s="149"/>
      <c r="AF543" s="149"/>
      <c r="AG543" s="149"/>
      <c r="AH543" s="149"/>
      <c r="AI543" s="149"/>
      <c r="AJ543" s="149"/>
      <c r="AK543" s="149"/>
      <c r="AL543" s="149"/>
      <c r="AM543" s="149"/>
      <c r="AN543" s="149"/>
      <c r="AO543" s="149"/>
      <c r="AP543" s="149"/>
      <c r="AR543" s="149"/>
      <c r="AS543" s="149"/>
      <c r="AT543" s="149"/>
      <c r="AU543" s="149"/>
      <c r="AV543" s="149"/>
      <c r="AW543" s="149"/>
      <c r="AX543" s="149"/>
      <c r="AY543" s="149"/>
      <c r="AZ543" s="149"/>
      <c r="BA543" s="149"/>
      <c r="BB543" s="149"/>
      <c r="BC543" s="149"/>
      <c r="BD543" s="149"/>
      <c r="BE543" s="149"/>
      <c r="BF543" s="149"/>
      <c r="BG543" s="149"/>
      <c r="BH543" s="149"/>
      <c r="BI543" s="149"/>
      <c r="BJ543" s="149"/>
      <c r="BK543" s="149"/>
      <c r="BL543" s="149"/>
      <c r="BM543" s="149"/>
      <c r="BN543" s="149"/>
      <c r="BO543" s="149"/>
      <c r="BP543" s="149"/>
      <c r="BQ543" s="149"/>
      <c r="BR543" s="149"/>
    </row>
    <row r="544" ht="34" customHeight="1" spans="1:70">
      <c r="A544" s="208">
        <v>550</v>
      </c>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149"/>
      <c r="AD544" s="149"/>
      <c r="AE544" s="149"/>
      <c r="AF544" s="149"/>
      <c r="AG544" s="149"/>
      <c r="AH544" s="149"/>
      <c r="AI544" s="149"/>
      <c r="AJ544" s="149"/>
      <c r="AK544" s="149"/>
      <c r="AL544" s="149"/>
      <c r="AM544" s="149"/>
      <c r="AN544" s="149"/>
      <c r="AO544" s="149"/>
      <c r="AP544" s="149"/>
      <c r="AR544" s="149"/>
      <c r="AS544" s="149"/>
      <c r="AT544" s="149"/>
      <c r="AU544" s="149"/>
      <c r="AV544" s="149"/>
      <c r="AW544" s="149"/>
      <c r="AX544" s="149"/>
      <c r="AY544" s="149"/>
      <c r="AZ544" s="149"/>
      <c r="BA544" s="149"/>
      <c r="BB544" s="149"/>
      <c r="BC544" s="149"/>
      <c r="BD544" s="149"/>
      <c r="BE544" s="149"/>
      <c r="BF544" s="149"/>
      <c r="BG544" s="149"/>
      <c r="BH544" s="149"/>
      <c r="BI544" s="149"/>
      <c r="BJ544" s="149"/>
      <c r="BK544" s="149"/>
      <c r="BL544" s="149"/>
      <c r="BM544" s="149"/>
      <c r="BN544" s="149"/>
      <c r="BO544" s="149"/>
      <c r="BP544" s="149"/>
      <c r="BQ544" s="149"/>
      <c r="BR544" s="149"/>
    </row>
    <row r="545" ht="34" customHeight="1" spans="1:70">
      <c r="A545" s="208">
        <v>551</v>
      </c>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149"/>
      <c r="AD545" s="149"/>
      <c r="AE545" s="149"/>
      <c r="AF545" s="149"/>
      <c r="AG545" s="149"/>
      <c r="AH545" s="149"/>
      <c r="AI545" s="149"/>
      <c r="AJ545" s="149"/>
      <c r="AK545" s="149"/>
      <c r="AL545" s="149"/>
      <c r="AM545" s="149"/>
      <c r="AN545" s="149"/>
      <c r="AO545" s="149"/>
      <c r="AP545" s="149"/>
      <c r="AR545" s="149"/>
      <c r="AS545" s="149"/>
      <c r="AT545" s="149"/>
      <c r="AU545" s="149"/>
      <c r="AV545" s="149"/>
      <c r="AW545" s="149"/>
      <c r="AX545" s="149"/>
      <c r="AY545" s="149"/>
      <c r="AZ545" s="149"/>
      <c r="BA545" s="149"/>
      <c r="BB545" s="149"/>
      <c r="BC545" s="149"/>
      <c r="BD545" s="149"/>
      <c r="BE545" s="149"/>
      <c r="BF545" s="149"/>
      <c r="BG545" s="149"/>
      <c r="BH545" s="149"/>
      <c r="BI545" s="149"/>
      <c r="BJ545" s="149"/>
      <c r="BK545" s="149"/>
      <c r="BL545" s="149"/>
      <c r="BM545" s="149"/>
      <c r="BN545" s="149"/>
      <c r="BO545" s="149"/>
      <c r="BP545" s="149"/>
      <c r="BQ545" s="149"/>
      <c r="BR545" s="149"/>
    </row>
    <row r="546" ht="34" customHeight="1" spans="1:70">
      <c r="A546" s="208">
        <v>552</v>
      </c>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149"/>
      <c r="AD546" s="149"/>
      <c r="AE546" s="149"/>
      <c r="AF546" s="149"/>
      <c r="AG546" s="149"/>
      <c r="AH546" s="149"/>
      <c r="AI546" s="149"/>
      <c r="AJ546" s="149"/>
      <c r="AK546" s="149"/>
      <c r="AL546" s="149"/>
      <c r="AM546" s="149"/>
      <c r="AN546" s="149"/>
      <c r="AO546" s="149"/>
      <c r="AP546" s="149"/>
      <c r="AR546" s="149"/>
      <c r="AS546" s="149"/>
      <c r="AT546" s="149"/>
      <c r="AU546" s="149"/>
      <c r="AV546" s="149"/>
      <c r="AW546" s="149"/>
      <c r="AX546" s="149"/>
      <c r="AY546" s="149"/>
      <c r="AZ546" s="149"/>
      <c r="BA546" s="149"/>
      <c r="BB546" s="149"/>
      <c r="BC546" s="149"/>
      <c r="BD546" s="149"/>
      <c r="BE546" s="149"/>
      <c r="BF546" s="149"/>
      <c r="BG546" s="149"/>
      <c r="BH546" s="149"/>
      <c r="BI546" s="149"/>
      <c r="BJ546" s="149"/>
      <c r="BK546" s="149"/>
      <c r="BL546" s="149"/>
      <c r="BM546" s="149"/>
      <c r="BN546" s="149"/>
      <c r="BO546" s="149"/>
      <c r="BP546" s="149"/>
      <c r="BQ546" s="149"/>
      <c r="BR546" s="149"/>
    </row>
    <row r="547" ht="34" customHeight="1" spans="1:70">
      <c r="A547" s="208">
        <v>553</v>
      </c>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149"/>
      <c r="AD547" s="149"/>
      <c r="AE547" s="149"/>
      <c r="AF547" s="149"/>
      <c r="AG547" s="149"/>
      <c r="AH547" s="149"/>
      <c r="AI547" s="149"/>
      <c r="AJ547" s="149"/>
      <c r="AK547" s="149"/>
      <c r="AL547" s="149"/>
      <c r="AM547" s="149"/>
      <c r="AN547" s="149"/>
      <c r="AO547" s="149"/>
      <c r="AP547" s="149"/>
      <c r="AR547" s="149"/>
      <c r="AS547" s="149"/>
      <c r="AT547" s="149"/>
      <c r="AU547" s="149"/>
      <c r="AV547" s="149"/>
      <c r="AW547" s="149"/>
      <c r="AX547" s="149"/>
      <c r="AY547" s="149"/>
      <c r="AZ547" s="149"/>
      <c r="BA547" s="149"/>
      <c r="BB547" s="149"/>
      <c r="BC547" s="149"/>
      <c r="BD547" s="149"/>
      <c r="BE547" s="149"/>
      <c r="BF547" s="149"/>
      <c r="BG547" s="149"/>
      <c r="BH547" s="149"/>
      <c r="BI547" s="149"/>
      <c r="BJ547" s="149"/>
      <c r="BK547" s="149"/>
      <c r="BL547" s="149"/>
      <c r="BM547" s="149"/>
      <c r="BN547" s="149"/>
      <c r="BO547" s="149"/>
      <c r="BP547" s="149"/>
      <c r="BQ547" s="149"/>
      <c r="BR547" s="149"/>
    </row>
    <row r="548" ht="34" customHeight="1" spans="1:70">
      <c r="A548" s="208">
        <v>554</v>
      </c>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149"/>
      <c r="AD548" s="149"/>
      <c r="AE548" s="149"/>
      <c r="AF548" s="149"/>
      <c r="AG548" s="149"/>
      <c r="AH548" s="149"/>
      <c r="AI548" s="149"/>
      <c r="AJ548" s="149"/>
      <c r="AK548" s="149"/>
      <c r="AL548" s="149"/>
      <c r="AM548" s="149"/>
      <c r="AN548" s="149"/>
      <c r="AO548" s="149"/>
      <c r="AP548" s="149"/>
      <c r="AR548" s="149"/>
      <c r="AS548" s="149"/>
      <c r="AT548" s="149"/>
      <c r="AU548" s="149"/>
      <c r="AV548" s="149"/>
      <c r="AW548" s="149"/>
      <c r="AX548" s="149"/>
      <c r="AY548" s="149"/>
      <c r="AZ548" s="149"/>
      <c r="BA548" s="149"/>
      <c r="BB548" s="149"/>
      <c r="BC548" s="149"/>
      <c r="BD548" s="149"/>
      <c r="BE548" s="149"/>
      <c r="BF548" s="149"/>
      <c r="BG548" s="149"/>
      <c r="BH548" s="149"/>
      <c r="BI548" s="149"/>
      <c r="BJ548" s="149"/>
      <c r="BK548" s="149"/>
      <c r="BL548" s="149"/>
      <c r="BM548" s="149"/>
      <c r="BN548" s="149"/>
      <c r="BO548" s="149"/>
      <c r="BP548" s="149"/>
      <c r="BQ548" s="149"/>
      <c r="BR548" s="149"/>
    </row>
    <row r="549" ht="34" customHeight="1" spans="1:70">
      <c r="A549" s="208">
        <v>555</v>
      </c>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149"/>
      <c r="AD549" s="149"/>
      <c r="AE549" s="149"/>
      <c r="AF549" s="149"/>
      <c r="AG549" s="149"/>
      <c r="AH549" s="149"/>
      <c r="AI549" s="149"/>
      <c r="AJ549" s="149"/>
      <c r="AK549" s="149"/>
      <c r="AL549" s="149"/>
      <c r="AM549" s="149"/>
      <c r="AN549" s="149"/>
      <c r="AO549" s="149"/>
      <c r="AP549" s="149"/>
      <c r="AR549" s="149"/>
      <c r="AS549" s="149"/>
      <c r="AT549" s="149"/>
      <c r="AU549" s="149"/>
      <c r="AV549" s="149"/>
      <c r="AW549" s="149"/>
      <c r="AX549" s="149"/>
      <c r="AY549" s="149"/>
      <c r="AZ549" s="149"/>
      <c r="BA549" s="149"/>
      <c r="BB549" s="149"/>
      <c r="BC549" s="149"/>
      <c r="BD549" s="149"/>
      <c r="BE549" s="149"/>
      <c r="BF549" s="149"/>
      <c r="BG549" s="149"/>
      <c r="BH549" s="149"/>
      <c r="BI549" s="149"/>
      <c r="BJ549" s="149"/>
      <c r="BK549" s="149"/>
      <c r="BL549" s="149"/>
      <c r="BM549" s="149"/>
      <c r="BN549" s="149"/>
      <c r="BO549" s="149"/>
      <c r="BP549" s="149"/>
      <c r="BQ549" s="149"/>
      <c r="BR549" s="149"/>
    </row>
    <row r="550" ht="34" customHeight="1" spans="1:70">
      <c r="A550" s="208">
        <v>556</v>
      </c>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149"/>
      <c r="AD550" s="149"/>
      <c r="AE550" s="149"/>
      <c r="AF550" s="149"/>
      <c r="AG550" s="149"/>
      <c r="AH550" s="149"/>
      <c r="AI550" s="149"/>
      <c r="AJ550" s="149"/>
      <c r="AK550" s="149"/>
      <c r="AL550" s="149"/>
      <c r="AM550" s="149"/>
      <c r="AN550" s="149"/>
      <c r="AO550" s="149"/>
      <c r="AP550" s="149"/>
      <c r="AR550" s="149"/>
      <c r="AS550" s="149"/>
      <c r="AT550" s="149"/>
      <c r="AU550" s="149"/>
      <c r="AV550" s="149"/>
      <c r="AW550" s="149"/>
      <c r="AX550" s="149"/>
      <c r="AY550" s="149"/>
      <c r="AZ550" s="149"/>
      <c r="BA550" s="149"/>
      <c r="BB550" s="149"/>
      <c r="BC550" s="149"/>
      <c r="BD550" s="149"/>
      <c r="BE550" s="149"/>
      <c r="BF550" s="149"/>
      <c r="BG550" s="149"/>
      <c r="BH550" s="149"/>
      <c r="BI550" s="149"/>
      <c r="BJ550" s="149"/>
      <c r="BK550" s="149"/>
      <c r="BL550" s="149"/>
      <c r="BM550" s="149"/>
      <c r="BN550" s="149"/>
      <c r="BO550" s="149"/>
      <c r="BP550" s="149"/>
      <c r="BQ550" s="149"/>
      <c r="BR550" s="149"/>
    </row>
    <row r="551" ht="34" customHeight="1" spans="1:70">
      <c r="A551" s="208">
        <v>557</v>
      </c>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149"/>
      <c r="AD551" s="149"/>
      <c r="AE551" s="149"/>
      <c r="AF551" s="149"/>
      <c r="AG551" s="149"/>
      <c r="AH551" s="149"/>
      <c r="AI551" s="149"/>
      <c r="AJ551" s="149"/>
      <c r="AK551" s="149"/>
      <c r="AL551" s="149"/>
      <c r="AM551" s="149"/>
      <c r="AN551" s="149"/>
      <c r="AO551" s="149"/>
      <c r="AP551" s="149"/>
      <c r="AR551" s="149"/>
      <c r="AS551" s="149"/>
      <c r="AT551" s="149"/>
      <c r="AU551" s="149"/>
      <c r="AV551" s="149"/>
      <c r="AW551" s="149"/>
      <c r="AX551" s="149"/>
      <c r="AY551" s="149"/>
      <c r="AZ551" s="149"/>
      <c r="BA551" s="149"/>
      <c r="BB551" s="149"/>
      <c r="BC551" s="149"/>
      <c r="BD551" s="149"/>
      <c r="BE551" s="149"/>
      <c r="BF551" s="149"/>
      <c r="BG551" s="149"/>
      <c r="BH551" s="149"/>
      <c r="BI551" s="149"/>
      <c r="BJ551" s="149"/>
      <c r="BK551" s="149"/>
      <c r="BL551" s="149"/>
      <c r="BM551" s="149"/>
      <c r="BN551" s="149"/>
      <c r="BO551" s="149"/>
      <c r="BP551" s="149"/>
      <c r="BQ551" s="149"/>
      <c r="BR551" s="149"/>
    </row>
    <row r="552" ht="34" customHeight="1" spans="1:70">
      <c r="A552" s="208">
        <v>558</v>
      </c>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149"/>
      <c r="AD552" s="149"/>
      <c r="AE552" s="149"/>
      <c r="AF552" s="149"/>
      <c r="AG552" s="149"/>
      <c r="AH552" s="149"/>
      <c r="AI552" s="149"/>
      <c r="AJ552" s="149"/>
      <c r="AK552" s="149"/>
      <c r="AL552" s="149"/>
      <c r="AM552" s="149"/>
      <c r="AN552" s="149"/>
      <c r="AO552" s="149"/>
      <c r="AP552" s="149"/>
      <c r="AR552" s="149"/>
      <c r="AS552" s="149"/>
      <c r="AT552" s="149"/>
      <c r="AU552" s="149"/>
      <c r="AV552" s="149"/>
      <c r="AW552" s="149"/>
      <c r="AX552" s="149"/>
      <c r="AY552" s="149"/>
      <c r="AZ552" s="149"/>
      <c r="BA552" s="149"/>
      <c r="BB552" s="149"/>
      <c r="BC552" s="149"/>
      <c r="BD552" s="149"/>
      <c r="BE552" s="149"/>
      <c r="BF552" s="149"/>
      <c r="BG552" s="149"/>
      <c r="BH552" s="149"/>
      <c r="BI552" s="149"/>
      <c r="BJ552" s="149"/>
      <c r="BK552" s="149"/>
      <c r="BL552" s="149"/>
      <c r="BM552" s="149"/>
      <c r="BN552" s="149"/>
      <c r="BO552" s="149"/>
      <c r="BP552" s="149"/>
      <c r="BQ552" s="149"/>
      <c r="BR552" s="149"/>
    </row>
    <row r="553" ht="34" customHeight="1" spans="1:70">
      <c r="A553" s="208">
        <v>559</v>
      </c>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149"/>
      <c r="AD553" s="149"/>
      <c r="AE553" s="149"/>
      <c r="AF553" s="149"/>
      <c r="AG553" s="149"/>
      <c r="AH553" s="149"/>
      <c r="AI553" s="149"/>
      <c r="AJ553" s="149"/>
      <c r="AK553" s="149"/>
      <c r="AL553" s="149"/>
      <c r="AM553" s="149"/>
      <c r="AN553" s="149"/>
      <c r="AO553" s="149"/>
      <c r="AP553" s="149"/>
      <c r="AR553" s="149"/>
      <c r="AS553" s="149"/>
      <c r="AT553" s="149"/>
      <c r="AU553" s="149"/>
      <c r="AV553" s="149"/>
      <c r="AW553" s="149"/>
      <c r="AX553" s="149"/>
      <c r="AY553" s="149"/>
      <c r="AZ553" s="149"/>
      <c r="BA553" s="149"/>
      <c r="BB553" s="149"/>
      <c r="BC553" s="149"/>
      <c r="BD553" s="149"/>
      <c r="BE553" s="149"/>
      <c r="BF553" s="149"/>
      <c r="BG553" s="149"/>
      <c r="BH553" s="149"/>
      <c r="BI553" s="149"/>
      <c r="BJ553" s="149"/>
      <c r="BK553" s="149"/>
      <c r="BL553" s="149"/>
      <c r="BM553" s="149"/>
      <c r="BN553" s="149"/>
      <c r="BO553" s="149"/>
      <c r="BP553" s="149"/>
      <c r="BQ553" s="149"/>
      <c r="BR553" s="149"/>
    </row>
    <row r="554" ht="34" customHeight="1" spans="1:70">
      <c r="A554" s="208">
        <v>560</v>
      </c>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149"/>
      <c r="AD554" s="149"/>
      <c r="AE554" s="149"/>
      <c r="AF554" s="149"/>
      <c r="AG554" s="149"/>
      <c r="AH554" s="149"/>
      <c r="AI554" s="149"/>
      <c r="AJ554" s="149"/>
      <c r="AK554" s="149"/>
      <c r="AL554" s="149"/>
      <c r="AM554" s="149"/>
      <c r="AN554" s="149"/>
      <c r="AO554" s="149"/>
      <c r="AP554" s="149"/>
      <c r="AR554" s="149"/>
      <c r="AS554" s="149"/>
      <c r="AT554" s="149"/>
      <c r="AU554" s="149"/>
      <c r="AV554" s="149"/>
      <c r="AW554" s="149"/>
      <c r="AX554" s="149"/>
      <c r="AY554" s="149"/>
      <c r="AZ554" s="149"/>
      <c r="BA554" s="149"/>
      <c r="BB554" s="149"/>
      <c r="BC554" s="149"/>
      <c r="BD554" s="149"/>
      <c r="BE554" s="149"/>
      <c r="BF554" s="149"/>
      <c r="BG554" s="149"/>
      <c r="BH554" s="149"/>
      <c r="BI554" s="149"/>
      <c r="BJ554" s="149"/>
      <c r="BK554" s="149"/>
      <c r="BL554" s="149"/>
      <c r="BM554" s="149"/>
      <c r="BN554" s="149"/>
      <c r="BO554" s="149"/>
      <c r="BP554" s="149"/>
      <c r="BQ554" s="149"/>
      <c r="BR554" s="149"/>
    </row>
    <row r="555" ht="34" customHeight="1" spans="1:70">
      <c r="A555" s="208">
        <v>561</v>
      </c>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149"/>
      <c r="AD555" s="149"/>
      <c r="AE555" s="149"/>
      <c r="AF555" s="149"/>
      <c r="AG555" s="149"/>
      <c r="AH555" s="149"/>
      <c r="AI555" s="149"/>
      <c r="AJ555" s="149"/>
      <c r="AK555" s="149"/>
      <c r="AL555" s="149"/>
      <c r="AM555" s="149"/>
      <c r="AN555" s="149"/>
      <c r="AO555" s="149"/>
      <c r="AP555" s="149"/>
      <c r="AR555" s="149"/>
      <c r="AS555" s="149"/>
      <c r="AT555" s="149"/>
      <c r="AU555" s="149"/>
      <c r="AV555" s="149"/>
      <c r="AW555" s="149"/>
      <c r="AX555" s="149"/>
      <c r="AY555" s="149"/>
      <c r="AZ555" s="149"/>
      <c r="BA555" s="149"/>
      <c r="BB555" s="149"/>
      <c r="BC555" s="149"/>
      <c r="BD555" s="149"/>
      <c r="BE555" s="149"/>
      <c r="BF555" s="149"/>
      <c r="BG555" s="149"/>
      <c r="BH555" s="149"/>
      <c r="BI555" s="149"/>
      <c r="BJ555" s="149"/>
      <c r="BK555" s="149"/>
      <c r="BL555" s="149"/>
      <c r="BM555" s="149"/>
      <c r="BN555" s="149"/>
      <c r="BO555" s="149"/>
      <c r="BP555" s="149"/>
      <c r="BQ555" s="149"/>
      <c r="BR555" s="149"/>
    </row>
    <row r="556" ht="34" customHeight="1" spans="1:70">
      <c r="A556" s="208">
        <v>562</v>
      </c>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149"/>
      <c r="AD556" s="149"/>
      <c r="AE556" s="149"/>
      <c r="AF556" s="149"/>
      <c r="AG556" s="149"/>
      <c r="AH556" s="149"/>
      <c r="AI556" s="149"/>
      <c r="AJ556" s="149"/>
      <c r="AK556" s="149"/>
      <c r="AL556" s="149"/>
      <c r="AM556" s="149"/>
      <c r="AN556" s="149"/>
      <c r="AO556" s="149"/>
      <c r="AP556" s="149"/>
      <c r="AR556" s="149"/>
      <c r="AS556" s="149"/>
      <c r="AT556" s="149"/>
      <c r="AU556" s="149"/>
      <c r="AV556" s="149"/>
      <c r="AW556" s="149"/>
      <c r="AX556" s="149"/>
      <c r="AY556" s="149"/>
      <c r="AZ556" s="149"/>
      <c r="BA556" s="149"/>
      <c r="BB556" s="149"/>
      <c r="BC556" s="149"/>
      <c r="BD556" s="149"/>
      <c r="BE556" s="149"/>
      <c r="BF556" s="149"/>
      <c r="BG556" s="149"/>
      <c r="BH556" s="149"/>
      <c r="BI556" s="149"/>
      <c r="BJ556" s="149"/>
      <c r="BK556" s="149"/>
      <c r="BL556" s="149"/>
      <c r="BM556" s="149"/>
      <c r="BN556" s="149"/>
      <c r="BO556" s="149"/>
      <c r="BP556" s="149"/>
      <c r="BQ556" s="149"/>
      <c r="BR556" s="149"/>
    </row>
    <row r="557" ht="34" customHeight="1" spans="1:70">
      <c r="A557" s="208">
        <v>563</v>
      </c>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149"/>
      <c r="AD557" s="149"/>
      <c r="AE557" s="149"/>
      <c r="AF557" s="149"/>
      <c r="AG557" s="149"/>
      <c r="AH557" s="149"/>
      <c r="AI557" s="149"/>
      <c r="AJ557" s="149"/>
      <c r="AK557" s="149"/>
      <c r="AL557" s="149"/>
      <c r="AM557" s="149"/>
      <c r="AN557" s="149"/>
      <c r="AO557" s="149"/>
      <c r="AP557" s="149"/>
      <c r="AR557" s="149"/>
      <c r="AS557" s="149"/>
      <c r="AT557" s="149"/>
      <c r="AU557" s="149"/>
      <c r="AV557" s="149"/>
      <c r="AW557" s="149"/>
      <c r="AX557" s="149"/>
      <c r="AY557" s="149"/>
      <c r="AZ557" s="149"/>
      <c r="BA557" s="149"/>
      <c r="BB557" s="149"/>
      <c r="BC557" s="149"/>
      <c r="BD557" s="149"/>
      <c r="BE557" s="149"/>
      <c r="BF557" s="149"/>
      <c r="BG557" s="149"/>
      <c r="BH557" s="149"/>
      <c r="BI557" s="149"/>
      <c r="BJ557" s="149"/>
      <c r="BK557" s="149"/>
      <c r="BL557" s="149"/>
      <c r="BM557" s="149"/>
      <c r="BN557" s="149"/>
      <c r="BO557" s="149"/>
      <c r="BP557" s="149"/>
      <c r="BQ557" s="149"/>
      <c r="BR557" s="149"/>
    </row>
    <row r="558" ht="34" customHeight="1" spans="1:70">
      <c r="A558" s="208">
        <v>564</v>
      </c>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149"/>
      <c r="AD558" s="149"/>
      <c r="AE558" s="149"/>
      <c r="AF558" s="149"/>
      <c r="AG558" s="149"/>
      <c r="AH558" s="149"/>
      <c r="AI558" s="149"/>
      <c r="AJ558" s="149"/>
      <c r="AK558" s="149"/>
      <c r="AL558" s="149"/>
      <c r="AM558" s="149"/>
      <c r="AN558" s="149"/>
      <c r="AO558" s="149"/>
      <c r="AP558" s="149"/>
      <c r="AR558" s="149"/>
      <c r="AS558" s="149"/>
      <c r="AT558" s="149"/>
      <c r="AU558" s="149"/>
      <c r="AV558" s="149"/>
      <c r="AW558" s="149"/>
      <c r="AX558" s="149"/>
      <c r="AY558" s="149"/>
      <c r="AZ558" s="149"/>
      <c r="BA558" s="149"/>
      <c r="BB558" s="149"/>
      <c r="BC558" s="149"/>
      <c r="BD558" s="149"/>
      <c r="BE558" s="149"/>
      <c r="BF558" s="149"/>
      <c r="BG558" s="149"/>
      <c r="BH558" s="149"/>
      <c r="BI558" s="149"/>
      <c r="BJ558" s="149"/>
      <c r="BK558" s="149"/>
      <c r="BL558" s="149"/>
      <c r="BM558" s="149"/>
      <c r="BN558" s="149"/>
      <c r="BO558" s="149"/>
      <c r="BP558" s="149"/>
      <c r="BQ558" s="149"/>
      <c r="BR558" s="149"/>
    </row>
    <row r="559" ht="34" customHeight="1" spans="1:70">
      <c r="A559" s="208">
        <v>565</v>
      </c>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149"/>
      <c r="AD559" s="149"/>
      <c r="AE559" s="149"/>
      <c r="AF559" s="149"/>
      <c r="AG559" s="149"/>
      <c r="AH559" s="149"/>
      <c r="AI559" s="149"/>
      <c r="AJ559" s="149"/>
      <c r="AK559" s="149"/>
      <c r="AL559" s="149"/>
      <c r="AM559" s="149"/>
      <c r="AN559" s="149"/>
      <c r="AO559" s="149"/>
      <c r="AP559" s="149"/>
      <c r="AR559" s="149"/>
      <c r="AS559" s="149"/>
      <c r="AT559" s="149"/>
      <c r="AU559" s="149"/>
      <c r="AV559" s="149"/>
      <c r="AW559" s="149"/>
      <c r="AX559" s="149"/>
      <c r="AY559" s="149"/>
      <c r="AZ559" s="149"/>
      <c r="BA559" s="149"/>
      <c r="BB559" s="149"/>
      <c r="BC559" s="149"/>
      <c r="BD559" s="149"/>
      <c r="BE559" s="149"/>
      <c r="BF559" s="149"/>
      <c r="BG559" s="149"/>
      <c r="BH559" s="149"/>
      <c r="BI559" s="149"/>
      <c r="BJ559" s="149"/>
      <c r="BK559" s="149"/>
      <c r="BL559" s="149"/>
      <c r="BM559" s="149"/>
      <c r="BN559" s="149"/>
      <c r="BO559" s="149"/>
      <c r="BP559" s="149"/>
      <c r="BQ559" s="149"/>
      <c r="BR559" s="149"/>
    </row>
    <row r="560" ht="34" customHeight="1" spans="1:70">
      <c r="A560" s="208">
        <v>566</v>
      </c>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149"/>
      <c r="AD560" s="149"/>
      <c r="AE560" s="149"/>
      <c r="AF560" s="149"/>
      <c r="AG560" s="149"/>
      <c r="AH560" s="149"/>
      <c r="AI560" s="149"/>
      <c r="AJ560" s="149"/>
      <c r="AK560" s="149"/>
      <c r="AL560" s="149"/>
      <c r="AM560" s="149"/>
      <c r="AN560" s="149"/>
      <c r="AO560" s="149"/>
      <c r="AP560" s="149"/>
      <c r="AR560" s="149"/>
      <c r="AS560" s="149"/>
      <c r="AT560" s="149"/>
      <c r="AU560" s="149"/>
      <c r="AV560" s="149"/>
      <c r="AW560" s="149"/>
      <c r="AX560" s="149"/>
      <c r="AY560" s="149"/>
      <c r="AZ560" s="149"/>
      <c r="BA560" s="149"/>
      <c r="BB560" s="149"/>
      <c r="BC560" s="149"/>
      <c r="BD560" s="149"/>
      <c r="BE560" s="149"/>
      <c r="BF560" s="149"/>
      <c r="BG560" s="149"/>
      <c r="BH560" s="149"/>
      <c r="BI560" s="149"/>
      <c r="BJ560" s="149"/>
      <c r="BK560" s="149"/>
      <c r="BL560" s="149"/>
      <c r="BM560" s="149"/>
      <c r="BN560" s="149"/>
      <c r="BO560" s="149"/>
      <c r="BP560" s="149"/>
      <c r="BQ560" s="149"/>
      <c r="BR560" s="149"/>
    </row>
    <row r="561" ht="34" customHeight="1" spans="1:70">
      <c r="A561" s="208">
        <v>567</v>
      </c>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149"/>
      <c r="AD561" s="149"/>
      <c r="AE561" s="149"/>
      <c r="AF561" s="149"/>
      <c r="AG561" s="149"/>
      <c r="AH561" s="149"/>
      <c r="AI561" s="149"/>
      <c r="AJ561" s="149"/>
      <c r="AK561" s="149"/>
      <c r="AL561" s="149"/>
      <c r="AM561" s="149"/>
      <c r="AN561" s="149"/>
      <c r="AO561" s="149"/>
      <c r="AP561" s="149"/>
      <c r="AR561" s="149"/>
      <c r="AS561" s="149"/>
      <c r="AT561" s="149"/>
      <c r="AU561" s="149"/>
      <c r="AV561" s="149"/>
      <c r="AW561" s="149"/>
      <c r="AX561" s="149"/>
      <c r="AY561" s="149"/>
      <c r="AZ561" s="149"/>
      <c r="BA561" s="149"/>
      <c r="BB561" s="149"/>
      <c r="BC561" s="149"/>
      <c r="BD561" s="149"/>
      <c r="BE561" s="149"/>
      <c r="BF561" s="149"/>
      <c r="BG561" s="149"/>
      <c r="BH561" s="149"/>
      <c r="BI561" s="149"/>
      <c r="BJ561" s="149"/>
      <c r="BK561" s="149"/>
      <c r="BL561" s="149"/>
      <c r="BM561" s="149"/>
      <c r="BN561" s="149"/>
      <c r="BO561" s="149"/>
      <c r="BP561" s="149"/>
      <c r="BQ561" s="149"/>
      <c r="BR561" s="149"/>
    </row>
    <row r="562" ht="34" customHeight="1" spans="1:70">
      <c r="A562" s="208">
        <v>568</v>
      </c>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149"/>
      <c r="AD562" s="149"/>
      <c r="AE562" s="149"/>
      <c r="AF562" s="149"/>
      <c r="AG562" s="149"/>
      <c r="AH562" s="149"/>
      <c r="AI562" s="149"/>
      <c r="AJ562" s="149"/>
      <c r="AK562" s="149"/>
      <c r="AL562" s="149"/>
      <c r="AM562" s="149"/>
      <c r="AN562" s="149"/>
      <c r="AO562" s="149"/>
      <c r="AP562" s="149"/>
      <c r="AR562" s="149"/>
      <c r="AS562" s="149"/>
      <c r="AT562" s="149"/>
      <c r="AU562" s="149"/>
      <c r="AV562" s="149"/>
      <c r="AW562" s="149"/>
      <c r="AX562" s="149"/>
      <c r="AY562" s="149"/>
      <c r="AZ562" s="149"/>
      <c r="BA562" s="149"/>
      <c r="BB562" s="149"/>
      <c r="BC562" s="149"/>
      <c r="BD562" s="149"/>
      <c r="BE562" s="149"/>
      <c r="BF562" s="149"/>
      <c r="BG562" s="149"/>
      <c r="BH562" s="149"/>
      <c r="BI562" s="149"/>
      <c r="BJ562" s="149"/>
      <c r="BK562" s="149"/>
      <c r="BL562" s="149"/>
      <c r="BM562" s="149"/>
      <c r="BN562" s="149"/>
      <c r="BO562" s="149"/>
      <c r="BP562" s="149"/>
      <c r="BQ562" s="149"/>
      <c r="BR562" s="149"/>
    </row>
    <row r="563" ht="34" customHeight="1" spans="1:70">
      <c r="A563" s="208">
        <v>569</v>
      </c>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ht="34" customHeight="1" spans="1:70">
      <c r="A564" s="208">
        <v>570</v>
      </c>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149"/>
      <c r="AD564" s="149"/>
      <c r="AE564" s="149"/>
      <c r="AF564" s="149"/>
      <c r="AG564" s="149"/>
      <c r="AH564" s="149"/>
      <c r="AI564" s="149"/>
      <c r="AJ564" s="149"/>
      <c r="AK564" s="149"/>
      <c r="AL564" s="149"/>
      <c r="AM564" s="149"/>
      <c r="AN564" s="149"/>
      <c r="AO564" s="149"/>
      <c r="AP564" s="149"/>
      <c r="AR564" s="149"/>
      <c r="AS564" s="149"/>
      <c r="AT564" s="149"/>
      <c r="AU564" s="149"/>
      <c r="AV564" s="149"/>
      <c r="AW564" s="149"/>
      <c r="AX564" s="149"/>
      <c r="AY564" s="149"/>
      <c r="AZ564" s="149"/>
      <c r="BA564" s="149"/>
      <c r="BB564" s="149"/>
      <c r="BC564" s="149"/>
      <c r="BD564" s="149"/>
      <c r="BE564" s="149"/>
      <c r="BF564" s="149"/>
      <c r="BG564" s="149"/>
      <c r="BH564" s="149"/>
      <c r="BI564" s="149"/>
      <c r="BJ564" s="149"/>
      <c r="BK564" s="149"/>
      <c r="BL564" s="149"/>
      <c r="BM564" s="149"/>
      <c r="BN564" s="149"/>
      <c r="BO564" s="149"/>
      <c r="BP564" s="149"/>
      <c r="BQ564" s="149"/>
      <c r="BR564" s="149"/>
    </row>
    <row r="565" ht="34" customHeight="1" spans="1:70">
      <c r="A565" s="208">
        <v>571</v>
      </c>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149"/>
      <c r="AD565" s="149"/>
      <c r="AE565" s="149"/>
      <c r="AF565" s="149"/>
      <c r="AG565" s="149"/>
      <c r="AH565" s="149"/>
      <c r="AI565" s="149"/>
      <c r="AJ565" s="149"/>
      <c r="AK565" s="149"/>
      <c r="AL565" s="149"/>
      <c r="AM565" s="149"/>
      <c r="AN565" s="149"/>
      <c r="AO565" s="149"/>
      <c r="AP565" s="149"/>
      <c r="AR565" s="149"/>
      <c r="AS565" s="149"/>
      <c r="AT565" s="149"/>
      <c r="AU565" s="149"/>
      <c r="AV565" s="149"/>
      <c r="AW565" s="149"/>
      <c r="AX565" s="149"/>
      <c r="AY565" s="149"/>
      <c r="AZ565" s="149"/>
      <c r="BA565" s="149"/>
      <c r="BB565" s="149"/>
      <c r="BC565" s="149"/>
      <c r="BD565" s="149"/>
      <c r="BE565" s="149"/>
      <c r="BF565" s="149"/>
      <c r="BG565" s="149"/>
      <c r="BH565" s="149"/>
      <c r="BI565" s="149"/>
      <c r="BJ565" s="149"/>
      <c r="BK565" s="149"/>
      <c r="BL565" s="149"/>
      <c r="BM565" s="149"/>
      <c r="BN565" s="149"/>
      <c r="BO565" s="149"/>
      <c r="BP565" s="149"/>
      <c r="BQ565" s="149"/>
      <c r="BR565" s="149"/>
    </row>
    <row r="566" ht="34" customHeight="1" spans="1:70">
      <c r="A566" s="208">
        <v>572</v>
      </c>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149"/>
      <c r="AD566" s="149"/>
      <c r="AE566" s="149"/>
      <c r="AF566" s="149"/>
      <c r="AG566" s="149"/>
      <c r="AH566" s="149"/>
      <c r="AI566" s="149"/>
      <c r="AJ566" s="149"/>
      <c r="AK566" s="149"/>
      <c r="AL566" s="149"/>
      <c r="AM566" s="149"/>
      <c r="AN566" s="149"/>
      <c r="AO566" s="149"/>
      <c r="AP566" s="149"/>
      <c r="AR566" s="149"/>
      <c r="AS566" s="149"/>
      <c r="AT566" s="149"/>
      <c r="AU566" s="149"/>
      <c r="AV566" s="149"/>
      <c r="AW566" s="149"/>
      <c r="AX566" s="149"/>
      <c r="AY566" s="149"/>
      <c r="AZ566" s="149"/>
      <c r="BA566" s="149"/>
      <c r="BB566" s="149"/>
      <c r="BC566" s="149"/>
      <c r="BD566" s="149"/>
      <c r="BE566" s="149"/>
      <c r="BF566" s="149"/>
      <c r="BG566" s="149"/>
      <c r="BH566" s="149"/>
      <c r="BI566" s="149"/>
      <c r="BJ566" s="149"/>
      <c r="BK566" s="149"/>
      <c r="BL566" s="149"/>
      <c r="BM566" s="149"/>
      <c r="BN566" s="149"/>
      <c r="BO566" s="149"/>
      <c r="BP566" s="149"/>
      <c r="BQ566" s="149"/>
      <c r="BR566" s="149"/>
    </row>
    <row r="567" ht="34" customHeight="1" spans="1:70">
      <c r="A567" s="208">
        <v>573</v>
      </c>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149"/>
      <c r="AD567" s="149"/>
      <c r="AE567" s="149"/>
      <c r="AF567" s="149"/>
      <c r="AG567" s="149"/>
      <c r="AH567" s="149"/>
      <c r="AI567" s="149"/>
      <c r="AJ567" s="149"/>
      <c r="AK567" s="149"/>
      <c r="AL567" s="149"/>
      <c r="AM567" s="149"/>
      <c r="AN567" s="149"/>
      <c r="AO567" s="149"/>
      <c r="AP567" s="149"/>
      <c r="AR567" s="149"/>
      <c r="AS567" s="149"/>
      <c r="AT567" s="149"/>
      <c r="AU567" s="149"/>
      <c r="AV567" s="149"/>
      <c r="AW567" s="149"/>
      <c r="AX567" s="149"/>
      <c r="AY567" s="149"/>
      <c r="AZ567" s="149"/>
      <c r="BA567" s="149"/>
      <c r="BB567" s="149"/>
      <c r="BC567" s="149"/>
      <c r="BD567" s="149"/>
      <c r="BE567" s="149"/>
      <c r="BF567" s="149"/>
      <c r="BG567" s="149"/>
      <c r="BH567" s="149"/>
      <c r="BI567" s="149"/>
      <c r="BJ567" s="149"/>
      <c r="BK567" s="149"/>
      <c r="BL567" s="149"/>
      <c r="BM567" s="149"/>
      <c r="BN567" s="149"/>
      <c r="BO567" s="149"/>
      <c r="BP567" s="149"/>
      <c r="BQ567" s="149"/>
      <c r="BR567" s="149"/>
    </row>
    <row r="568" ht="34" customHeight="1" spans="1:70">
      <c r="A568" s="208">
        <v>574</v>
      </c>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149"/>
      <c r="AD568" s="149"/>
      <c r="AE568" s="149"/>
      <c r="AF568" s="149"/>
      <c r="AG568" s="149"/>
      <c r="AH568" s="149"/>
      <c r="AI568" s="149"/>
      <c r="AJ568" s="149"/>
      <c r="AK568" s="149"/>
      <c r="AL568" s="149"/>
      <c r="AM568" s="149"/>
      <c r="AN568" s="149"/>
      <c r="AO568" s="149"/>
      <c r="AP568" s="149"/>
      <c r="AR568" s="149"/>
      <c r="AS568" s="149"/>
      <c r="AT568" s="149"/>
      <c r="AU568" s="149"/>
      <c r="AV568" s="149"/>
      <c r="AW568" s="149"/>
      <c r="AX568" s="149"/>
      <c r="AY568" s="149"/>
      <c r="AZ568" s="149"/>
      <c r="BA568" s="149"/>
      <c r="BB568" s="149"/>
      <c r="BC568" s="149"/>
      <c r="BD568" s="149"/>
      <c r="BE568" s="149"/>
      <c r="BF568" s="149"/>
      <c r="BG568" s="149"/>
      <c r="BH568" s="149"/>
      <c r="BI568" s="149"/>
      <c r="BJ568" s="149"/>
      <c r="BK568" s="149"/>
      <c r="BL568" s="149"/>
      <c r="BM568" s="149"/>
      <c r="BN568" s="149"/>
      <c r="BO568" s="149"/>
      <c r="BP568" s="149"/>
      <c r="BQ568" s="149"/>
      <c r="BR568" s="149"/>
    </row>
    <row r="569" ht="34" customHeight="1" spans="1:70">
      <c r="A569" s="208">
        <v>575</v>
      </c>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149"/>
      <c r="AD569" s="149"/>
      <c r="AE569" s="149"/>
      <c r="AF569" s="149"/>
      <c r="AG569" s="149"/>
      <c r="AH569" s="149"/>
      <c r="AI569" s="149"/>
      <c r="AJ569" s="149"/>
      <c r="AK569" s="149"/>
      <c r="AL569" s="149"/>
      <c r="AM569" s="149"/>
      <c r="AN569" s="149"/>
      <c r="AO569" s="149"/>
      <c r="AP569" s="149"/>
      <c r="AR569" s="149"/>
      <c r="AS569" s="149"/>
      <c r="AT569" s="149"/>
      <c r="AU569" s="149"/>
      <c r="AV569" s="149"/>
      <c r="AW569" s="149"/>
      <c r="AX569" s="149"/>
      <c r="AY569" s="149"/>
      <c r="AZ569" s="149"/>
      <c r="BA569" s="149"/>
      <c r="BB569" s="149"/>
      <c r="BC569" s="149"/>
      <c r="BD569" s="149"/>
      <c r="BE569" s="149"/>
      <c r="BF569" s="149"/>
      <c r="BG569" s="149"/>
      <c r="BH569" s="149"/>
      <c r="BI569" s="149"/>
      <c r="BJ569" s="149"/>
      <c r="BK569" s="149"/>
      <c r="BL569" s="149"/>
      <c r="BM569" s="149"/>
      <c r="BN569" s="149"/>
      <c r="BO569" s="149"/>
      <c r="BP569" s="149"/>
      <c r="BQ569" s="149"/>
      <c r="BR569" s="149"/>
    </row>
    <row r="570" ht="34" customHeight="1" spans="1:70">
      <c r="A570" s="208">
        <v>576</v>
      </c>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149"/>
      <c r="AD570" s="149"/>
      <c r="AE570" s="149"/>
      <c r="AF570" s="149"/>
      <c r="AG570" s="149"/>
      <c r="AH570" s="149"/>
      <c r="AI570" s="149"/>
      <c r="AJ570" s="149"/>
      <c r="AK570" s="149"/>
      <c r="AL570" s="149"/>
      <c r="AM570" s="149"/>
      <c r="AN570" s="149"/>
      <c r="AO570" s="149"/>
      <c r="AP570" s="149"/>
      <c r="AR570" s="149"/>
      <c r="AS570" s="149"/>
      <c r="AT570" s="149"/>
      <c r="AU570" s="149"/>
      <c r="AV570" s="149"/>
      <c r="AW570" s="149"/>
      <c r="AX570" s="149"/>
      <c r="AY570" s="149"/>
      <c r="AZ570" s="149"/>
      <c r="BA570" s="149"/>
      <c r="BB570" s="149"/>
      <c r="BC570" s="149"/>
      <c r="BD570" s="149"/>
      <c r="BE570" s="149"/>
      <c r="BF570" s="149"/>
      <c r="BG570" s="149"/>
      <c r="BH570" s="149"/>
      <c r="BI570" s="149"/>
      <c r="BJ570" s="149"/>
      <c r="BK570" s="149"/>
      <c r="BL570" s="149"/>
      <c r="BM570" s="149"/>
      <c r="BN570" s="149"/>
      <c r="BO570" s="149"/>
      <c r="BP570" s="149"/>
      <c r="BQ570" s="149"/>
      <c r="BR570" s="149"/>
    </row>
    <row r="571" ht="34" customHeight="1" spans="1:70">
      <c r="A571" s="208">
        <v>577</v>
      </c>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149"/>
      <c r="AD571" s="149"/>
      <c r="AE571" s="149"/>
      <c r="AF571" s="149"/>
      <c r="AG571" s="149"/>
      <c r="AH571" s="149"/>
      <c r="AI571" s="149"/>
      <c r="AJ571" s="149"/>
      <c r="AK571" s="149"/>
      <c r="AL571" s="149"/>
      <c r="AM571" s="149"/>
      <c r="AN571" s="149"/>
      <c r="AO571" s="149"/>
      <c r="AP571" s="149"/>
      <c r="AR571" s="149"/>
      <c r="AS571" s="149"/>
      <c r="AT571" s="149"/>
      <c r="AU571" s="149"/>
      <c r="AV571" s="149"/>
      <c r="AW571" s="149"/>
      <c r="AX571" s="149"/>
      <c r="AY571" s="149"/>
      <c r="AZ571" s="149"/>
      <c r="BA571" s="149"/>
      <c r="BB571" s="149"/>
      <c r="BC571" s="149"/>
      <c r="BD571" s="149"/>
      <c r="BE571" s="149"/>
      <c r="BF571" s="149"/>
      <c r="BG571" s="149"/>
      <c r="BH571" s="149"/>
      <c r="BI571" s="149"/>
      <c r="BJ571" s="149"/>
      <c r="BK571" s="149"/>
      <c r="BL571" s="149"/>
      <c r="BM571" s="149"/>
      <c r="BN571" s="149"/>
      <c r="BO571" s="149"/>
      <c r="BP571" s="149"/>
      <c r="BQ571" s="149"/>
      <c r="BR571" s="149"/>
    </row>
    <row r="572" ht="34" customHeight="1" spans="1:70">
      <c r="A572" s="208">
        <v>578</v>
      </c>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149"/>
      <c r="AD572" s="149"/>
      <c r="AE572" s="149"/>
      <c r="AF572" s="149"/>
      <c r="AG572" s="149"/>
      <c r="AH572" s="149"/>
      <c r="AI572" s="149"/>
      <c r="AJ572" s="149"/>
      <c r="AK572" s="149"/>
      <c r="AL572" s="149"/>
      <c r="AM572" s="149"/>
      <c r="AN572" s="149"/>
      <c r="AO572" s="149"/>
      <c r="AP572" s="149"/>
      <c r="AR572" s="149"/>
      <c r="AS572" s="149"/>
      <c r="AT572" s="149"/>
      <c r="AU572" s="149"/>
      <c r="AV572" s="149"/>
      <c r="AW572" s="149"/>
      <c r="AX572" s="149"/>
      <c r="AY572" s="149"/>
      <c r="AZ572" s="149"/>
      <c r="BA572" s="149"/>
      <c r="BB572" s="149"/>
      <c r="BC572" s="149"/>
      <c r="BD572" s="149"/>
      <c r="BE572" s="149"/>
      <c r="BF572" s="149"/>
      <c r="BG572" s="149"/>
      <c r="BH572" s="149"/>
      <c r="BI572" s="149"/>
      <c r="BJ572" s="149"/>
      <c r="BK572" s="149"/>
      <c r="BL572" s="149"/>
      <c r="BM572" s="149"/>
      <c r="BN572" s="149"/>
      <c r="BO572" s="149"/>
      <c r="BP572" s="149"/>
      <c r="BQ572" s="149"/>
      <c r="BR572" s="149"/>
    </row>
    <row r="573" ht="34" customHeight="1" spans="1:70">
      <c r="A573" s="208">
        <v>579</v>
      </c>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149"/>
      <c r="AD573" s="149"/>
      <c r="AE573" s="149"/>
      <c r="AF573" s="149"/>
      <c r="AG573" s="149"/>
      <c r="AH573" s="149"/>
      <c r="AI573" s="149"/>
      <c r="AJ573" s="149"/>
      <c r="AK573" s="149"/>
      <c r="AL573" s="149"/>
      <c r="AM573" s="149"/>
      <c r="AN573" s="149"/>
      <c r="AO573" s="149"/>
      <c r="AP573" s="149"/>
      <c r="AR573" s="149"/>
      <c r="AS573" s="149"/>
      <c r="AT573" s="149"/>
      <c r="AU573" s="149"/>
      <c r="AV573" s="149"/>
      <c r="AW573" s="149"/>
      <c r="AX573" s="149"/>
      <c r="AY573" s="149"/>
      <c r="AZ573" s="149"/>
      <c r="BA573" s="149"/>
      <c r="BB573" s="149"/>
      <c r="BC573" s="149"/>
      <c r="BD573" s="149"/>
      <c r="BE573" s="149"/>
      <c r="BF573" s="149"/>
      <c r="BG573" s="149"/>
      <c r="BH573" s="149"/>
      <c r="BI573" s="149"/>
      <c r="BJ573" s="149"/>
      <c r="BK573" s="149"/>
      <c r="BL573" s="149"/>
      <c r="BM573" s="149"/>
      <c r="BN573" s="149"/>
      <c r="BO573" s="149"/>
      <c r="BP573" s="149"/>
      <c r="BQ573" s="149"/>
      <c r="BR573" s="149"/>
    </row>
    <row r="574" ht="34" customHeight="1" spans="1:70">
      <c r="A574" s="208">
        <v>580</v>
      </c>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149"/>
      <c r="AD574" s="149"/>
      <c r="AE574" s="149"/>
      <c r="AF574" s="149"/>
      <c r="AG574" s="149"/>
      <c r="AH574" s="149"/>
      <c r="AI574" s="149"/>
      <c r="AJ574" s="149"/>
      <c r="AK574" s="149"/>
      <c r="AL574" s="149"/>
      <c r="AM574" s="149"/>
      <c r="AN574" s="149"/>
      <c r="AO574" s="149"/>
      <c r="AP574" s="149"/>
      <c r="AR574" s="149"/>
      <c r="AS574" s="149"/>
      <c r="AT574" s="149"/>
      <c r="AU574" s="149"/>
      <c r="AV574" s="149"/>
      <c r="AW574" s="149"/>
      <c r="AX574" s="149"/>
      <c r="AY574" s="149"/>
      <c r="AZ574" s="149"/>
      <c r="BA574" s="149"/>
      <c r="BB574" s="149"/>
      <c r="BC574" s="149"/>
      <c r="BD574" s="149"/>
      <c r="BE574" s="149"/>
      <c r="BF574" s="149"/>
      <c r="BG574" s="149"/>
      <c r="BH574" s="149"/>
      <c r="BI574" s="149"/>
      <c r="BJ574" s="149"/>
      <c r="BK574" s="149"/>
      <c r="BL574" s="149"/>
      <c r="BM574" s="149"/>
      <c r="BN574" s="149"/>
      <c r="BO574" s="149"/>
      <c r="BP574" s="149"/>
      <c r="BQ574" s="149"/>
      <c r="BR574" s="149"/>
    </row>
    <row r="575" ht="34" customHeight="1" spans="1:70">
      <c r="A575" s="208">
        <v>581</v>
      </c>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149"/>
      <c r="AD575" s="149"/>
      <c r="AE575" s="149"/>
      <c r="AF575" s="149"/>
      <c r="AG575" s="149"/>
      <c r="AH575" s="149"/>
      <c r="AI575" s="149"/>
      <c r="AJ575" s="149"/>
      <c r="AK575" s="149"/>
      <c r="AL575" s="149"/>
      <c r="AM575" s="149"/>
      <c r="AN575" s="149"/>
      <c r="AO575" s="149"/>
      <c r="AP575" s="149"/>
      <c r="AR575" s="149"/>
      <c r="AS575" s="149"/>
      <c r="AT575" s="149"/>
      <c r="AU575" s="149"/>
      <c r="AV575" s="149"/>
      <c r="AW575" s="149"/>
      <c r="AX575" s="149"/>
      <c r="AY575" s="149"/>
      <c r="AZ575" s="149"/>
      <c r="BA575" s="149"/>
      <c r="BB575" s="149"/>
      <c r="BC575" s="149"/>
      <c r="BD575" s="149"/>
      <c r="BE575" s="149"/>
      <c r="BF575" s="149"/>
      <c r="BG575" s="149"/>
      <c r="BH575" s="149"/>
      <c r="BI575" s="149"/>
      <c r="BJ575" s="149"/>
      <c r="BK575" s="149"/>
      <c r="BL575" s="149"/>
      <c r="BM575" s="149"/>
      <c r="BN575" s="149"/>
      <c r="BO575" s="149"/>
      <c r="BP575" s="149"/>
      <c r="BQ575" s="149"/>
      <c r="BR575" s="149"/>
    </row>
    <row r="576" ht="34" customHeight="1" spans="1:70">
      <c r="A576" s="208">
        <v>582</v>
      </c>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149"/>
      <c r="AD576" s="149"/>
      <c r="AE576" s="149"/>
      <c r="AF576" s="149"/>
      <c r="AG576" s="149"/>
      <c r="AH576" s="149"/>
      <c r="AI576" s="149"/>
      <c r="AJ576" s="149"/>
      <c r="AK576" s="149"/>
      <c r="AL576" s="149"/>
      <c r="AM576" s="149"/>
      <c r="AN576" s="149"/>
      <c r="AO576" s="149"/>
      <c r="AP576" s="149"/>
      <c r="AR576" s="149"/>
      <c r="AS576" s="149"/>
      <c r="AT576" s="149"/>
      <c r="AU576" s="149"/>
      <c r="AV576" s="149"/>
      <c r="AW576" s="149"/>
      <c r="AX576" s="149"/>
      <c r="AY576" s="149"/>
      <c r="AZ576" s="149"/>
      <c r="BA576" s="149"/>
      <c r="BB576" s="149"/>
      <c r="BC576" s="149"/>
      <c r="BD576" s="149"/>
      <c r="BE576" s="149"/>
      <c r="BF576" s="149"/>
      <c r="BG576" s="149"/>
      <c r="BH576" s="149"/>
      <c r="BI576" s="149"/>
      <c r="BJ576" s="149"/>
      <c r="BK576" s="149"/>
      <c r="BL576" s="149"/>
      <c r="BM576" s="149"/>
      <c r="BN576" s="149"/>
      <c r="BO576" s="149"/>
      <c r="BP576" s="149"/>
      <c r="BQ576" s="149"/>
      <c r="BR576" s="149"/>
    </row>
    <row r="577" ht="34" customHeight="1" spans="1:70">
      <c r="A577" s="208">
        <v>583</v>
      </c>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149"/>
      <c r="AD577" s="149"/>
      <c r="AE577" s="149"/>
      <c r="AF577" s="149"/>
      <c r="AG577" s="149"/>
      <c r="AH577" s="149"/>
      <c r="AI577" s="149"/>
      <c r="AJ577" s="149"/>
      <c r="AK577" s="149"/>
      <c r="AL577" s="149"/>
      <c r="AM577" s="149"/>
      <c r="AN577" s="149"/>
      <c r="AO577" s="149"/>
      <c r="AP577" s="149"/>
      <c r="AR577" s="149"/>
      <c r="AS577" s="149"/>
      <c r="AT577" s="149"/>
      <c r="AU577" s="149"/>
      <c r="AV577" s="149"/>
      <c r="AW577" s="149"/>
      <c r="AX577" s="149"/>
      <c r="AY577" s="149"/>
      <c r="AZ577" s="149"/>
      <c r="BA577" s="149"/>
      <c r="BB577" s="149"/>
      <c r="BC577" s="149"/>
      <c r="BD577" s="149"/>
      <c r="BE577" s="149"/>
      <c r="BF577" s="149"/>
      <c r="BG577" s="149"/>
      <c r="BH577" s="149"/>
      <c r="BI577" s="149"/>
      <c r="BJ577" s="149"/>
      <c r="BK577" s="149"/>
      <c r="BL577" s="149"/>
      <c r="BM577" s="149"/>
      <c r="BN577" s="149"/>
      <c r="BO577" s="149"/>
      <c r="BP577" s="149"/>
      <c r="BQ577" s="149"/>
      <c r="BR577" s="149"/>
    </row>
    <row r="578" ht="34" customHeight="1" spans="1:70">
      <c r="A578" s="208">
        <v>584</v>
      </c>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149"/>
      <c r="AD578" s="149"/>
      <c r="AE578" s="149"/>
      <c r="AF578" s="149"/>
      <c r="AG578" s="149"/>
      <c r="AH578" s="149"/>
      <c r="AI578" s="149"/>
      <c r="AJ578" s="149"/>
      <c r="AK578" s="149"/>
      <c r="AL578" s="149"/>
      <c r="AM578" s="149"/>
      <c r="AN578" s="149"/>
      <c r="AO578" s="149"/>
      <c r="AP578" s="149"/>
      <c r="AR578" s="149"/>
      <c r="AS578" s="149"/>
      <c r="AT578" s="149"/>
      <c r="AU578" s="149"/>
      <c r="AV578" s="149"/>
      <c r="AW578" s="149"/>
      <c r="AX578" s="149"/>
      <c r="AY578" s="149"/>
      <c r="AZ578" s="149"/>
      <c r="BA578" s="149"/>
      <c r="BB578" s="149"/>
      <c r="BC578" s="149"/>
      <c r="BD578" s="149"/>
      <c r="BE578" s="149"/>
      <c r="BF578" s="149"/>
      <c r="BG578" s="149"/>
      <c r="BH578" s="149"/>
      <c r="BI578" s="149"/>
      <c r="BJ578" s="149"/>
      <c r="BK578" s="149"/>
      <c r="BL578" s="149"/>
      <c r="BM578" s="149"/>
      <c r="BN578" s="149"/>
      <c r="BO578" s="149"/>
      <c r="BP578" s="149"/>
      <c r="BQ578" s="149"/>
      <c r="BR578" s="149"/>
    </row>
    <row r="579" ht="34" customHeight="1" spans="1:70">
      <c r="A579" s="208">
        <v>585</v>
      </c>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ht="34" customHeight="1" spans="1:70">
      <c r="A580" s="208">
        <v>586</v>
      </c>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149"/>
      <c r="AD580" s="149"/>
      <c r="AE580" s="149"/>
      <c r="AF580" s="149"/>
      <c r="AG580" s="149"/>
      <c r="AH580" s="149"/>
      <c r="AI580" s="149"/>
      <c r="AJ580" s="149"/>
      <c r="AK580" s="149"/>
      <c r="AL580" s="149"/>
      <c r="AM580" s="149"/>
      <c r="AN580" s="149"/>
      <c r="AO580" s="149"/>
      <c r="AP580" s="149"/>
      <c r="AR580" s="149"/>
      <c r="AS580" s="149"/>
      <c r="AT580" s="149"/>
      <c r="AU580" s="149"/>
      <c r="AV580" s="149"/>
      <c r="AW580" s="149"/>
      <c r="AX580" s="149"/>
      <c r="AY580" s="149"/>
      <c r="AZ580" s="149"/>
      <c r="BA580" s="149"/>
      <c r="BB580" s="149"/>
      <c r="BC580" s="149"/>
      <c r="BD580" s="149"/>
      <c r="BE580" s="149"/>
      <c r="BF580" s="149"/>
      <c r="BG580" s="149"/>
      <c r="BH580" s="149"/>
      <c r="BI580" s="149"/>
      <c r="BJ580" s="149"/>
      <c r="BK580" s="149"/>
      <c r="BL580" s="149"/>
      <c r="BM580" s="149"/>
      <c r="BN580" s="149"/>
      <c r="BO580" s="149"/>
      <c r="BP580" s="149"/>
      <c r="BQ580" s="149"/>
      <c r="BR580" s="149"/>
    </row>
    <row r="581" ht="34" customHeight="1" spans="1:70">
      <c r="A581" s="208">
        <v>587</v>
      </c>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149"/>
      <c r="AD581" s="149"/>
      <c r="AE581" s="149"/>
      <c r="AF581" s="149"/>
      <c r="AG581" s="149"/>
      <c r="AH581" s="149"/>
      <c r="AI581" s="149"/>
      <c r="AJ581" s="149"/>
      <c r="AK581" s="149"/>
      <c r="AL581" s="149"/>
      <c r="AM581" s="149"/>
      <c r="AN581" s="149"/>
      <c r="AO581" s="149"/>
      <c r="AP581" s="149"/>
      <c r="AR581" s="149"/>
      <c r="AS581" s="149"/>
      <c r="AT581" s="149"/>
      <c r="AU581" s="149"/>
      <c r="AV581" s="149"/>
      <c r="AW581" s="149"/>
      <c r="AX581" s="149"/>
      <c r="AY581" s="149"/>
      <c r="AZ581" s="149"/>
      <c r="BA581" s="149"/>
      <c r="BB581" s="149"/>
      <c r="BC581" s="149"/>
      <c r="BD581" s="149"/>
      <c r="BE581" s="149"/>
      <c r="BF581" s="149"/>
      <c r="BG581" s="149"/>
      <c r="BH581" s="149"/>
      <c r="BI581" s="149"/>
      <c r="BJ581" s="149"/>
      <c r="BK581" s="149"/>
      <c r="BL581" s="149"/>
      <c r="BM581" s="149"/>
      <c r="BN581" s="149"/>
      <c r="BO581" s="149"/>
      <c r="BP581" s="149"/>
      <c r="BQ581" s="149"/>
      <c r="BR581" s="149"/>
    </row>
    <row r="582" ht="34" customHeight="1" spans="1:70">
      <c r="A582" s="208">
        <v>588</v>
      </c>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149"/>
      <c r="AD582" s="149"/>
      <c r="AE582" s="149"/>
      <c r="AF582" s="149"/>
      <c r="AG582" s="149"/>
      <c r="AH582" s="149"/>
      <c r="AI582" s="149"/>
      <c r="AJ582" s="149"/>
      <c r="AK582" s="149"/>
      <c r="AL582" s="149"/>
      <c r="AM582" s="149"/>
      <c r="AN582" s="149"/>
      <c r="AO582" s="149"/>
      <c r="AP582" s="149"/>
      <c r="AR582" s="149"/>
      <c r="AS582" s="149"/>
      <c r="AT582" s="149"/>
      <c r="AU582" s="149"/>
      <c r="AV582" s="149"/>
      <c r="AW582" s="149"/>
      <c r="AX582" s="149"/>
      <c r="AY582" s="149"/>
      <c r="AZ582" s="149"/>
      <c r="BA582" s="149"/>
      <c r="BB582" s="149"/>
      <c r="BC582" s="149"/>
      <c r="BD582" s="149"/>
      <c r="BE582" s="149"/>
      <c r="BF582" s="149"/>
      <c r="BG582" s="149"/>
      <c r="BH582" s="149"/>
      <c r="BI582" s="149"/>
      <c r="BJ582" s="149"/>
      <c r="BK582" s="149"/>
      <c r="BL582" s="149"/>
      <c r="BM582" s="149"/>
      <c r="BN582" s="149"/>
      <c r="BO582" s="149"/>
      <c r="BP582" s="149"/>
      <c r="BQ582" s="149"/>
      <c r="BR582" s="149"/>
    </row>
    <row r="583" ht="34" customHeight="1" spans="1:70">
      <c r="A583" s="208">
        <v>589</v>
      </c>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149"/>
      <c r="AD583" s="149"/>
      <c r="AE583" s="149"/>
      <c r="AF583" s="149"/>
      <c r="AG583" s="149"/>
      <c r="AH583" s="149"/>
      <c r="AI583" s="149"/>
      <c r="AJ583" s="149"/>
      <c r="AK583" s="149"/>
      <c r="AL583" s="149"/>
      <c r="AM583" s="149"/>
      <c r="AN583" s="149"/>
      <c r="AO583" s="149"/>
      <c r="AP583" s="149"/>
      <c r="AR583" s="149"/>
      <c r="AS583" s="149"/>
      <c r="AT583" s="149"/>
      <c r="AU583" s="149"/>
      <c r="AV583" s="149"/>
      <c r="AW583" s="149"/>
      <c r="AX583" s="149"/>
      <c r="AY583" s="149"/>
      <c r="AZ583" s="149"/>
      <c r="BA583" s="149"/>
      <c r="BB583" s="149"/>
      <c r="BC583" s="149"/>
      <c r="BD583" s="149"/>
      <c r="BE583" s="149"/>
      <c r="BF583" s="149"/>
      <c r="BG583" s="149"/>
      <c r="BH583" s="149"/>
      <c r="BI583" s="149"/>
      <c r="BJ583" s="149"/>
      <c r="BK583" s="149"/>
      <c r="BL583" s="149"/>
      <c r="BM583" s="149"/>
      <c r="BN583" s="149"/>
      <c r="BO583" s="149"/>
      <c r="BP583" s="149"/>
      <c r="BQ583" s="149"/>
      <c r="BR583" s="149"/>
    </row>
    <row r="584" ht="34" customHeight="1" spans="1:70">
      <c r="A584" s="208">
        <v>590</v>
      </c>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149"/>
      <c r="AD584" s="149"/>
      <c r="AE584" s="149"/>
      <c r="AF584" s="149"/>
      <c r="AG584" s="149"/>
      <c r="AH584" s="149"/>
      <c r="AI584" s="149"/>
      <c r="AJ584" s="149"/>
      <c r="AK584" s="149"/>
      <c r="AL584" s="149"/>
      <c r="AM584" s="149"/>
      <c r="AN584" s="149"/>
      <c r="AO584" s="149"/>
      <c r="AP584" s="149"/>
      <c r="AR584" s="149"/>
      <c r="AS584" s="149"/>
      <c r="AT584" s="149"/>
      <c r="AU584" s="149"/>
      <c r="AV584" s="149"/>
      <c r="AW584" s="149"/>
      <c r="AX584" s="149"/>
      <c r="AY584" s="149"/>
      <c r="AZ584" s="149"/>
      <c r="BA584" s="149"/>
      <c r="BB584" s="149"/>
      <c r="BC584" s="149"/>
      <c r="BD584" s="149"/>
      <c r="BE584" s="149"/>
      <c r="BF584" s="149"/>
      <c r="BG584" s="149"/>
      <c r="BH584" s="149"/>
      <c r="BI584" s="149"/>
      <c r="BJ584" s="149"/>
      <c r="BK584" s="149"/>
      <c r="BL584" s="149"/>
      <c r="BM584" s="149"/>
      <c r="BN584" s="149"/>
      <c r="BO584" s="149"/>
      <c r="BP584" s="149"/>
      <c r="BQ584" s="149"/>
      <c r="BR584" s="149"/>
    </row>
    <row r="585" ht="34" customHeight="1" spans="1:70">
      <c r="A585" s="208">
        <v>591</v>
      </c>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149"/>
      <c r="AD585" s="149"/>
      <c r="AE585" s="149"/>
      <c r="AF585" s="149"/>
      <c r="AG585" s="149"/>
      <c r="AH585" s="149"/>
      <c r="AI585" s="149"/>
      <c r="AJ585" s="149"/>
      <c r="AK585" s="149"/>
      <c r="AL585" s="149"/>
      <c r="AM585" s="149"/>
      <c r="AN585" s="149"/>
      <c r="AO585" s="149"/>
      <c r="AP585" s="149"/>
      <c r="AR585" s="149"/>
      <c r="AS585" s="149"/>
      <c r="AT585" s="149"/>
      <c r="AU585" s="149"/>
      <c r="AV585" s="149"/>
      <c r="AW585" s="149"/>
      <c r="AX585" s="149"/>
      <c r="AY585" s="149"/>
      <c r="AZ585" s="149"/>
      <c r="BA585" s="149"/>
      <c r="BB585" s="149"/>
      <c r="BC585" s="149"/>
      <c r="BD585" s="149"/>
      <c r="BE585" s="149"/>
      <c r="BF585" s="149"/>
      <c r="BG585" s="149"/>
      <c r="BH585" s="149"/>
      <c r="BI585" s="149"/>
      <c r="BJ585" s="149"/>
      <c r="BK585" s="149"/>
      <c r="BL585" s="149"/>
      <c r="BM585" s="149"/>
      <c r="BN585" s="149"/>
      <c r="BO585" s="149"/>
      <c r="BP585" s="149"/>
      <c r="BQ585" s="149"/>
      <c r="BR585" s="149"/>
    </row>
    <row r="586" ht="34" customHeight="1" spans="1:70">
      <c r="A586" s="208">
        <v>592</v>
      </c>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149"/>
      <c r="AD586" s="149"/>
      <c r="AE586" s="149"/>
      <c r="AF586" s="149"/>
      <c r="AG586" s="149"/>
      <c r="AH586" s="149"/>
      <c r="AI586" s="149"/>
      <c r="AJ586" s="149"/>
      <c r="AK586" s="149"/>
      <c r="AL586" s="149"/>
      <c r="AM586" s="149"/>
      <c r="AN586" s="149"/>
      <c r="AO586" s="149"/>
      <c r="AP586" s="149"/>
      <c r="AR586" s="149"/>
      <c r="AS586" s="149"/>
      <c r="AT586" s="149"/>
      <c r="AU586" s="149"/>
      <c r="AV586" s="149"/>
      <c r="AW586" s="149"/>
      <c r="AX586" s="149"/>
      <c r="AY586" s="149"/>
      <c r="AZ586" s="149"/>
      <c r="BA586" s="149"/>
      <c r="BB586" s="149"/>
      <c r="BC586" s="149"/>
      <c r="BD586" s="149"/>
      <c r="BE586" s="149"/>
      <c r="BF586" s="149"/>
      <c r="BG586" s="149"/>
      <c r="BH586" s="149"/>
      <c r="BI586" s="149"/>
      <c r="BJ586" s="149"/>
      <c r="BK586" s="149"/>
      <c r="BL586" s="149"/>
      <c r="BM586" s="149"/>
      <c r="BN586" s="149"/>
      <c r="BO586" s="149"/>
      <c r="BP586" s="149"/>
      <c r="BQ586" s="149"/>
      <c r="BR586" s="149"/>
    </row>
    <row r="587" ht="34" customHeight="1" spans="1:70">
      <c r="A587" s="208">
        <v>593</v>
      </c>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149"/>
      <c r="AD587" s="149"/>
      <c r="AE587" s="149"/>
      <c r="AF587" s="149"/>
      <c r="AG587" s="149"/>
      <c r="AH587" s="149"/>
      <c r="AI587" s="149"/>
      <c r="AJ587" s="149"/>
      <c r="AK587" s="149"/>
      <c r="AL587" s="149"/>
      <c r="AM587" s="149"/>
      <c r="AN587" s="149"/>
      <c r="AO587" s="149"/>
      <c r="AP587" s="149"/>
      <c r="AR587" s="149"/>
      <c r="AS587" s="149"/>
      <c r="AT587" s="149"/>
      <c r="AU587" s="149"/>
      <c r="AV587" s="149"/>
      <c r="AW587" s="149"/>
      <c r="AX587" s="149"/>
      <c r="AY587" s="149"/>
      <c r="AZ587" s="149"/>
      <c r="BA587" s="149"/>
      <c r="BB587" s="149"/>
      <c r="BC587" s="149"/>
      <c r="BD587" s="149"/>
      <c r="BE587" s="149"/>
      <c r="BF587" s="149"/>
      <c r="BG587" s="149"/>
      <c r="BH587" s="149"/>
      <c r="BI587" s="149"/>
      <c r="BJ587" s="149"/>
      <c r="BK587" s="149"/>
      <c r="BL587" s="149"/>
      <c r="BM587" s="149"/>
      <c r="BN587" s="149"/>
      <c r="BO587" s="149"/>
      <c r="BP587" s="149"/>
      <c r="BQ587" s="149"/>
      <c r="BR587" s="149"/>
    </row>
    <row r="588" ht="34" customHeight="1" spans="1:70">
      <c r="A588" s="208">
        <v>594</v>
      </c>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149"/>
      <c r="AD588" s="149"/>
      <c r="AE588" s="149"/>
      <c r="AF588" s="149"/>
      <c r="AG588" s="149"/>
      <c r="AH588" s="149"/>
      <c r="AI588" s="149"/>
      <c r="AJ588" s="149"/>
      <c r="AK588" s="149"/>
      <c r="AL588" s="149"/>
      <c r="AM588" s="149"/>
      <c r="AN588" s="149"/>
      <c r="AO588" s="149"/>
      <c r="AP588" s="149"/>
      <c r="AR588" s="149"/>
      <c r="AS588" s="149"/>
      <c r="AT588" s="149"/>
      <c r="AU588" s="149"/>
      <c r="AV588" s="149"/>
      <c r="AW588" s="149"/>
      <c r="AX588" s="149"/>
      <c r="AY588" s="149"/>
      <c r="AZ588" s="149"/>
      <c r="BA588" s="149"/>
      <c r="BB588" s="149"/>
      <c r="BC588" s="149"/>
      <c r="BD588" s="149"/>
      <c r="BE588" s="149"/>
      <c r="BF588" s="149"/>
      <c r="BG588" s="149"/>
      <c r="BH588" s="149"/>
      <c r="BI588" s="149"/>
      <c r="BJ588" s="149"/>
      <c r="BK588" s="149"/>
      <c r="BL588" s="149"/>
      <c r="BM588" s="149"/>
      <c r="BN588" s="149"/>
      <c r="BO588" s="149"/>
      <c r="BP588" s="149"/>
      <c r="BQ588" s="149"/>
      <c r="BR588" s="149"/>
    </row>
    <row r="589" ht="34" customHeight="1" spans="1:70">
      <c r="A589" s="208">
        <v>595</v>
      </c>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149"/>
      <c r="AD589" s="149"/>
      <c r="AE589" s="149"/>
      <c r="AF589" s="149"/>
      <c r="AG589" s="149"/>
      <c r="AH589" s="149"/>
      <c r="AI589" s="149"/>
      <c r="AJ589" s="149"/>
      <c r="AK589" s="149"/>
      <c r="AL589" s="149"/>
      <c r="AM589" s="149"/>
      <c r="AN589" s="149"/>
      <c r="AO589" s="149"/>
      <c r="AP589" s="149"/>
      <c r="AR589" s="149"/>
      <c r="AS589" s="149"/>
      <c r="AT589" s="149"/>
      <c r="AU589" s="149"/>
      <c r="AV589" s="149"/>
      <c r="AW589" s="149"/>
      <c r="AX589" s="149"/>
      <c r="AY589" s="149"/>
      <c r="AZ589" s="149"/>
      <c r="BA589" s="149"/>
      <c r="BB589" s="149"/>
      <c r="BC589" s="149"/>
      <c r="BD589" s="149"/>
      <c r="BE589" s="149"/>
      <c r="BF589" s="149"/>
      <c r="BG589" s="149"/>
      <c r="BH589" s="149"/>
      <c r="BI589" s="149"/>
      <c r="BJ589" s="149"/>
      <c r="BK589" s="149"/>
      <c r="BL589" s="149"/>
      <c r="BM589" s="149"/>
      <c r="BN589" s="149"/>
      <c r="BO589" s="149"/>
      <c r="BP589" s="149"/>
      <c r="BQ589" s="149"/>
      <c r="BR589" s="149"/>
    </row>
    <row r="590" ht="34" customHeight="1" spans="1:70">
      <c r="A590" s="208">
        <v>596</v>
      </c>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149"/>
      <c r="AD590" s="149"/>
      <c r="AE590" s="149"/>
      <c r="AF590" s="149"/>
      <c r="AG590" s="149"/>
      <c r="AH590" s="149"/>
      <c r="AI590" s="149"/>
      <c r="AJ590" s="149"/>
      <c r="AK590" s="149"/>
      <c r="AL590" s="149"/>
      <c r="AM590" s="149"/>
      <c r="AN590" s="149"/>
      <c r="AO590" s="149"/>
      <c r="AP590" s="149"/>
      <c r="AR590" s="149"/>
      <c r="AS590" s="149"/>
      <c r="AT590" s="149"/>
      <c r="AU590" s="149"/>
      <c r="AV590" s="149"/>
      <c r="AW590" s="149"/>
      <c r="AX590" s="149"/>
      <c r="AY590" s="149"/>
      <c r="AZ590" s="149"/>
      <c r="BA590" s="149"/>
      <c r="BB590" s="149"/>
      <c r="BC590" s="149"/>
      <c r="BD590" s="149"/>
      <c r="BE590" s="149"/>
      <c r="BF590" s="149"/>
      <c r="BG590" s="149"/>
      <c r="BH590" s="149"/>
      <c r="BI590" s="149"/>
      <c r="BJ590" s="149"/>
      <c r="BK590" s="149"/>
      <c r="BL590" s="149"/>
      <c r="BM590" s="149"/>
      <c r="BN590" s="149"/>
      <c r="BO590" s="149"/>
      <c r="BP590" s="149"/>
      <c r="BQ590" s="149"/>
      <c r="BR590" s="149"/>
    </row>
    <row r="591" ht="34" customHeight="1" spans="1:70">
      <c r="A591" s="208">
        <v>597</v>
      </c>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149"/>
      <c r="AD591" s="149"/>
      <c r="AE591" s="149"/>
      <c r="AF591" s="149"/>
      <c r="AG591" s="149"/>
      <c r="AH591" s="149"/>
      <c r="AI591" s="149"/>
      <c r="AJ591" s="149"/>
      <c r="AK591" s="149"/>
      <c r="AL591" s="149"/>
      <c r="AM591" s="149"/>
      <c r="AN591" s="149"/>
      <c r="AO591" s="149"/>
      <c r="AP591" s="149"/>
      <c r="AR591" s="149"/>
      <c r="AS591" s="149"/>
      <c r="AT591" s="149"/>
      <c r="AU591" s="149"/>
      <c r="AV591" s="149"/>
      <c r="AW591" s="149"/>
      <c r="AX591" s="149"/>
      <c r="AY591" s="149"/>
      <c r="AZ591" s="149"/>
      <c r="BA591" s="149"/>
      <c r="BB591" s="149"/>
      <c r="BC591" s="149"/>
      <c r="BD591" s="149"/>
      <c r="BE591" s="149"/>
      <c r="BF591" s="149"/>
      <c r="BG591" s="149"/>
      <c r="BH591" s="149"/>
      <c r="BI591" s="149"/>
      <c r="BJ591" s="149"/>
      <c r="BK591" s="149"/>
      <c r="BL591" s="149"/>
      <c r="BM591" s="149"/>
      <c r="BN591" s="149"/>
      <c r="BO591" s="149"/>
      <c r="BP591" s="149"/>
      <c r="BQ591" s="149"/>
      <c r="BR591" s="149"/>
    </row>
    <row r="592" ht="34" customHeight="1" spans="1:70">
      <c r="A592" s="208">
        <v>598</v>
      </c>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149"/>
      <c r="AD592" s="149"/>
      <c r="AE592" s="149"/>
      <c r="AF592" s="149"/>
      <c r="AG592" s="149"/>
      <c r="AH592" s="149"/>
      <c r="AI592" s="149"/>
      <c r="AJ592" s="149"/>
      <c r="AK592" s="149"/>
      <c r="AL592" s="149"/>
      <c r="AM592" s="149"/>
      <c r="AN592" s="149"/>
      <c r="AO592" s="149"/>
      <c r="AP592" s="149"/>
      <c r="AR592" s="149"/>
      <c r="AS592" s="149"/>
      <c r="AT592" s="149"/>
      <c r="AU592" s="149"/>
      <c r="AV592" s="149"/>
      <c r="AW592" s="149"/>
      <c r="AX592" s="149"/>
      <c r="AY592" s="149"/>
      <c r="AZ592" s="149"/>
      <c r="BA592" s="149"/>
      <c r="BB592" s="149"/>
      <c r="BC592" s="149"/>
      <c r="BD592" s="149"/>
      <c r="BE592" s="149"/>
      <c r="BF592" s="149"/>
      <c r="BG592" s="149"/>
      <c r="BH592" s="149"/>
      <c r="BI592" s="149"/>
      <c r="BJ592" s="149"/>
      <c r="BK592" s="149"/>
      <c r="BL592" s="149"/>
      <c r="BM592" s="149"/>
      <c r="BN592" s="149"/>
      <c r="BO592" s="149"/>
      <c r="BP592" s="149"/>
      <c r="BQ592" s="149"/>
      <c r="BR592" s="149"/>
    </row>
    <row r="593" ht="34" customHeight="1" spans="1:70">
      <c r="A593" s="208">
        <v>599</v>
      </c>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149"/>
      <c r="AD593" s="149"/>
      <c r="AE593" s="149"/>
      <c r="AF593" s="149"/>
      <c r="AG593" s="149"/>
      <c r="AH593" s="149"/>
      <c r="AI593" s="149"/>
      <c r="AJ593" s="149"/>
      <c r="AK593" s="149"/>
      <c r="AL593" s="149"/>
      <c r="AM593" s="149"/>
      <c r="AN593" s="149"/>
      <c r="AO593" s="149"/>
      <c r="AP593" s="149"/>
      <c r="AR593" s="149"/>
      <c r="AS593" s="149"/>
      <c r="AT593" s="149"/>
      <c r="AU593" s="149"/>
      <c r="AV593" s="149"/>
      <c r="AW593" s="149"/>
      <c r="AX593" s="149"/>
      <c r="AY593" s="149"/>
      <c r="AZ593" s="149"/>
      <c r="BA593" s="149"/>
      <c r="BB593" s="149"/>
      <c r="BC593" s="149"/>
      <c r="BD593" s="149"/>
      <c r="BE593" s="149"/>
      <c r="BF593" s="149"/>
      <c r="BG593" s="149"/>
      <c r="BH593" s="149"/>
      <c r="BI593" s="149"/>
      <c r="BJ593" s="149"/>
      <c r="BK593" s="149"/>
      <c r="BL593" s="149"/>
      <c r="BM593" s="149"/>
      <c r="BN593" s="149"/>
      <c r="BO593" s="149"/>
      <c r="BP593" s="149"/>
      <c r="BQ593" s="149"/>
      <c r="BR593" s="149"/>
    </row>
    <row r="594" ht="34" customHeight="1" spans="1:70">
      <c r="A594" s="208">
        <v>600</v>
      </c>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149"/>
      <c r="AD594" s="149"/>
      <c r="AE594" s="149"/>
      <c r="AF594" s="149"/>
      <c r="AG594" s="149"/>
      <c r="AH594" s="149"/>
      <c r="AI594" s="149"/>
      <c r="AJ594" s="149"/>
      <c r="AK594" s="149"/>
      <c r="AL594" s="149"/>
      <c r="AM594" s="149"/>
      <c r="AN594" s="149"/>
      <c r="AO594" s="149"/>
      <c r="AP594" s="149"/>
      <c r="AR594" s="149"/>
      <c r="AS594" s="149"/>
      <c r="AT594" s="149"/>
      <c r="AU594" s="149"/>
      <c r="AV594" s="149"/>
      <c r="AW594" s="149"/>
      <c r="AX594" s="149"/>
      <c r="AY594" s="149"/>
      <c r="AZ594" s="149"/>
      <c r="BA594" s="149"/>
      <c r="BB594" s="149"/>
      <c r="BC594" s="149"/>
      <c r="BD594" s="149"/>
      <c r="BE594" s="149"/>
      <c r="BF594" s="149"/>
      <c r="BG594" s="149"/>
      <c r="BH594" s="149"/>
      <c r="BI594" s="149"/>
      <c r="BJ594" s="149"/>
      <c r="BK594" s="149"/>
      <c r="BL594" s="149"/>
      <c r="BM594" s="149"/>
      <c r="BN594" s="149"/>
      <c r="BO594" s="149"/>
      <c r="BP594" s="149"/>
      <c r="BQ594" s="149"/>
      <c r="BR594" s="149"/>
    </row>
    <row r="595" ht="34" customHeight="1" spans="1:70">
      <c r="A595" s="208">
        <v>601</v>
      </c>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ht="34" customHeight="1" spans="1:70">
      <c r="A596" s="208">
        <v>602</v>
      </c>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149"/>
      <c r="AD596" s="149"/>
      <c r="AE596" s="149"/>
      <c r="AF596" s="149"/>
      <c r="AG596" s="149"/>
      <c r="AH596" s="149"/>
      <c r="AI596" s="149"/>
      <c r="AJ596" s="149"/>
      <c r="AK596" s="149"/>
      <c r="AL596" s="149"/>
      <c r="AM596" s="149"/>
      <c r="AN596" s="149"/>
      <c r="AO596" s="149"/>
      <c r="AP596" s="149"/>
      <c r="AR596" s="149"/>
      <c r="AS596" s="149"/>
      <c r="AT596" s="149"/>
      <c r="AU596" s="149"/>
      <c r="AV596" s="149"/>
      <c r="AW596" s="149"/>
      <c r="AX596" s="149"/>
      <c r="AY596" s="149"/>
      <c r="AZ596" s="149"/>
      <c r="BA596" s="149"/>
      <c r="BB596" s="149"/>
      <c r="BC596" s="149"/>
      <c r="BD596" s="149"/>
      <c r="BE596" s="149"/>
      <c r="BF596" s="149"/>
      <c r="BG596" s="149"/>
      <c r="BH596" s="149"/>
      <c r="BI596" s="149"/>
      <c r="BJ596" s="149"/>
      <c r="BK596" s="149"/>
      <c r="BL596" s="149"/>
      <c r="BM596" s="149"/>
      <c r="BN596" s="149"/>
      <c r="BO596" s="149"/>
      <c r="BP596" s="149"/>
      <c r="BQ596" s="149"/>
      <c r="BR596" s="149"/>
    </row>
    <row r="597" ht="34" customHeight="1" spans="1:70">
      <c r="A597" s="208">
        <v>603</v>
      </c>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149"/>
      <c r="AD597" s="149"/>
      <c r="AE597" s="149"/>
      <c r="AF597" s="149"/>
      <c r="AG597" s="149"/>
      <c r="AH597" s="149"/>
      <c r="AI597" s="149"/>
      <c r="AJ597" s="149"/>
      <c r="AK597" s="149"/>
      <c r="AL597" s="149"/>
      <c r="AM597" s="149"/>
      <c r="AN597" s="149"/>
      <c r="AO597" s="149"/>
      <c r="AP597" s="149"/>
      <c r="AR597" s="149"/>
      <c r="AS597" s="149"/>
      <c r="AT597" s="149"/>
      <c r="AU597" s="149"/>
      <c r="AV597" s="149"/>
      <c r="AW597" s="149"/>
      <c r="AX597" s="149"/>
      <c r="AY597" s="149"/>
      <c r="AZ597" s="149"/>
      <c r="BA597" s="149"/>
      <c r="BB597" s="149"/>
      <c r="BC597" s="149"/>
      <c r="BD597" s="149"/>
      <c r="BE597" s="149"/>
      <c r="BF597" s="149"/>
      <c r="BG597" s="149"/>
      <c r="BH597" s="149"/>
      <c r="BI597" s="149"/>
      <c r="BJ597" s="149"/>
      <c r="BK597" s="149"/>
      <c r="BL597" s="149"/>
      <c r="BM597" s="149"/>
      <c r="BN597" s="149"/>
      <c r="BO597" s="149"/>
      <c r="BP597" s="149"/>
      <c r="BQ597" s="149"/>
      <c r="BR597" s="149"/>
    </row>
    <row r="598" ht="34" customHeight="1" spans="1:70">
      <c r="A598" s="208">
        <v>604</v>
      </c>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149"/>
      <c r="AD598" s="149"/>
      <c r="AE598" s="149"/>
      <c r="AF598" s="149"/>
      <c r="AG598" s="149"/>
      <c r="AH598" s="149"/>
      <c r="AI598" s="149"/>
      <c r="AJ598" s="149"/>
      <c r="AK598" s="149"/>
      <c r="AL598" s="149"/>
      <c r="AM598" s="149"/>
      <c r="AN598" s="149"/>
      <c r="AO598" s="149"/>
      <c r="AP598" s="149"/>
      <c r="AR598" s="149"/>
      <c r="AS598" s="149"/>
      <c r="AT598" s="149"/>
      <c r="AU598" s="149"/>
      <c r="AV598" s="149"/>
      <c r="AW598" s="149"/>
      <c r="AX598" s="149"/>
      <c r="AY598" s="149"/>
      <c r="AZ598" s="149"/>
      <c r="BA598" s="149"/>
      <c r="BB598" s="149"/>
      <c r="BC598" s="149"/>
      <c r="BD598" s="149"/>
      <c r="BE598" s="149"/>
      <c r="BF598" s="149"/>
      <c r="BG598" s="149"/>
      <c r="BH598" s="149"/>
      <c r="BI598" s="149"/>
      <c r="BJ598" s="149"/>
      <c r="BK598" s="149"/>
      <c r="BL598" s="149"/>
      <c r="BM598" s="149"/>
      <c r="BN598" s="149"/>
      <c r="BO598" s="149"/>
      <c r="BP598" s="149"/>
      <c r="BQ598" s="149"/>
      <c r="BR598" s="149"/>
    </row>
    <row r="599" ht="34" customHeight="1" spans="1:70">
      <c r="A599" s="208">
        <v>605</v>
      </c>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149"/>
      <c r="AD599" s="149"/>
      <c r="AE599" s="149"/>
      <c r="AF599" s="149"/>
      <c r="AG599" s="149"/>
      <c r="AH599" s="149"/>
      <c r="AI599" s="149"/>
      <c r="AJ599" s="149"/>
      <c r="AK599" s="149"/>
      <c r="AL599" s="149"/>
      <c r="AM599" s="149"/>
      <c r="AN599" s="149"/>
      <c r="AO599" s="149"/>
      <c r="AP599" s="149"/>
      <c r="AR599" s="149"/>
      <c r="AS599" s="149"/>
      <c r="AT599" s="149"/>
      <c r="AU599" s="149"/>
      <c r="AV599" s="149"/>
      <c r="AW599" s="149"/>
      <c r="AX599" s="149"/>
      <c r="AY599" s="149"/>
      <c r="AZ599" s="149"/>
      <c r="BA599" s="149"/>
      <c r="BB599" s="149"/>
      <c r="BC599" s="149"/>
      <c r="BD599" s="149"/>
      <c r="BE599" s="149"/>
      <c r="BF599" s="149"/>
      <c r="BG599" s="149"/>
      <c r="BH599" s="149"/>
      <c r="BI599" s="149"/>
      <c r="BJ599" s="149"/>
      <c r="BK599" s="149"/>
      <c r="BL599" s="149"/>
      <c r="BM599" s="149"/>
      <c r="BN599" s="149"/>
      <c r="BO599" s="149"/>
      <c r="BP599" s="149"/>
      <c r="BQ599" s="149"/>
      <c r="BR599" s="149"/>
    </row>
    <row r="600" ht="34" customHeight="1" spans="1:70">
      <c r="A600" s="208">
        <v>606</v>
      </c>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149"/>
      <c r="AD600" s="149"/>
      <c r="AE600" s="149"/>
      <c r="AF600" s="149"/>
      <c r="AG600" s="149"/>
      <c r="AH600" s="149"/>
      <c r="AI600" s="149"/>
      <c r="AJ600" s="149"/>
      <c r="AK600" s="149"/>
      <c r="AL600" s="149"/>
      <c r="AM600" s="149"/>
      <c r="AN600" s="149"/>
      <c r="AO600" s="149"/>
      <c r="AP600" s="149"/>
      <c r="AR600" s="149"/>
      <c r="AS600" s="149"/>
      <c r="AT600" s="149"/>
      <c r="AU600" s="149"/>
      <c r="AV600" s="149"/>
      <c r="AW600" s="149"/>
      <c r="AX600" s="149"/>
      <c r="AY600" s="149"/>
      <c r="AZ600" s="149"/>
      <c r="BA600" s="149"/>
      <c r="BB600" s="149"/>
      <c r="BC600" s="149"/>
      <c r="BD600" s="149"/>
      <c r="BE600" s="149"/>
      <c r="BF600" s="149"/>
      <c r="BG600" s="149"/>
      <c r="BH600" s="149"/>
      <c r="BI600" s="149"/>
      <c r="BJ600" s="149"/>
      <c r="BK600" s="149"/>
      <c r="BL600" s="149"/>
      <c r="BM600" s="149"/>
      <c r="BN600" s="149"/>
      <c r="BO600" s="149"/>
      <c r="BP600" s="149"/>
      <c r="BQ600" s="149"/>
      <c r="BR600" s="149"/>
    </row>
    <row r="601" ht="34" customHeight="1" spans="1:70">
      <c r="A601" s="208">
        <v>607</v>
      </c>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149"/>
      <c r="AD601" s="149"/>
      <c r="AE601" s="149"/>
      <c r="AF601" s="149"/>
      <c r="AG601" s="149"/>
      <c r="AH601" s="149"/>
      <c r="AI601" s="149"/>
      <c r="AJ601" s="149"/>
      <c r="AK601" s="149"/>
      <c r="AL601" s="149"/>
      <c r="AM601" s="149"/>
      <c r="AN601" s="149"/>
      <c r="AO601" s="149"/>
      <c r="AP601" s="149"/>
      <c r="AR601" s="149"/>
      <c r="AS601" s="149"/>
      <c r="AT601" s="149"/>
      <c r="AU601" s="149"/>
      <c r="AV601" s="149"/>
      <c r="AW601" s="149"/>
      <c r="AX601" s="149"/>
      <c r="AY601" s="149"/>
      <c r="AZ601" s="149"/>
      <c r="BA601" s="149"/>
      <c r="BB601" s="149"/>
      <c r="BC601" s="149"/>
      <c r="BD601" s="149"/>
      <c r="BE601" s="149"/>
      <c r="BF601" s="149"/>
      <c r="BG601" s="149"/>
      <c r="BH601" s="149"/>
      <c r="BI601" s="149"/>
      <c r="BJ601" s="149"/>
      <c r="BK601" s="149"/>
      <c r="BL601" s="149"/>
      <c r="BM601" s="149"/>
      <c r="BN601" s="149"/>
      <c r="BO601" s="149"/>
      <c r="BP601" s="149"/>
      <c r="BQ601" s="149"/>
      <c r="BR601" s="149"/>
    </row>
    <row r="602" ht="34" customHeight="1" spans="1:70">
      <c r="A602" s="208">
        <v>608</v>
      </c>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149"/>
      <c r="AD602" s="149"/>
      <c r="AE602" s="149"/>
      <c r="AF602" s="149"/>
      <c r="AG602" s="149"/>
      <c r="AH602" s="149"/>
      <c r="AI602" s="149"/>
      <c r="AJ602" s="149"/>
      <c r="AK602" s="149"/>
      <c r="AL602" s="149"/>
      <c r="AM602" s="149"/>
      <c r="AN602" s="149"/>
      <c r="AO602" s="149"/>
      <c r="AP602" s="149"/>
      <c r="AR602" s="149"/>
      <c r="AS602" s="149"/>
      <c r="AT602" s="149"/>
      <c r="AU602" s="149"/>
      <c r="AV602" s="149"/>
      <c r="AW602" s="149"/>
      <c r="AX602" s="149"/>
      <c r="AY602" s="149"/>
      <c r="AZ602" s="149"/>
      <c r="BA602" s="149"/>
      <c r="BB602" s="149"/>
      <c r="BC602" s="149"/>
      <c r="BD602" s="149"/>
      <c r="BE602" s="149"/>
      <c r="BF602" s="149"/>
      <c r="BG602" s="149"/>
      <c r="BH602" s="149"/>
      <c r="BI602" s="149"/>
      <c r="BJ602" s="149"/>
      <c r="BK602" s="149"/>
      <c r="BL602" s="149"/>
      <c r="BM602" s="149"/>
      <c r="BN602" s="149"/>
      <c r="BO602" s="149"/>
      <c r="BP602" s="149"/>
      <c r="BQ602" s="149"/>
      <c r="BR602" s="149"/>
    </row>
    <row r="603" ht="34" customHeight="1" spans="1:70">
      <c r="A603" s="208">
        <v>609</v>
      </c>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149"/>
      <c r="AD603" s="149"/>
      <c r="AE603" s="149"/>
      <c r="AF603" s="149"/>
      <c r="AG603" s="149"/>
      <c r="AH603" s="149"/>
      <c r="AI603" s="149"/>
      <c r="AJ603" s="149"/>
      <c r="AK603" s="149"/>
      <c r="AL603" s="149"/>
      <c r="AM603" s="149"/>
      <c r="AN603" s="149"/>
      <c r="AO603" s="149"/>
      <c r="AP603" s="149"/>
      <c r="AR603" s="149"/>
      <c r="AS603" s="149"/>
      <c r="AT603" s="149"/>
      <c r="AU603" s="149"/>
      <c r="AV603" s="149"/>
      <c r="AW603" s="149"/>
      <c r="AX603" s="149"/>
      <c r="AY603" s="149"/>
      <c r="AZ603" s="149"/>
      <c r="BA603" s="149"/>
      <c r="BB603" s="149"/>
      <c r="BC603" s="149"/>
      <c r="BD603" s="149"/>
      <c r="BE603" s="149"/>
      <c r="BF603" s="149"/>
      <c r="BG603" s="149"/>
      <c r="BH603" s="149"/>
      <c r="BI603" s="149"/>
      <c r="BJ603" s="149"/>
      <c r="BK603" s="149"/>
      <c r="BL603" s="149"/>
      <c r="BM603" s="149"/>
      <c r="BN603" s="149"/>
      <c r="BO603" s="149"/>
      <c r="BP603" s="149"/>
      <c r="BQ603" s="149"/>
      <c r="BR603" s="149"/>
    </row>
    <row r="604" ht="34" customHeight="1" spans="1:70">
      <c r="A604" s="208">
        <v>610</v>
      </c>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149"/>
      <c r="AD604" s="149"/>
      <c r="AE604" s="149"/>
      <c r="AF604" s="149"/>
      <c r="AG604" s="149"/>
      <c r="AH604" s="149"/>
      <c r="AI604" s="149"/>
      <c r="AJ604" s="149"/>
      <c r="AK604" s="149"/>
      <c r="AL604" s="149"/>
      <c r="AM604" s="149"/>
      <c r="AN604" s="149"/>
      <c r="AO604" s="149"/>
      <c r="AP604" s="149"/>
      <c r="AR604" s="149"/>
      <c r="AS604" s="149"/>
      <c r="AT604" s="149"/>
      <c r="AU604" s="149"/>
      <c r="AV604" s="149"/>
      <c r="AW604" s="149"/>
      <c r="AX604" s="149"/>
      <c r="AY604" s="149"/>
      <c r="AZ604" s="149"/>
      <c r="BA604" s="149"/>
      <c r="BB604" s="149"/>
      <c r="BC604" s="149"/>
      <c r="BD604" s="149"/>
      <c r="BE604" s="149"/>
      <c r="BF604" s="149"/>
      <c r="BG604" s="149"/>
      <c r="BH604" s="149"/>
      <c r="BI604" s="149"/>
      <c r="BJ604" s="149"/>
      <c r="BK604" s="149"/>
      <c r="BL604" s="149"/>
      <c r="BM604" s="149"/>
      <c r="BN604" s="149"/>
      <c r="BO604" s="149"/>
      <c r="BP604" s="149"/>
      <c r="BQ604" s="149"/>
      <c r="BR604" s="149"/>
    </row>
    <row r="605" ht="34" customHeight="1" spans="1:70">
      <c r="A605" s="208">
        <v>611</v>
      </c>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149"/>
      <c r="AD605" s="149"/>
      <c r="AE605" s="149"/>
      <c r="AF605" s="149"/>
      <c r="AG605" s="149"/>
      <c r="AH605" s="149"/>
      <c r="AI605" s="149"/>
      <c r="AJ605" s="149"/>
      <c r="AK605" s="149"/>
      <c r="AL605" s="149"/>
      <c r="AM605" s="149"/>
      <c r="AN605" s="149"/>
      <c r="AO605" s="149"/>
      <c r="AP605" s="149"/>
      <c r="AR605" s="149"/>
      <c r="AS605" s="149"/>
      <c r="AT605" s="149"/>
      <c r="AU605" s="149"/>
      <c r="AV605" s="149"/>
      <c r="AW605" s="149"/>
      <c r="AX605" s="149"/>
      <c r="AY605" s="149"/>
      <c r="AZ605" s="149"/>
      <c r="BA605" s="149"/>
      <c r="BB605" s="149"/>
      <c r="BC605" s="149"/>
      <c r="BD605" s="149"/>
      <c r="BE605" s="149"/>
      <c r="BF605" s="149"/>
      <c r="BG605" s="149"/>
      <c r="BH605" s="149"/>
      <c r="BI605" s="149"/>
      <c r="BJ605" s="149"/>
      <c r="BK605" s="149"/>
      <c r="BL605" s="149"/>
      <c r="BM605" s="149"/>
      <c r="BN605" s="149"/>
      <c r="BO605" s="149"/>
      <c r="BP605" s="149"/>
      <c r="BQ605" s="149"/>
      <c r="BR605" s="149"/>
    </row>
    <row r="606" ht="34" customHeight="1" spans="1:70">
      <c r="A606" s="208">
        <v>612</v>
      </c>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149"/>
      <c r="AD606" s="149"/>
      <c r="AE606" s="149"/>
      <c r="AF606" s="149"/>
      <c r="AG606" s="149"/>
      <c r="AH606" s="149"/>
      <c r="AI606" s="149"/>
      <c r="AJ606" s="149"/>
      <c r="AK606" s="149"/>
      <c r="AL606" s="149"/>
      <c r="AM606" s="149"/>
      <c r="AN606" s="149"/>
      <c r="AO606" s="149"/>
      <c r="AP606" s="149"/>
      <c r="AR606" s="149"/>
      <c r="AS606" s="149"/>
      <c r="AT606" s="149"/>
      <c r="AU606" s="149"/>
      <c r="AV606" s="149"/>
      <c r="AW606" s="149"/>
      <c r="AX606" s="149"/>
      <c r="AY606" s="149"/>
      <c r="AZ606" s="149"/>
      <c r="BA606" s="149"/>
      <c r="BB606" s="149"/>
      <c r="BC606" s="149"/>
      <c r="BD606" s="149"/>
      <c r="BE606" s="149"/>
      <c r="BF606" s="149"/>
      <c r="BG606" s="149"/>
      <c r="BH606" s="149"/>
      <c r="BI606" s="149"/>
      <c r="BJ606" s="149"/>
      <c r="BK606" s="149"/>
      <c r="BL606" s="149"/>
      <c r="BM606" s="149"/>
      <c r="BN606" s="149"/>
      <c r="BO606" s="149"/>
      <c r="BP606" s="149"/>
      <c r="BQ606" s="149"/>
      <c r="BR606" s="149"/>
    </row>
    <row r="607" ht="34" customHeight="1" spans="1:70">
      <c r="A607" s="208">
        <v>613</v>
      </c>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149"/>
      <c r="AD607" s="149"/>
      <c r="AE607" s="149"/>
      <c r="AF607" s="149"/>
      <c r="AG607" s="149"/>
      <c r="AH607" s="149"/>
      <c r="AI607" s="149"/>
      <c r="AJ607" s="149"/>
      <c r="AK607" s="149"/>
      <c r="AL607" s="149"/>
      <c r="AM607" s="149"/>
      <c r="AN607" s="149"/>
      <c r="AO607" s="149"/>
      <c r="AP607" s="149"/>
      <c r="AR607" s="149"/>
      <c r="AS607" s="149"/>
      <c r="AT607" s="149"/>
      <c r="AU607" s="149"/>
      <c r="AV607" s="149"/>
      <c r="AW607" s="149"/>
      <c r="AX607" s="149"/>
      <c r="AY607" s="149"/>
      <c r="AZ607" s="149"/>
      <c r="BA607" s="149"/>
      <c r="BB607" s="149"/>
      <c r="BC607" s="149"/>
      <c r="BD607" s="149"/>
      <c r="BE607" s="149"/>
      <c r="BF607" s="149"/>
      <c r="BG607" s="149"/>
      <c r="BH607" s="149"/>
      <c r="BI607" s="149"/>
      <c r="BJ607" s="149"/>
      <c r="BK607" s="149"/>
      <c r="BL607" s="149"/>
      <c r="BM607" s="149"/>
      <c r="BN607" s="149"/>
      <c r="BO607" s="149"/>
      <c r="BP607" s="149"/>
      <c r="BQ607" s="149"/>
      <c r="BR607" s="149"/>
    </row>
    <row r="608" ht="34" customHeight="1" spans="1:70">
      <c r="A608" s="208">
        <v>614</v>
      </c>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149"/>
      <c r="AD608" s="149"/>
      <c r="AE608" s="149"/>
      <c r="AF608" s="149"/>
      <c r="AG608" s="149"/>
      <c r="AH608" s="149"/>
      <c r="AI608" s="149"/>
      <c r="AJ608" s="149"/>
      <c r="AK608" s="149"/>
      <c r="AL608" s="149"/>
      <c r="AM608" s="149"/>
      <c r="AN608" s="149"/>
      <c r="AO608" s="149"/>
      <c r="AP608" s="149"/>
      <c r="AR608" s="149"/>
      <c r="AS608" s="149"/>
      <c r="AT608" s="149"/>
      <c r="AU608" s="149"/>
      <c r="AV608" s="149"/>
      <c r="AW608" s="149"/>
      <c r="AX608" s="149"/>
      <c r="AY608" s="149"/>
      <c r="AZ608" s="149"/>
      <c r="BA608" s="149"/>
      <c r="BB608" s="149"/>
      <c r="BC608" s="149"/>
      <c r="BD608" s="149"/>
      <c r="BE608" s="149"/>
      <c r="BF608" s="149"/>
      <c r="BG608" s="149"/>
      <c r="BH608" s="149"/>
      <c r="BI608" s="149"/>
      <c r="BJ608" s="149"/>
      <c r="BK608" s="149"/>
      <c r="BL608" s="149"/>
      <c r="BM608" s="149"/>
      <c r="BN608" s="149"/>
      <c r="BO608" s="149"/>
      <c r="BP608" s="149"/>
      <c r="BQ608" s="149"/>
      <c r="BR608" s="149"/>
    </row>
    <row r="609" ht="34" customHeight="1" spans="1:70">
      <c r="A609" s="208">
        <v>615</v>
      </c>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149"/>
      <c r="AD609" s="149"/>
      <c r="AE609" s="149"/>
      <c r="AF609" s="149"/>
      <c r="AG609" s="149"/>
      <c r="AH609" s="149"/>
      <c r="AI609" s="149"/>
      <c r="AJ609" s="149"/>
      <c r="AK609" s="149"/>
      <c r="AL609" s="149"/>
      <c r="AM609" s="149"/>
      <c r="AN609" s="149"/>
      <c r="AO609" s="149"/>
      <c r="AP609" s="149"/>
      <c r="AR609" s="149"/>
      <c r="AS609" s="149"/>
      <c r="AT609" s="149"/>
      <c r="AU609" s="149"/>
      <c r="AV609" s="149"/>
      <c r="AW609" s="149"/>
      <c r="AX609" s="149"/>
      <c r="AY609" s="149"/>
      <c r="AZ609" s="149"/>
      <c r="BA609" s="149"/>
      <c r="BB609" s="149"/>
      <c r="BC609" s="149"/>
      <c r="BD609" s="149"/>
      <c r="BE609" s="149"/>
      <c r="BF609" s="149"/>
      <c r="BG609" s="149"/>
      <c r="BH609" s="149"/>
      <c r="BI609" s="149"/>
      <c r="BJ609" s="149"/>
      <c r="BK609" s="149"/>
      <c r="BL609" s="149"/>
      <c r="BM609" s="149"/>
      <c r="BN609" s="149"/>
      <c r="BO609" s="149"/>
      <c r="BP609" s="149"/>
      <c r="BQ609" s="149"/>
      <c r="BR609" s="149"/>
    </row>
    <row r="610" ht="34" customHeight="1" spans="1:70">
      <c r="A610" s="208">
        <v>616</v>
      </c>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149"/>
      <c r="AD610" s="149"/>
      <c r="AE610" s="149"/>
      <c r="AF610" s="149"/>
      <c r="AG610" s="149"/>
      <c r="AH610" s="149"/>
      <c r="AI610" s="149"/>
      <c r="AJ610" s="149"/>
      <c r="AK610" s="149"/>
      <c r="AL610" s="149"/>
      <c r="AM610" s="149"/>
      <c r="AN610" s="149"/>
      <c r="AO610" s="149"/>
      <c r="AP610" s="149"/>
      <c r="AR610" s="149"/>
      <c r="AS610" s="149"/>
      <c r="AT610" s="149"/>
      <c r="AU610" s="149"/>
      <c r="AV610" s="149"/>
      <c r="AW610" s="149"/>
      <c r="AX610" s="149"/>
      <c r="AY610" s="149"/>
      <c r="AZ610" s="149"/>
      <c r="BA610" s="149"/>
      <c r="BB610" s="149"/>
      <c r="BC610" s="149"/>
      <c r="BD610" s="149"/>
      <c r="BE610" s="149"/>
      <c r="BF610" s="149"/>
      <c r="BG610" s="149"/>
      <c r="BH610" s="149"/>
      <c r="BI610" s="149"/>
      <c r="BJ610" s="149"/>
      <c r="BK610" s="149"/>
      <c r="BL610" s="149"/>
      <c r="BM610" s="149"/>
      <c r="BN610" s="149"/>
      <c r="BO610" s="149"/>
      <c r="BP610" s="149"/>
      <c r="BQ610" s="149"/>
      <c r="BR610" s="149"/>
    </row>
    <row r="611" ht="34" customHeight="1" spans="1:70">
      <c r="A611" s="208">
        <v>617</v>
      </c>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ht="34" customHeight="1" spans="1:70">
      <c r="A612" s="208">
        <v>618</v>
      </c>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149"/>
      <c r="AD612" s="149"/>
      <c r="AE612" s="149"/>
      <c r="AF612" s="149"/>
      <c r="AG612" s="149"/>
      <c r="AH612" s="149"/>
      <c r="AI612" s="149"/>
      <c r="AJ612" s="149"/>
      <c r="AK612" s="149"/>
      <c r="AL612" s="149"/>
      <c r="AM612" s="149"/>
      <c r="AN612" s="149"/>
      <c r="AO612" s="149"/>
      <c r="AP612" s="149"/>
      <c r="AR612" s="149"/>
      <c r="AS612" s="149"/>
      <c r="AT612" s="149"/>
      <c r="AU612" s="149"/>
      <c r="AV612" s="149"/>
      <c r="AW612" s="149"/>
      <c r="AX612" s="149"/>
      <c r="AY612" s="149"/>
      <c r="AZ612" s="149"/>
      <c r="BA612" s="149"/>
      <c r="BB612" s="149"/>
      <c r="BC612" s="149"/>
      <c r="BD612" s="149"/>
      <c r="BE612" s="149"/>
      <c r="BF612" s="149"/>
      <c r="BG612" s="149"/>
      <c r="BH612" s="149"/>
      <c r="BI612" s="149"/>
      <c r="BJ612" s="149"/>
      <c r="BK612" s="149"/>
      <c r="BL612" s="149"/>
      <c r="BM612" s="149"/>
      <c r="BN612" s="149"/>
      <c r="BO612" s="149"/>
      <c r="BP612" s="149"/>
      <c r="BQ612" s="149"/>
      <c r="BR612" s="149"/>
    </row>
    <row r="613" ht="34" customHeight="1" spans="1:70">
      <c r="A613" s="208">
        <v>619</v>
      </c>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149"/>
      <c r="AD613" s="149"/>
      <c r="AE613" s="149"/>
      <c r="AF613" s="149"/>
      <c r="AG613" s="149"/>
      <c r="AH613" s="149"/>
      <c r="AI613" s="149"/>
      <c r="AJ613" s="149"/>
      <c r="AK613" s="149"/>
      <c r="AL613" s="149"/>
      <c r="AM613" s="149"/>
      <c r="AN613" s="149"/>
      <c r="AO613" s="149"/>
      <c r="AP613" s="149"/>
      <c r="AR613" s="149"/>
      <c r="AS613" s="149"/>
      <c r="AT613" s="149"/>
      <c r="AU613" s="149"/>
      <c r="AV613" s="149"/>
      <c r="AW613" s="149"/>
      <c r="AX613" s="149"/>
      <c r="AY613" s="149"/>
      <c r="AZ613" s="149"/>
      <c r="BA613" s="149"/>
      <c r="BB613" s="149"/>
      <c r="BC613" s="149"/>
      <c r="BD613" s="149"/>
      <c r="BE613" s="149"/>
      <c r="BF613" s="149"/>
      <c r="BG613" s="149"/>
      <c r="BH613" s="149"/>
      <c r="BI613" s="149"/>
      <c r="BJ613" s="149"/>
      <c r="BK613" s="149"/>
      <c r="BL613" s="149"/>
      <c r="BM613" s="149"/>
      <c r="BN613" s="149"/>
      <c r="BO613" s="149"/>
      <c r="BP613" s="149"/>
      <c r="BQ613" s="149"/>
      <c r="BR613" s="149"/>
    </row>
    <row r="614" ht="34" customHeight="1" spans="1:70">
      <c r="A614" s="208">
        <v>620</v>
      </c>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149"/>
      <c r="AD614" s="149"/>
      <c r="AE614" s="149"/>
      <c r="AF614" s="149"/>
      <c r="AG614" s="149"/>
      <c r="AH614" s="149"/>
      <c r="AI614" s="149"/>
      <c r="AJ614" s="149"/>
      <c r="AK614" s="149"/>
      <c r="AL614" s="149"/>
      <c r="AM614" s="149"/>
      <c r="AN614" s="149"/>
      <c r="AO614" s="149"/>
      <c r="AP614" s="149"/>
      <c r="AR614" s="149"/>
      <c r="AS614" s="149"/>
      <c r="AT614" s="149"/>
      <c r="AU614" s="149"/>
      <c r="AV614" s="149"/>
      <c r="AW614" s="149"/>
      <c r="AX614" s="149"/>
      <c r="AY614" s="149"/>
      <c r="AZ614" s="149"/>
      <c r="BA614" s="149"/>
      <c r="BB614" s="149"/>
      <c r="BC614" s="149"/>
      <c r="BD614" s="149"/>
      <c r="BE614" s="149"/>
      <c r="BF614" s="149"/>
      <c r="BG614" s="149"/>
      <c r="BH614" s="149"/>
      <c r="BI614" s="149"/>
      <c r="BJ614" s="149"/>
      <c r="BK614" s="149"/>
      <c r="BL614" s="149"/>
      <c r="BM614" s="149"/>
      <c r="BN614" s="149"/>
      <c r="BO614" s="149"/>
      <c r="BP614" s="149"/>
      <c r="BQ614" s="149"/>
      <c r="BR614" s="149"/>
    </row>
    <row r="615" ht="34" customHeight="1" spans="1:70">
      <c r="A615" s="208">
        <v>621</v>
      </c>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149"/>
      <c r="AD615" s="149"/>
      <c r="AE615" s="149"/>
      <c r="AF615" s="149"/>
      <c r="AG615" s="149"/>
      <c r="AH615" s="149"/>
      <c r="AI615" s="149"/>
      <c r="AJ615" s="149"/>
      <c r="AK615" s="149"/>
      <c r="AL615" s="149"/>
      <c r="AM615" s="149"/>
      <c r="AN615" s="149"/>
      <c r="AO615" s="149"/>
      <c r="AP615" s="149"/>
      <c r="AR615" s="149"/>
      <c r="AS615" s="149"/>
      <c r="AT615" s="149"/>
      <c r="AU615" s="149"/>
      <c r="AV615" s="149"/>
      <c r="AW615" s="149"/>
      <c r="AX615" s="149"/>
      <c r="AY615" s="149"/>
      <c r="AZ615" s="149"/>
      <c r="BA615" s="149"/>
      <c r="BB615" s="149"/>
      <c r="BC615" s="149"/>
      <c r="BD615" s="149"/>
      <c r="BE615" s="149"/>
      <c r="BF615" s="149"/>
      <c r="BG615" s="149"/>
      <c r="BH615" s="149"/>
      <c r="BI615" s="149"/>
      <c r="BJ615" s="149"/>
      <c r="BK615" s="149"/>
      <c r="BL615" s="149"/>
      <c r="BM615" s="149"/>
      <c r="BN615" s="149"/>
      <c r="BO615" s="149"/>
      <c r="BP615" s="149"/>
      <c r="BQ615" s="149"/>
      <c r="BR615" s="149"/>
    </row>
    <row r="616" ht="34" customHeight="1" spans="1:70">
      <c r="A616" s="208">
        <v>622</v>
      </c>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149"/>
      <c r="AD616" s="149"/>
      <c r="AE616" s="149"/>
      <c r="AF616" s="149"/>
      <c r="AG616" s="149"/>
      <c r="AH616" s="149"/>
      <c r="AI616" s="149"/>
      <c r="AJ616" s="149"/>
      <c r="AK616" s="149"/>
      <c r="AL616" s="149"/>
      <c r="AM616" s="149"/>
      <c r="AN616" s="149"/>
      <c r="AO616" s="149"/>
      <c r="AP616" s="149"/>
      <c r="AR616" s="149"/>
      <c r="AS616" s="149"/>
      <c r="AT616" s="149"/>
      <c r="AU616" s="149"/>
      <c r="AV616" s="149"/>
      <c r="AW616" s="149"/>
      <c r="AX616" s="149"/>
      <c r="AY616" s="149"/>
      <c r="AZ616" s="149"/>
      <c r="BA616" s="149"/>
      <c r="BB616" s="149"/>
      <c r="BC616" s="149"/>
      <c r="BD616" s="149"/>
      <c r="BE616" s="149"/>
      <c r="BF616" s="149"/>
      <c r="BG616" s="149"/>
      <c r="BH616" s="149"/>
      <c r="BI616" s="149"/>
      <c r="BJ616" s="149"/>
      <c r="BK616" s="149"/>
      <c r="BL616" s="149"/>
      <c r="BM616" s="149"/>
      <c r="BN616" s="149"/>
      <c r="BO616" s="149"/>
      <c r="BP616" s="149"/>
      <c r="BQ616" s="149"/>
      <c r="BR616" s="149"/>
    </row>
    <row r="617" ht="34" customHeight="1" spans="1:70">
      <c r="A617" s="208">
        <v>623</v>
      </c>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149"/>
      <c r="AD617" s="149"/>
      <c r="AE617" s="149"/>
      <c r="AF617" s="149"/>
      <c r="AG617" s="149"/>
      <c r="AH617" s="149"/>
      <c r="AI617" s="149"/>
      <c r="AJ617" s="149"/>
      <c r="AK617" s="149"/>
      <c r="AL617" s="149"/>
      <c r="AM617" s="149"/>
      <c r="AN617" s="149"/>
      <c r="AO617" s="149"/>
      <c r="AP617" s="149"/>
      <c r="AR617" s="149"/>
      <c r="AS617" s="149"/>
      <c r="AT617" s="149"/>
      <c r="AU617" s="149"/>
      <c r="AV617" s="149"/>
      <c r="AW617" s="149"/>
      <c r="AX617" s="149"/>
      <c r="AY617" s="149"/>
      <c r="AZ617" s="149"/>
      <c r="BA617" s="149"/>
      <c r="BB617" s="149"/>
      <c r="BC617" s="149"/>
      <c r="BD617" s="149"/>
      <c r="BE617" s="149"/>
      <c r="BF617" s="149"/>
      <c r="BG617" s="149"/>
      <c r="BH617" s="149"/>
      <c r="BI617" s="149"/>
      <c r="BJ617" s="149"/>
      <c r="BK617" s="149"/>
      <c r="BL617" s="149"/>
      <c r="BM617" s="149"/>
      <c r="BN617" s="149"/>
      <c r="BO617" s="149"/>
      <c r="BP617" s="149"/>
      <c r="BQ617" s="149"/>
      <c r="BR617" s="149"/>
    </row>
    <row r="618" ht="34" customHeight="1" spans="1:70">
      <c r="A618" s="208">
        <v>624</v>
      </c>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149"/>
      <c r="AD618" s="149"/>
      <c r="AE618" s="149"/>
      <c r="AF618" s="149"/>
      <c r="AG618" s="149"/>
      <c r="AH618" s="149"/>
      <c r="AI618" s="149"/>
      <c r="AJ618" s="149"/>
      <c r="AK618" s="149"/>
      <c r="AL618" s="149"/>
      <c r="AM618" s="149"/>
      <c r="AN618" s="149"/>
      <c r="AO618" s="149"/>
      <c r="AP618" s="149"/>
      <c r="AR618" s="149"/>
      <c r="AS618" s="149"/>
      <c r="AT618" s="149"/>
      <c r="AU618" s="149"/>
      <c r="AV618" s="149"/>
      <c r="AW618" s="149"/>
      <c r="AX618" s="149"/>
      <c r="AY618" s="149"/>
      <c r="AZ618" s="149"/>
      <c r="BA618" s="149"/>
      <c r="BB618" s="149"/>
      <c r="BC618" s="149"/>
      <c r="BD618" s="149"/>
      <c r="BE618" s="149"/>
      <c r="BF618" s="149"/>
      <c r="BG618" s="149"/>
      <c r="BH618" s="149"/>
      <c r="BI618" s="149"/>
      <c r="BJ618" s="149"/>
      <c r="BK618" s="149"/>
      <c r="BL618" s="149"/>
      <c r="BM618" s="149"/>
      <c r="BN618" s="149"/>
      <c r="BO618" s="149"/>
      <c r="BP618" s="149"/>
      <c r="BQ618" s="149"/>
      <c r="BR618" s="149"/>
    </row>
    <row r="619" ht="34" customHeight="1" spans="1:70">
      <c r="A619" s="208">
        <v>625</v>
      </c>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149"/>
      <c r="AD619" s="149"/>
      <c r="AE619" s="149"/>
      <c r="AF619" s="149"/>
      <c r="AG619" s="149"/>
      <c r="AH619" s="149"/>
      <c r="AI619" s="149"/>
      <c r="AJ619" s="149"/>
      <c r="AK619" s="149"/>
      <c r="AL619" s="149"/>
      <c r="AM619" s="149"/>
      <c r="AN619" s="149"/>
      <c r="AO619" s="149"/>
      <c r="AP619" s="149"/>
      <c r="AR619" s="149"/>
      <c r="AS619" s="149"/>
      <c r="AT619" s="149"/>
      <c r="AU619" s="149"/>
      <c r="AV619" s="149"/>
      <c r="AW619" s="149"/>
      <c r="AX619" s="149"/>
      <c r="AY619" s="149"/>
      <c r="AZ619" s="149"/>
      <c r="BA619" s="149"/>
      <c r="BB619" s="149"/>
      <c r="BC619" s="149"/>
      <c r="BD619" s="149"/>
      <c r="BE619" s="149"/>
      <c r="BF619" s="149"/>
      <c r="BG619" s="149"/>
      <c r="BH619" s="149"/>
      <c r="BI619" s="149"/>
      <c r="BJ619" s="149"/>
      <c r="BK619" s="149"/>
      <c r="BL619" s="149"/>
      <c r="BM619" s="149"/>
      <c r="BN619" s="149"/>
      <c r="BO619" s="149"/>
      <c r="BP619" s="149"/>
      <c r="BQ619" s="149"/>
      <c r="BR619" s="149"/>
    </row>
    <row r="620" ht="34" customHeight="1" spans="1:70">
      <c r="A620" s="208">
        <v>626</v>
      </c>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149"/>
      <c r="AD620" s="149"/>
      <c r="AE620" s="149"/>
      <c r="AF620" s="149"/>
      <c r="AG620" s="149"/>
      <c r="AH620" s="149"/>
      <c r="AI620" s="149"/>
      <c r="AJ620" s="149"/>
      <c r="AK620" s="149"/>
      <c r="AL620" s="149"/>
      <c r="AM620" s="149"/>
      <c r="AN620" s="149"/>
      <c r="AO620" s="149"/>
      <c r="AP620" s="149"/>
      <c r="AR620" s="149"/>
      <c r="AS620" s="149"/>
      <c r="AT620" s="149"/>
      <c r="AU620" s="149"/>
      <c r="AV620" s="149"/>
      <c r="AW620" s="149"/>
      <c r="AX620" s="149"/>
      <c r="AY620" s="149"/>
      <c r="AZ620" s="149"/>
      <c r="BA620" s="149"/>
      <c r="BB620" s="149"/>
      <c r="BC620" s="149"/>
      <c r="BD620" s="149"/>
      <c r="BE620" s="149"/>
      <c r="BF620" s="149"/>
      <c r="BG620" s="149"/>
      <c r="BH620" s="149"/>
      <c r="BI620" s="149"/>
      <c r="BJ620" s="149"/>
      <c r="BK620" s="149"/>
      <c r="BL620" s="149"/>
      <c r="BM620" s="149"/>
      <c r="BN620" s="149"/>
      <c r="BO620" s="149"/>
      <c r="BP620" s="149"/>
      <c r="BQ620" s="149"/>
      <c r="BR620" s="149"/>
    </row>
    <row r="621" ht="34" customHeight="1" spans="1:70">
      <c r="A621" s="208">
        <v>627</v>
      </c>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149"/>
      <c r="AD621" s="149"/>
      <c r="AE621" s="149"/>
      <c r="AF621" s="149"/>
      <c r="AG621" s="149"/>
      <c r="AH621" s="149"/>
      <c r="AI621" s="149"/>
      <c r="AJ621" s="149"/>
      <c r="AK621" s="149"/>
      <c r="AL621" s="149"/>
      <c r="AM621" s="149"/>
      <c r="AN621" s="149"/>
      <c r="AO621" s="149"/>
      <c r="AP621" s="149"/>
      <c r="AR621" s="149"/>
      <c r="AS621" s="149"/>
      <c r="AT621" s="149"/>
      <c r="AU621" s="149"/>
      <c r="AV621" s="149"/>
      <c r="AW621" s="149"/>
      <c r="AX621" s="149"/>
      <c r="AY621" s="149"/>
      <c r="AZ621" s="149"/>
      <c r="BA621" s="149"/>
      <c r="BB621" s="149"/>
      <c r="BC621" s="149"/>
      <c r="BD621" s="149"/>
      <c r="BE621" s="149"/>
      <c r="BF621" s="149"/>
      <c r="BG621" s="149"/>
      <c r="BH621" s="149"/>
      <c r="BI621" s="149"/>
      <c r="BJ621" s="149"/>
      <c r="BK621" s="149"/>
      <c r="BL621" s="149"/>
      <c r="BM621" s="149"/>
      <c r="BN621" s="149"/>
      <c r="BO621" s="149"/>
      <c r="BP621" s="149"/>
      <c r="BQ621" s="149"/>
      <c r="BR621" s="149"/>
    </row>
    <row r="622" ht="34" customHeight="1" spans="1:70">
      <c r="A622" s="208">
        <v>628</v>
      </c>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149"/>
      <c r="AD622" s="149"/>
      <c r="AE622" s="149"/>
      <c r="AF622" s="149"/>
      <c r="AG622" s="149"/>
      <c r="AH622" s="149"/>
      <c r="AI622" s="149"/>
      <c r="AJ622" s="149"/>
      <c r="AK622" s="149"/>
      <c r="AL622" s="149"/>
      <c r="AM622" s="149"/>
      <c r="AN622" s="149"/>
      <c r="AO622" s="149"/>
      <c r="AP622" s="149"/>
      <c r="AR622" s="149"/>
      <c r="AS622" s="149"/>
      <c r="AT622" s="149"/>
      <c r="AU622" s="149"/>
      <c r="AV622" s="149"/>
      <c r="AW622" s="149"/>
      <c r="AX622" s="149"/>
      <c r="AY622" s="149"/>
      <c r="AZ622" s="149"/>
      <c r="BA622" s="149"/>
      <c r="BB622" s="149"/>
      <c r="BC622" s="149"/>
      <c r="BD622" s="149"/>
      <c r="BE622" s="149"/>
      <c r="BF622" s="149"/>
      <c r="BG622" s="149"/>
      <c r="BH622" s="149"/>
      <c r="BI622" s="149"/>
      <c r="BJ622" s="149"/>
      <c r="BK622" s="149"/>
      <c r="BL622" s="149"/>
      <c r="BM622" s="149"/>
      <c r="BN622" s="149"/>
      <c r="BO622" s="149"/>
      <c r="BP622" s="149"/>
      <c r="BQ622" s="149"/>
      <c r="BR622" s="149"/>
    </row>
    <row r="623" ht="34" customHeight="1" spans="1:70">
      <c r="A623" s="208">
        <v>629</v>
      </c>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149"/>
      <c r="AD623" s="149"/>
      <c r="AE623" s="149"/>
      <c r="AF623" s="149"/>
      <c r="AG623" s="149"/>
      <c r="AH623" s="149"/>
      <c r="AI623" s="149"/>
      <c r="AJ623" s="149"/>
      <c r="AK623" s="149"/>
      <c r="AL623" s="149"/>
      <c r="AM623" s="149"/>
      <c r="AN623" s="149"/>
      <c r="AO623" s="149"/>
      <c r="AP623" s="149"/>
      <c r="AR623" s="149"/>
      <c r="AS623" s="149"/>
      <c r="AT623" s="149"/>
      <c r="AU623" s="149"/>
      <c r="AV623" s="149"/>
      <c r="AW623" s="149"/>
      <c r="AX623" s="149"/>
      <c r="AY623" s="149"/>
      <c r="AZ623" s="149"/>
      <c r="BA623" s="149"/>
      <c r="BB623" s="149"/>
      <c r="BC623" s="149"/>
      <c r="BD623" s="149"/>
      <c r="BE623" s="149"/>
      <c r="BF623" s="149"/>
      <c r="BG623" s="149"/>
      <c r="BH623" s="149"/>
      <c r="BI623" s="149"/>
      <c r="BJ623" s="149"/>
      <c r="BK623" s="149"/>
      <c r="BL623" s="149"/>
      <c r="BM623" s="149"/>
      <c r="BN623" s="149"/>
      <c r="BO623" s="149"/>
      <c r="BP623" s="149"/>
      <c r="BQ623" s="149"/>
      <c r="BR623" s="149"/>
    </row>
    <row r="624" ht="34" customHeight="1" spans="1:70">
      <c r="A624" s="208">
        <v>630</v>
      </c>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149"/>
      <c r="AD624" s="149"/>
      <c r="AE624" s="149"/>
      <c r="AF624" s="149"/>
      <c r="AG624" s="149"/>
      <c r="AH624" s="149"/>
      <c r="AI624" s="149"/>
      <c r="AJ624" s="149"/>
      <c r="AK624" s="149"/>
      <c r="AL624" s="149"/>
      <c r="AM624" s="149"/>
      <c r="AN624" s="149"/>
      <c r="AO624" s="149"/>
      <c r="AP624" s="149"/>
      <c r="AR624" s="149"/>
      <c r="AS624" s="149"/>
      <c r="AT624" s="149"/>
      <c r="AU624" s="149"/>
      <c r="AV624" s="149"/>
      <c r="AW624" s="149"/>
      <c r="AX624" s="149"/>
      <c r="AY624" s="149"/>
      <c r="AZ624" s="149"/>
      <c r="BA624" s="149"/>
      <c r="BB624" s="149"/>
      <c r="BC624" s="149"/>
      <c r="BD624" s="149"/>
      <c r="BE624" s="149"/>
      <c r="BF624" s="149"/>
      <c r="BG624" s="149"/>
      <c r="BH624" s="149"/>
      <c r="BI624" s="149"/>
      <c r="BJ624" s="149"/>
      <c r="BK624" s="149"/>
      <c r="BL624" s="149"/>
      <c r="BM624" s="149"/>
      <c r="BN624" s="149"/>
      <c r="BO624" s="149"/>
      <c r="BP624" s="149"/>
      <c r="BQ624" s="149"/>
      <c r="BR624" s="149"/>
    </row>
    <row r="625" ht="34" customHeight="1" spans="1:70">
      <c r="A625" s="208">
        <v>631</v>
      </c>
      <c r="B625" s="149"/>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149"/>
      <c r="Z625" s="149"/>
      <c r="AA625" s="149"/>
      <c r="AB625" s="149"/>
      <c r="AC625" s="149"/>
      <c r="AD625" s="149"/>
      <c r="AE625" s="149"/>
      <c r="AF625" s="149"/>
      <c r="AG625" s="149"/>
      <c r="AH625" s="149"/>
      <c r="AI625" s="149"/>
      <c r="AJ625" s="149"/>
      <c r="AK625" s="149"/>
      <c r="AL625" s="149"/>
      <c r="AM625" s="149"/>
      <c r="AN625" s="149"/>
      <c r="AO625" s="149"/>
      <c r="AP625" s="149"/>
      <c r="AR625" s="149"/>
      <c r="AS625" s="149"/>
      <c r="AT625" s="149"/>
      <c r="AU625" s="149"/>
      <c r="AV625" s="149"/>
      <c r="AW625" s="149"/>
      <c r="AX625" s="149"/>
      <c r="AY625" s="149"/>
      <c r="AZ625" s="149"/>
      <c r="BA625" s="149"/>
      <c r="BB625" s="149"/>
      <c r="BC625" s="149"/>
      <c r="BD625" s="149"/>
      <c r="BE625" s="149"/>
      <c r="BF625" s="149"/>
      <c r="BG625" s="149"/>
      <c r="BH625" s="149"/>
      <c r="BI625" s="149"/>
      <c r="BJ625" s="149"/>
      <c r="BK625" s="149"/>
      <c r="BL625" s="149"/>
      <c r="BM625" s="149"/>
      <c r="BN625" s="149"/>
      <c r="BO625" s="149"/>
      <c r="BP625" s="149"/>
      <c r="BQ625" s="149"/>
      <c r="BR625" s="149"/>
    </row>
    <row r="626" ht="34" customHeight="1" spans="1:70">
      <c r="A626" s="208">
        <v>632</v>
      </c>
      <c r="B626" s="149"/>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149"/>
      <c r="Z626" s="149"/>
      <c r="AA626" s="149"/>
      <c r="AB626" s="149"/>
      <c r="AC626" s="149"/>
      <c r="AD626" s="149"/>
      <c r="AE626" s="149"/>
      <c r="AF626" s="149"/>
      <c r="AG626" s="149"/>
      <c r="AH626" s="149"/>
      <c r="AI626" s="149"/>
      <c r="AJ626" s="149"/>
      <c r="AK626" s="149"/>
      <c r="AL626" s="149"/>
      <c r="AM626" s="149"/>
      <c r="AN626" s="149"/>
      <c r="AO626" s="149"/>
      <c r="AP626" s="149"/>
      <c r="AR626" s="149"/>
      <c r="AS626" s="149"/>
      <c r="AT626" s="149"/>
      <c r="AU626" s="149"/>
      <c r="AV626" s="149"/>
      <c r="AW626" s="149"/>
      <c r="AX626" s="149"/>
      <c r="AY626" s="149"/>
      <c r="AZ626" s="149"/>
      <c r="BA626" s="149"/>
      <c r="BB626" s="149"/>
      <c r="BC626" s="149"/>
      <c r="BD626" s="149"/>
      <c r="BE626" s="149"/>
      <c r="BF626" s="149"/>
      <c r="BG626" s="149"/>
      <c r="BH626" s="149"/>
      <c r="BI626" s="149"/>
      <c r="BJ626" s="149"/>
      <c r="BK626" s="149"/>
      <c r="BL626" s="149"/>
      <c r="BM626" s="149"/>
      <c r="BN626" s="149"/>
      <c r="BO626" s="149"/>
      <c r="BP626" s="149"/>
      <c r="BQ626" s="149"/>
      <c r="BR626" s="149"/>
    </row>
    <row r="627" ht="34" customHeight="1" spans="1:70">
      <c r="A627" s="208">
        <v>633</v>
      </c>
      <c r="B627" s="149"/>
      <c r="C627" s="149"/>
      <c r="D627" s="149"/>
      <c r="E627" s="149"/>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ht="34" customHeight="1" spans="1:70">
      <c r="A628" s="208">
        <v>634</v>
      </c>
      <c r="B628" s="149"/>
      <c r="C628" s="149"/>
      <c r="D628" s="149"/>
      <c r="E628" s="149"/>
      <c r="F628" s="149"/>
      <c r="G628" s="149"/>
      <c r="H628" s="149"/>
      <c r="I628" s="149"/>
      <c r="J628" s="149"/>
      <c r="K628" s="149"/>
      <c r="L628" s="149"/>
      <c r="M628" s="149"/>
      <c r="N628" s="149"/>
      <c r="O628" s="149"/>
      <c r="P628" s="149"/>
      <c r="Q628" s="149"/>
      <c r="R628" s="149"/>
      <c r="S628" s="149"/>
      <c r="T628" s="149"/>
      <c r="U628" s="149"/>
      <c r="V628" s="149"/>
      <c r="W628" s="149"/>
      <c r="X628" s="149"/>
      <c r="Y628" s="149"/>
      <c r="Z628" s="149"/>
      <c r="AA628" s="149"/>
      <c r="AB628" s="149"/>
      <c r="AC628" s="149"/>
      <c r="AD628" s="149"/>
      <c r="AE628" s="149"/>
      <c r="AF628" s="149"/>
      <c r="AG628" s="149"/>
      <c r="AH628" s="149"/>
      <c r="AI628" s="149"/>
      <c r="AJ628" s="149"/>
      <c r="AK628" s="149"/>
      <c r="AL628" s="149"/>
      <c r="AM628" s="149"/>
      <c r="AN628" s="149"/>
      <c r="AO628" s="149"/>
      <c r="AP628" s="149"/>
      <c r="AR628" s="149"/>
      <c r="AS628" s="149"/>
      <c r="AT628" s="149"/>
      <c r="AU628" s="149"/>
      <c r="AV628" s="149"/>
      <c r="AW628" s="149"/>
      <c r="AX628" s="149"/>
      <c r="AY628" s="149"/>
      <c r="AZ628" s="149"/>
      <c r="BA628" s="149"/>
      <c r="BB628" s="149"/>
      <c r="BC628" s="149"/>
      <c r="BD628" s="149"/>
      <c r="BE628" s="149"/>
      <c r="BF628" s="149"/>
      <c r="BG628" s="149"/>
      <c r="BH628" s="149"/>
      <c r="BI628" s="149"/>
      <c r="BJ628" s="149"/>
      <c r="BK628" s="149"/>
      <c r="BL628" s="149"/>
      <c r="BM628" s="149"/>
      <c r="BN628" s="149"/>
      <c r="BO628" s="149"/>
      <c r="BP628" s="149"/>
      <c r="BQ628" s="149"/>
      <c r="BR628" s="149"/>
    </row>
    <row r="629" ht="34" customHeight="1" spans="1:70">
      <c r="A629" s="208">
        <v>635</v>
      </c>
      <c r="B629" s="149"/>
      <c r="C629" s="149"/>
      <c r="D629" s="149"/>
      <c r="E629" s="149"/>
      <c r="F629" s="149"/>
      <c r="G629" s="149"/>
      <c r="H629" s="149"/>
      <c r="I629" s="149"/>
      <c r="J629" s="149"/>
      <c r="K629" s="149"/>
      <c r="L629" s="149"/>
      <c r="M629" s="149"/>
      <c r="N629" s="149"/>
      <c r="O629" s="149"/>
      <c r="P629" s="149"/>
      <c r="Q629" s="149"/>
      <c r="R629" s="149"/>
      <c r="S629" s="149"/>
      <c r="T629" s="149"/>
      <c r="U629" s="149"/>
      <c r="V629" s="149"/>
      <c r="W629" s="149"/>
      <c r="X629" s="149"/>
      <c r="Y629" s="149"/>
      <c r="Z629" s="149"/>
      <c r="AA629" s="149"/>
      <c r="AB629" s="149"/>
      <c r="AC629" s="149"/>
      <c r="AD629" s="149"/>
      <c r="AE629" s="149"/>
      <c r="AF629" s="149"/>
      <c r="AG629" s="149"/>
      <c r="AH629" s="149"/>
      <c r="AI629" s="149"/>
      <c r="AJ629" s="149"/>
      <c r="AK629" s="149"/>
      <c r="AL629" s="149"/>
      <c r="AM629" s="149"/>
      <c r="AN629" s="149"/>
      <c r="AO629" s="149"/>
      <c r="AP629" s="149"/>
      <c r="AR629" s="149"/>
      <c r="AS629" s="149"/>
      <c r="AT629" s="149"/>
      <c r="AU629" s="149"/>
      <c r="AV629" s="149"/>
      <c r="AW629" s="149"/>
      <c r="AX629" s="149"/>
      <c r="AY629" s="149"/>
      <c r="AZ629" s="149"/>
      <c r="BA629" s="149"/>
      <c r="BB629" s="149"/>
      <c r="BC629" s="149"/>
      <c r="BD629" s="149"/>
      <c r="BE629" s="149"/>
      <c r="BF629" s="149"/>
      <c r="BG629" s="149"/>
      <c r="BH629" s="149"/>
      <c r="BI629" s="149"/>
      <c r="BJ629" s="149"/>
      <c r="BK629" s="149"/>
      <c r="BL629" s="149"/>
      <c r="BM629" s="149"/>
      <c r="BN629" s="149"/>
      <c r="BO629" s="149"/>
      <c r="BP629" s="149"/>
      <c r="BQ629" s="149"/>
      <c r="BR629" s="149"/>
    </row>
    <row r="630" ht="34" customHeight="1" spans="1:70">
      <c r="A630" s="208">
        <v>636</v>
      </c>
      <c r="B630" s="149"/>
      <c r="C630" s="149"/>
      <c r="D630" s="149"/>
      <c r="E630" s="149"/>
      <c r="F630" s="149"/>
      <c r="G630" s="149"/>
      <c r="H630" s="149"/>
      <c r="I630" s="149"/>
      <c r="J630" s="149"/>
      <c r="K630" s="149"/>
      <c r="L630" s="149"/>
      <c r="M630" s="149"/>
      <c r="N630" s="149"/>
      <c r="O630" s="149"/>
      <c r="P630" s="149"/>
      <c r="Q630" s="149"/>
      <c r="R630" s="149"/>
      <c r="S630" s="149"/>
      <c r="T630" s="149"/>
      <c r="U630" s="149"/>
      <c r="V630" s="149"/>
      <c r="W630" s="149"/>
      <c r="X630" s="149"/>
      <c r="Y630" s="149"/>
      <c r="Z630" s="149"/>
      <c r="AA630" s="149"/>
      <c r="AB630" s="149"/>
      <c r="AC630" s="149"/>
      <c r="AD630" s="149"/>
      <c r="AE630" s="149"/>
      <c r="AF630" s="149"/>
      <c r="AG630" s="149"/>
      <c r="AH630" s="149"/>
      <c r="AI630" s="149"/>
      <c r="AJ630" s="149"/>
      <c r="AK630" s="149"/>
      <c r="AL630" s="149"/>
      <c r="AM630" s="149"/>
      <c r="AN630" s="149"/>
      <c r="AO630" s="149"/>
      <c r="AP630" s="149"/>
      <c r="AR630" s="149"/>
      <c r="AS630" s="149"/>
      <c r="AT630" s="149"/>
      <c r="AU630" s="149"/>
      <c r="AV630" s="149"/>
      <c r="AW630" s="149"/>
      <c r="AX630" s="149"/>
      <c r="AY630" s="149"/>
      <c r="AZ630" s="149"/>
      <c r="BA630" s="149"/>
      <c r="BB630" s="149"/>
      <c r="BC630" s="149"/>
      <c r="BD630" s="149"/>
      <c r="BE630" s="149"/>
      <c r="BF630" s="149"/>
      <c r="BG630" s="149"/>
      <c r="BH630" s="149"/>
      <c r="BI630" s="149"/>
      <c r="BJ630" s="149"/>
      <c r="BK630" s="149"/>
      <c r="BL630" s="149"/>
      <c r="BM630" s="149"/>
      <c r="BN630" s="149"/>
      <c r="BO630" s="149"/>
      <c r="BP630" s="149"/>
      <c r="BQ630" s="149"/>
      <c r="BR630" s="149"/>
    </row>
    <row r="631" ht="34" customHeight="1" spans="1:70">
      <c r="A631" s="208">
        <v>637</v>
      </c>
      <c r="B631" s="149"/>
      <c r="C631" s="149"/>
      <c r="D631" s="149"/>
      <c r="E631" s="149"/>
      <c r="F631" s="149"/>
      <c r="G631" s="149"/>
      <c r="H631" s="149"/>
      <c r="I631" s="149"/>
      <c r="J631" s="149"/>
      <c r="K631" s="149"/>
      <c r="L631" s="149"/>
      <c r="M631" s="149"/>
      <c r="N631" s="149"/>
      <c r="O631" s="149"/>
      <c r="P631" s="149"/>
      <c r="Q631" s="149"/>
      <c r="R631" s="149"/>
      <c r="S631" s="149"/>
      <c r="T631" s="149"/>
      <c r="U631" s="149"/>
      <c r="V631" s="149"/>
      <c r="W631" s="149"/>
      <c r="X631" s="149"/>
      <c r="Y631" s="149"/>
      <c r="Z631" s="149"/>
      <c r="AA631" s="149"/>
      <c r="AB631" s="149"/>
      <c r="AC631" s="149"/>
      <c r="AD631" s="149"/>
      <c r="AE631" s="149"/>
      <c r="AF631" s="149"/>
      <c r="AG631" s="149"/>
      <c r="AH631" s="149"/>
      <c r="AI631" s="149"/>
      <c r="AJ631" s="149"/>
      <c r="AK631" s="149"/>
      <c r="AL631" s="149"/>
      <c r="AM631" s="149"/>
      <c r="AN631" s="149"/>
      <c r="AO631" s="149"/>
      <c r="AP631" s="149"/>
      <c r="AR631" s="149"/>
      <c r="AS631" s="149"/>
      <c r="AT631" s="149"/>
      <c r="AU631" s="149"/>
      <c r="AV631" s="149"/>
      <c r="AW631" s="149"/>
      <c r="AX631" s="149"/>
      <c r="AY631" s="149"/>
      <c r="AZ631" s="149"/>
      <c r="BA631" s="149"/>
      <c r="BB631" s="149"/>
      <c r="BC631" s="149"/>
      <c r="BD631" s="149"/>
      <c r="BE631" s="149"/>
      <c r="BF631" s="149"/>
      <c r="BG631" s="149"/>
      <c r="BH631" s="149"/>
      <c r="BI631" s="149"/>
      <c r="BJ631" s="149"/>
      <c r="BK631" s="149"/>
      <c r="BL631" s="149"/>
      <c r="BM631" s="149"/>
      <c r="BN631" s="149"/>
      <c r="BO631" s="149"/>
      <c r="BP631" s="149"/>
      <c r="BQ631" s="149"/>
      <c r="BR631" s="149"/>
    </row>
    <row r="632" ht="34" customHeight="1" spans="1:70">
      <c r="A632" s="208">
        <v>638</v>
      </c>
      <c r="B632" s="149"/>
      <c r="C632" s="149"/>
      <c r="D632" s="149"/>
      <c r="E632" s="149"/>
      <c r="F632" s="149"/>
      <c r="G632" s="149"/>
      <c r="H632" s="149"/>
      <c r="I632" s="149"/>
      <c r="J632" s="149"/>
      <c r="K632" s="149"/>
      <c r="L632" s="149"/>
      <c r="M632" s="149"/>
      <c r="N632" s="149"/>
      <c r="O632" s="149"/>
      <c r="P632" s="149"/>
      <c r="Q632" s="149"/>
      <c r="R632" s="149"/>
      <c r="S632" s="149"/>
      <c r="T632" s="149"/>
      <c r="U632" s="149"/>
      <c r="V632" s="149"/>
      <c r="W632" s="149"/>
      <c r="X632" s="149"/>
      <c r="Y632" s="149"/>
      <c r="Z632" s="149"/>
      <c r="AA632" s="149"/>
      <c r="AB632" s="149"/>
      <c r="AC632" s="149"/>
      <c r="AD632" s="149"/>
      <c r="AE632" s="149"/>
      <c r="AF632" s="149"/>
      <c r="AG632" s="149"/>
      <c r="AH632" s="149"/>
      <c r="AI632" s="149"/>
      <c r="AJ632" s="149"/>
      <c r="AK632" s="149"/>
      <c r="AL632" s="149"/>
      <c r="AM632" s="149"/>
      <c r="AN632" s="149"/>
      <c r="AO632" s="149"/>
      <c r="AP632" s="149"/>
      <c r="AR632" s="149"/>
      <c r="AS632" s="149"/>
      <c r="AT632" s="149"/>
      <c r="AU632" s="149"/>
      <c r="AV632" s="149"/>
      <c r="AW632" s="149"/>
      <c r="AX632" s="149"/>
      <c r="AY632" s="149"/>
      <c r="AZ632" s="149"/>
      <c r="BA632" s="149"/>
      <c r="BB632" s="149"/>
      <c r="BC632" s="149"/>
      <c r="BD632" s="149"/>
      <c r="BE632" s="149"/>
      <c r="BF632" s="149"/>
      <c r="BG632" s="149"/>
      <c r="BH632" s="149"/>
      <c r="BI632" s="149"/>
      <c r="BJ632" s="149"/>
      <c r="BK632" s="149"/>
      <c r="BL632" s="149"/>
      <c r="BM632" s="149"/>
      <c r="BN632" s="149"/>
      <c r="BO632" s="149"/>
      <c r="BP632" s="149"/>
      <c r="BQ632" s="149"/>
      <c r="BR632" s="149"/>
    </row>
    <row r="633" ht="34" customHeight="1" spans="1:70">
      <c r="A633" s="208">
        <v>639</v>
      </c>
      <c r="B633" s="149"/>
      <c r="C633" s="149"/>
      <c r="D633" s="149"/>
      <c r="E633" s="149"/>
      <c r="F633" s="149"/>
      <c r="G633" s="149"/>
      <c r="H633" s="149"/>
      <c r="I633" s="149"/>
      <c r="J633" s="149"/>
      <c r="K633" s="149"/>
      <c r="L633" s="149"/>
      <c r="M633" s="149"/>
      <c r="N633" s="149"/>
      <c r="O633" s="149"/>
      <c r="P633" s="149"/>
      <c r="Q633" s="149"/>
      <c r="R633" s="149"/>
      <c r="S633" s="149"/>
      <c r="T633" s="149"/>
      <c r="U633" s="149"/>
      <c r="V633" s="149"/>
      <c r="W633" s="149"/>
      <c r="X633" s="149"/>
      <c r="Y633" s="149"/>
      <c r="Z633" s="149"/>
      <c r="AA633" s="149"/>
      <c r="AB633" s="149"/>
      <c r="AC633" s="149"/>
      <c r="AD633" s="149"/>
      <c r="AE633" s="149"/>
      <c r="AF633" s="149"/>
      <c r="AG633" s="149"/>
      <c r="AH633" s="149"/>
      <c r="AI633" s="149"/>
      <c r="AJ633" s="149"/>
      <c r="AK633" s="149"/>
      <c r="AL633" s="149"/>
      <c r="AM633" s="149"/>
      <c r="AN633" s="149"/>
      <c r="AO633" s="149"/>
      <c r="AP633" s="149"/>
      <c r="AR633" s="149"/>
      <c r="AS633" s="149"/>
      <c r="AT633" s="149"/>
      <c r="AU633" s="149"/>
      <c r="AV633" s="149"/>
      <c r="AW633" s="149"/>
      <c r="AX633" s="149"/>
      <c r="AY633" s="149"/>
      <c r="AZ633" s="149"/>
      <c r="BA633" s="149"/>
      <c r="BB633" s="149"/>
      <c r="BC633" s="149"/>
      <c r="BD633" s="149"/>
      <c r="BE633" s="149"/>
      <c r="BF633" s="149"/>
      <c r="BG633" s="149"/>
      <c r="BH633" s="149"/>
      <c r="BI633" s="149"/>
      <c r="BJ633" s="149"/>
      <c r="BK633" s="149"/>
      <c r="BL633" s="149"/>
      <c r="BM633" s="149"/>
      <c r="BN633" s="149"/>
      <c r="BO633" s="149"/>
      <c r="BP633" s="149"/>
      <c r="BQ633" s="149"/>
      <c r="BR633" s="149"/>
    </row>
    <row r="634" ht="34" customHeight="1" spans="1:70">
      <c r="A634" s="208">
        <v>640</v>
      </c>
      <c r="B634" s="149"/>
      <c r="C634" s="149"/>
      <c r="D634" s="149"/>
      <c r="E634" s="149"/>
      <c r="F634" s="149"/>
      <c r="G634" s="149"/>
      <c r="H634" s="149"/>
      <c r="I634" s="149"/>
      <c r="J634" s="149"/>
      <c r="K634" s="149"/>
      <c r="L634" s="149"/>
      <c r="M634" s="149"/>
      <c r="N634" s="149"/>
      <c r="O634" s="149"/>
      <c r="P634" s="149"/>
      <c r="Q634" s="149"/>
      <c r="R634" s="149"/>
      <c r="S634" s="149"/>
      <c r="T634" s="149"/>
      <c r="U634" s="149"/>
      <c r="V634" s="149"/>
      <c r="W634" s="149"/>
      <c r="X634" s="149"/>
      <c r="Y634" s="149"/>
      <c r="Z634" s="149"/>
      <c r="AA634" s="149"/>
      <c r="AB634" s="149"/>
      <c r="AC634" s="149"/>
      <c r="AD634" s="149"/>
      <c r="AE634" s="149"/>
      <c r="AF634" s="149"/>
      <c r="AG634" s="149"/>
      <c r="AH634" s="149"/>
      <c r="AI634" s="149"/>
      <c r="AJ634" s="149"/>
      <c r="AK634" s="149"/>
      <c r="AL634" s="149"/>
      <c r="AM634" s="149"/>
      <c r="AN634" s="149"/>
      <c r="AO634" s="149"/>
      <c r="AP634" s="149"/>
      <c r="AR634" s="149"/>
      <c r="AS634" s="149"/>
      <c r="AT634" s="149"/>
      <c r="AU634" s="149"/>
      <c r="AV634" s="149"/>
      <c r="AW634" s="149"/>
      <c r="AX634" s="149"/>
      <c r="AY634" s="149"/>
      <c r="AZ634" s="149"/>
      <c r="BA634" s="149"/>
      <c r="BB634" s="149"/>
      <c r="BC634" s="149"/>
      <c r="BD634" s="149"/>
      <c r="BE634" s="149"/>
      <c r="BF634" s="149"/>
      <c r="BG634" s="149"/>
      <c r="BH634" s="149"/>
      <c r="BI634" s="149"/>
      <c r="BJ634" s="149"/>
      <c r="BK634" s="149"/>
      <c r="BL634" s="149"/>
      <c r="BM634" s="149"/>
      <c r="BN634" s="149"/>
      <c r="BO634" s="149"/>
      <c r="BP634" s="149"/>
      <c r="BQ634" s="149"/>
      <c r="BR634" s="149"/>
    </row>
    <row r="635" ht="34" customHeight="1" spans="1:70">
      <c r="A635" s="208">
        <v>641</v>
      </c>
      <c r="B635" s="149"/>
      <c r="C635" s="149"/>
      <c r="D635" s="149"/>
      <c r="E635" s="149"/>
      <c r="F635" s="149"/>
      <c r="G635" s="149"/>
      <c r="H635" s="149"/>
      <c r="I635" s="149"/>
      <c r="J635" s="149"/>
      <c r="K635" s="149"/>
      <c r="L635" s="149"/>
      <c r="M635" s="149"/>
      <c r="N635" s="149"/>
      <c r="O635" s="149"/>
      <c r="P635" s="149"/>
      <c r="Q635" s="149"/>
      <c r="R635" s="149"/>
      <c r="S635" s="149"/>
      <c r="T635" s="149"/>
      <c r="U635" s="149"/>
      <c r="V635" s="149"/>
      <c r="W635" s="149"/>
      <c r="X635" s="149"/>
      <c r="Y635" s="149"/>
      <c r="Z635" s="149"/>
      <c r="AA635" s="149"/>
      <c r="AB635" s="149"/>
      <c r="AC635" s="149"/>
      <c r="AD635" s="149"/>
      <c r="AE635" s="149"/>
      <c r="AF635" s="149"/>
      <c r="AG635" s="149"/>
      <c r="AH635" s="149"/>
      <c r="AI635" s="149"/>
      <c r="AJ635" s="149"/>
      <c r="AK635" s="149"/>
      <c r="AL635" s="149"/>
      <c r="AM635" s="149"/>
      <c r="AN635" s="149"/>
      <c r="AO635" s="149"/>
      <c r="AP635" s="149"/>
      <c r="AR635" s="149"/>
      <c r="AS635" s="149"/>
      <c r="AT635" s="149"/>
      <c r="AU635" s="149"/>
      <c r="AV635" s="149"/>
      <c r="AW635" s="149"/>
      <c r="AX635" s="149"/>
      <c r="AY635" s="149"/>
      <c r="AZ635" s="149"/>
      <c r="BA635" s="149"/>
      <c r="BB635" s="149"/>
      <c r="BC635" s="149"/>
      <c r="BD635" s="149"/>
      <c r="BE635" s="149"/>
      <c r="BF635" s="149"/>
      <c r="BG635" s="149"/>
      <c r="BH635" s="149"/>
      <c r="BI635" s="149"/>
      <c r="BJ635" s="149"/>
      <c r="BK635" s="149"/>
      <c r="BL635" s="149"/>
      <c r="BM635" s="149"/>
      <c r="BN635" s="149"/>
      <c r="BO635" s="149"/>
      <c r="BP635" s="149"/>
      <c r="BQ635" s="149"/>
      <c r="BR635" s="149"/>
    </row>
    <row r="636" ht="34" customHeight="1" spans="1:70">
      <c r="A636" s="208">
        <v>642</v>
      </c>
      <c r="B636" s="149"/>
      <c r="C636" s="149"/>
      <c r="D636" s="149"/>
      <c r="E636" s="149"/>
      <c r="F636" s="149"/>
      <c r="G636" s="149"/>
      <c r="H636" s="149"/>
      <c r="I636" s="149"/>
      <c r="J636" s="149"/>
      <c r="K636" s="149"/>
      <c r="L636" s="149"/>
      <c r="M636" s="149"/>
      <c r="N636" s="149"/>
      <c r="O636" s="149"/>
      <c r="P636" s="149"/>
      <c r="Q636" s="149"/>
      <c r="R636" s="149"/>
      <c r="S636" s="149"/>
      <c r="T636" s="149"/>
      <c r="U636" s="149"/>
      <c r="V636" s="149"/>
      <c r="W636" s="149"/>
      <c r="X636" s="149"/>
      <c r="Y636" s="149"/>
      <c r="Z636" s="149"/>
      <c r="AA636" s="149"/>
      <c r="AB636" s="149"/>
      <c r="AC636" s="149"/>
      <c r="AD636" s="149"/>
      <c r="AE636" s="149"/>
      <c r="AF636" s="149"/>
      <c r="AG636" s="149"/>
      <c r="AH636" s="149"/>
      <c r="AI636" s="149"/>
      <c r="AJ636" s="149"/>
      <c r="AK636" s="149"/>
      <c r="AL636" s="149"/>
      <c r="AM636" s="149"/>
      <c r="AN636" s="149"/>
      <c r="AO636" s="149"/>
      <c r="AP636" s="149"/>
      <c r="AR636" s="149"/>
      <c r="AS636" s="149"/>
      <c r="AT636" s="149"/>
      <c r="AU636" s="149"/>
      <c r="AV636" s="149"/>
      <c r="AW636" s="149"/>
      <c r="AX636" s="149"/>
      <c r="AY636" s="149"/>
      <c r="AZ636" s="149"/>
      <c r="BA636" s="149"/>
      <c r="BB636" s="149"/>
      <c r="BC636" s="149"/>
      <c r="BD636" s="149"/>
      <c r="BE636" s="149"/>
      <c r="BF636" s="149"/>
      <c r="BG636" s="149"/>
      <c r="BH636" s="149"/>
      <c r="BI636" s="149"/>
      <c r="BJ636" s="149"/>
      <c r="BK636" s="149"/>
      <c r="BL636" s="149"/>
      <c r="BM636" s="149"/>
      <c r="BN636" s="149"/>
      <c r="BO636" s="149"/>
      <c r="BP636" s="149"/>
      <c r="BQ636" s="149"/>
      <c r="BR636" s="149"/>
    </row>
    <row r="637" ht="34" customHeight="1" spans="1:70">
      <c r="A637" s="208">
        <v>643</v>
      </c>
      <c r="B637" s="149"/>
      <c r="C637" s="149"/>
      <c r="D637" s="149"/>
      <c r="E637" s="149"/>
      <c r="F637" s="149"/>
      <c r="G637" s="149"/>
      <c r="H637" s="149"/>
      <c r="I637" s="149"/>
      <c r="J637" s="149"/>
      <c r="K637" s="149"/>
      <c r="L637" s="149"/>
      <c r="M637" s="149"/>
      <c r="N637" s="149"/>
      <c r="O637" s="149"/>
      <c r="P637" s="149"/>
      <c r="Q637" s="149"/>
      <c r="R637" s="149"/>
      <c r="S637" s="149"/>
      <c r="T637" s="149"/>
      <c r="U637" s="149"/>
      <c r="V637" s="149"/>
      <c r="W637" s="149"/>
      <c r="X637" s="149"/>
      <c r="Y637" s="149"/>
      <c r="Z637" s="149"/>
      <c r="AA637" s="149"/>
      <c r="AB637" s="149"/>
      <c r="AC637" s="149"/>
      <c r="AD637" s="149"/>
      <c r="AE637" s="149"/>
      <c r="AF637" s="149"/>
      <c r="AG637" s="149"/>
      <c r="AH637" s="149"/>
      <c r="AI637" s="149"/>
      <c r="AJ637" s="149"/>
      <c r="AK637" s="149"/>
      <c r="AL637" s="149"/>
      <c r="AM637" s="149"/>
      <c r="AN637" s="149"/>
      <c r="AO637" s="149"/>
      <c r="AP637" s="149"/>
      <c r="AR637" s="149"/>
      <c r="AS637" s="149"/>
      <c r="AT637" s="149"/>
      <c r="AU637" s="149"/>
      <c r="AV637" s="149"/>
      <c r="AW637" s="149"/>
      <c r="AX637" s="149"/>
      <c r="AY637" s="149"/>
      <c r="AZ637" s="149"/>
      <c r="BA637" s="149"/>
      <c r="BB637" s="149"/>
      <c r="BC637" s="149"/>
      <c r="BD637" s="149"/>
      <c r="BE637" s="149"/>
      <c r="BF637" s="149"/>
      <c r="BG637" s="149"/>
      <c r="BH637" s="149"/>
      <c r="BI637" s="149"/>
      <c r="BJ637" s="149"/>
      <c r="BK637" s="149"/>
      <c r="BL637" s="149"/>
      <c r="BM637" s="149"/>
      <c r="BN637" s="149"/>
      <c r="BO637" s="149"/>
      <c r="BP637" s="149"/>
      <c r="BQ637" s="149"/>
      <c r="BR637" s="149"/>
    </row>
    <row r="638" ht="34" customHeight="1" spans="1:70">
      <c r="A638" s="208">
        <v>644</v>
      </c>
      <c r="B638" s="149"/>
      <c r="C638" s="149"/>
      <c r="D638" s="149"/>
      <c r="E638" s="149"/>
      <c r="F638" s="149"/>
      <c r="G638" s="149"/>
      <c r="H638" s="149"/>
      <c r="I638" s="149"/>
      <c r="J638" s="149"/>
      <c r="K638" s="149"/>
      <c r="L638" s="149"/>
      <c r="M638" s="149"/>
      <c r="N638" s="149"/>
      <c r="O638" s="149"/>
      <c r="P638" s="149"/>
      <c r="Q638" s="149"/>
      <c r="R638" s="149"/>
      <c r="S638" s="149"/>
      <c r="T638" s="149"/>
      <c r="U638" s="149"/>
      <c r="V638" s="149"/>
      <c r="W638" s="149"/>
      <c r="X638" s="149"/>
      <c r="Y638" s="149"/>
      <c r="Z638" s="149"/>
      <c r="AA638" s="149"/>
      <c r="AB638" s="149"/>
      <c r="AC638" s="149"/>
      <c r="AD638" s="149"/>
      <c r="AE638" s="149"/>
      <c r="AF638" s="149"/>
      <c r="AG638" s="149"/>
      <c r="AH638" s="149"/>
      <c r="AI638" s="149"/>
      <c r="AJ638" s="149"/>
      <c r="AK638" s="149"/>
      <c r="AL638" s="149"/>
      <c r="AM638" s="149"/>
      <c r="AN638" s="149"/>
      <c r="AO638" s="149"/>
      <c r="AP638" s="149"/>
      <c r="AR638" s="149"/>
      <c r="AS638" s="149"/>
      <c r="AT638" s="149"/>
      <c r="AU638" s="149"/>
      <c r="AV638" s="149"/>
      <c r="AW638" s="149"/>
      <c r="AX638" s="149"/>
      <c r="AY638" s="149"/>
      <c r="AZ638" s="149"/>
      <c r="BA638" s="149"/>
      <c r="BB638" s="149"/>
      <c r="BC638" s="149"/>
      <c r="BD638" s="149"/>
      <c r="BE638" s="149"/>
      <c r="BF638" s="149"/>
      <c r="BG638" s="149"/>
      <c r="BH638" s="149"/>
      <c r="BI638" s="149"/>
      <c r="BJ638" s="149"/>
      <c r="BK638" s="149"/>
      <c r="BL638" s="149"/>
      <c r="BM638" s="149"/>
      <c r="BN638" s="149"/>
      <c r="BO638" s="149"/>
      <c r="BP638" s="149"/>
      <c r="BQ638" s="149"/>
      <c r="BR638" s="149"/>
    </row>
    <row r="639" ht="34" customHeight="1" spans="1:70">
      <c r="A639" s="208">
        <v>645</v>
      </c>
      <c r="B639" s="149"/>
      <c r="C639" s="149"/>
      <c r="D639" s="149"/>
      <c r="E639" s="149"/>
      <c r="F639" s="149"/>
      <c r="G639" s="149"/>
      <c r="H639" s="149"/>
      <c r="I639" s="149"/>
      <c r="J639" s="149"/>
      <c r="K639" s="149"/>
      <c r="L639" s="149"/>
      <c r="M639" s="149"/>
      <c r="N639" s="149"/>
      <c r="O639" s="149"/>
      <c r="P639" s="149"/>
      <c r="Q639" s="149"/>
      <c r="R639" s="149"/>
      <c r="S639" s="149"/>
      <c r="T639" s="149"/>
      <c r="U639" s="149"/>
      <c r="V639" s="149"/>
      <c r="W639" s="149"/>
      <c r="X639" s="149"/>
      <c r="Y639" s="149"/>
      <c r="Z639" s="149"/>
      <c r="AA639" s="149"/>
      <c r="AB639" s="149"/>
      <c r="AC639" s="149"/>
      <c r="AD639" s="149"/>
      <c r="AE639" s="149"/>
      <c r="AF639" s="149"/>
      <c r="AG639" s="149"/>
      <c r="AH639" s="149"/>
      <c r="AI639" s="149"/>
      <c r="AJ639" s="149"/>
      <c r="AK639" s="149"/>
      <c r="AL639" s="149"/>
      <c r="AM639" s="149"/>
      <c r="AN639" s="149"/>
      <c r="AO639" s="149"/>
      <c r="AP639" s="149"/>
      <c r="AR639" s="149"/>
      <c r="AS639" s="149"/>
      <c r="AT639" s="149"/>
      <c r="AU639" s="149"/>
      <c r="AV639" s="149"/>
      <c r="AW639" s="149"/>
      <c r="AX639" s="149"/>
      <c r="AY639" s="149"/>
      <c r="AZ639" s="149"/>
      <c r="BA639" s="149"/>
      <c r="BB639" s="149"/>
      <c r="BC639" s="149"/>
      <c r="BD639" s="149"/>
      <c r="BE639" s="149"/>
      <c r="BF639" s="149"/>
      <c r="BG639" s="149"/>
      <c r="BH639" s="149"/>
      <c r="BI639" s="149"/>
      <c r="BJ639" s="149"/>
      <c r="BK639" s="149"/>
      <c r="BL639" s="149"/>
      <c r="BM639" s="149"/>
      <c r="BN639" s="149"/>
      <c r="BO639" s="149"/>
      <c r="BP639" s="149"/>
      <c r="BQ639" s="149"/>
      <c r="BR639" s="149"/>
    </row>
    <row r="640" ht="34" customHeight="1" spans="1:70">
      <c r="A640" s="208">
        <v>646</v>
      </c>
      <c r="B640" s="149"/>
      <c r="C640" s="149"/>
      <c r="D640" s="149"/>
      <c r="E640" s="149"/>
      <c r="F640" s="149"/>
      <c r="G640" s="149"/>
      <c r="H640" s="149"/>
      <c r="I640" s="149"/>
      <c r="J640" s="149"/>
      <c r="K640" s="149"/>
      <c r="L640" s="149"/>
      <c r="M640" s="149"/>
      <c r="N640" s="149"/>
      <c r="O640" s="149"/>
      <c r="P640" s="149"/>
      <c r="Q640" s="149"/>
      <c r="R640" s="149"/>
      <c r="S640" s="149"/>
      <c r="T640" s="149"/>
      <c r="U640" s="149"/>
      <c r="V640" s="149"/>
      <c r="W640" s="149"/>
      <c r="X640" s="149"/>
      <c r="Y640" s="149"/>
      <c r="Z640" s="149"/>
      <c r="AA640" s="149"/>
      <c r="AB640" s="149"/>
      <c r="AC640" s="149"/>
      <c r="AD640" s="149"/>
      <c r="AE640" s="149"/>
      <c r="AF640" s="149"/>
      <c r="AG640" s="149"/>
      <c r="AH640" s="149"/>
      <c r="AI640" s="149"/>
      <c r="AJ640" s="149"/>
      <c r="AK640" s="149"/>
      <c r="AL640" s="149"/>
      <c r="AM640" s="149"/>
      <c r="AN640" s="149"/>
      <c r="AO640" s="149"/>
      <c r="AP640" s="149"/>
      <c r="AR640" s="149"/>
      <c r="AS640" s="149"/>
      <c r="AT640" s="149"/>
      <c r="AU640" s="149"/>
      <c r="AV640" s="149"/>
      <c r="AW640" s="149"/>
      <c r="AX640" s="149"/>
      <c r="AY640" s="149"/>
      <c r="AZ640" s="149"/>
      <c r="BA640" s="149"/>
      <c r="BB640" s="149"/>
      <c r="BC640" s="149"/>
      <c r="BD640" s="149"/>
      <c r="BE640" s="149"/>
      <c r="BF640" s="149"/>
      <c r="BG640" s="149"/>
      <c r="BH640" s="149"/>
      <c r="BI640" s="149"/>
      <c r="BJ640" s="149"/>
      <c r="BK640" s="149"/>
      <c r="BL640" s="149"/>
      <c r="BM640" s="149"/>
      <c r="BN640" s="149"/>
      <c r="BO640" s="149"/>
      <c r="BP640" s="149"/>
      <c r="BQ640" s="149"/>
      <c r="BR640" s="149"/>
    </row>
    <row r="641" ht="34" customHeight="1" spans="1:70">
      <c r="A641" s="208">
        <v>647</v>
      </c>
      <c r="B641" s="149"/>
      <c r="C641" s="149"/>
      <c r="D641" s="149"/>
      <c r="E641" s="149"/>
      <c r="F641" s="149"/>
      <c r="G641" s="149"/>
      <c r="H641" s="149"/>
      <c r="I641" s="149"/>
      <c r="J641" s="149"/>
      <c r="K641" s="149"/>
      <c r="L641" s="149"/>
      <c r="M641" s="149"/>
      <c r="N641" s="149"/>
      <c r="O641" s="149"/>
      <c r="P641" s="149"/>
      <c r="Q641" s="149"/>
      <c r="R641" s="149"/>
      <c r="S641" s="149"/>
      <c r="T641" s="149"/>
      <c r="U641" s="149"/>
      <c r="V641" s="149"/>
      <c r="W641" s="149"/>
      <c r="X641" s="149"/>
      <c r="Y641" s="149"/>
      <c r="Z641" s="149"/>
      <c r="AA641" s="149"/>
      <c r="AB641" s="149"/>
      <c r="AC641" s="149"/>
      <c r="AD641" s="149"/>
      <c r="AE641" s="149"/>
      <c r="AF641" s="149"/>
      <c r="AG641" s="149"/>
      <c r="AH641" s="149"/>
      <c r="AI641" s="149"/>
      <c r="AJ641" s="149"/>
      <c r="AK641" s="149"/>
      <c r="AL641" s="149"/>
      <c r="AM641" s="149"/>
      <c r="AN641" s="149"/>
      <c r="AO641" s="149"/>
      <c r="AP641" s="149"/>
      <c r="AR641" s="149"/>
      <c r="AS641" s="149"/>
      <c r="AT641" s="149"/>
      <c r="AU641" s="149"/>
      <c r="AV641" s="149"/>
      <c r="AW641" s="149"/>
      <c r="AX641" s="149"/>
      <c r="AY641" s="149"/>
      <c r="AZ641" s="149"/>
      <c r="BA641" s="149"/>
      <c r="BB641" s="149"/>
      <c r="BC641" s="149"/>
      <c r="BD641" s="149"/>
      <c r="BE641" s="149"/>
      <c r="BF641" s="149"/>
      <c r="BG641" s="149"/>
      <c r="BH641" s="149"/>
      <c r="BI641" s="149"/>
      <c r="BJ641" s="149"/>
      <c r="BK641" s="149"/>
      <c r="BL641" s="149"/>
      <c r="BM641" s="149"/>
      <c r="BN641" s="149"/>
      <c r="BO641" s="149"/>
      <c r="BP641" s="149"/>
      <c r="BQ641" s="149"/>
      <c r="BR641" s="149"/>
    </row>
    <row r="642" ht="34" customHeight="1" spans="1:70">
      <c r="A642" s="208">
        <v>648</v>
      </c>
      <c r="B642" s="149"/>
      <c r="C642" s="149"/>
      <c r="D642" s="149"/>
      <c r="E642" s="149"/>
      <c r="F642" s="149"/>
      <c r="G642" s="149"/>
      <c r="H642" s="149"/>
      <c r="I642" s="149"/>
      <c r="J642" s="149"/>
      <c r="K642" s="149"/>
      <c r="L642" s="149"/>
      <c r="M642" s="149"/>
      <c r="N642" s="149"/>
      <c r="O642" s="149"/>
      <c r="P642" s="149"/>
      <c r="Q642" s="149"/>
      <c r="R642" s="149"/>
      <c r="S642" s="149"/>
      <c r="T642" s="149"/>
      <c r="U642" s="149"/>
      <c r="V642" s="149"/>
      <c r="W642" s="149"/>
      <c r="X642" s="149"/>
      <c r="Y642" s="149"/>
      <c r="Z642" s="149"/>
      <c r="AA642" s="149"/>
      <c r="AB642" s="149"/>
      <c r="AC642" s="149"/>
      <c r="AD642" s="149"/>
      <c r="AE642" s="149"/>
      <c r="AF642" s="149"/>
      <c r="AG642" s="149"/>
      <c r="AH642" s="149"/>
      <c r="AI642" s="149"/>
      <c r="AJ642" s="149"/>
      <c r="AK642" s="149"/>
      <c r="AL642" s="149"/>
      <c r="AM642" s="149"/>
      <c r="AN642" s="149"/>
      <c r="AO642" s="149"/>
      <c r="AP642" s="149"/>
      <c r="AR642" s="149"/>
      <c r="AS642" s="149"/>
      <c r="AT642" s="149"/>
      <c r="AU642" s="149"/>
      <c r="AV642" s="149"/>
      <c r="AW642" s="149"/>
      <c r="AX642" s="149"/>
      <c r="AY642" s="149"/>
      <c r="AZ642" s="149"/>
      <c r="BA642" s="149"/>
      <c r="BB642" s="149"/>
      <c r="BC642" s="149"/>
      <c r="BD642" s="149"/>
      <c r="BE642" s="149"/>
      <c r="BF642" s="149"/>
      <c r="BG642" s="149"/>
      <c r="BH642" s="149"/>
      <c r="BI642" s="149"/>
      <c r="BJ642" s="149"/>
      <c r="BK642" s="149"/>
      <c r="BL642" s="149"/>
      <c r="BM642" s="149"/>
      <c r="BN642" s="149"/>
      <c r="BO642" s="149"/>
      <c r="BP642" s="149"/>
      <c r="BQ642" s="149"/>
      <c r="BR642" s="149"/>
    </row>
    <row r="643" ht="34" customHeight="1" spans="1:70">
      <c r="A643" s="208">
        <v>649</v>
      </c>
      <c r="B643" s="149"/>
      <c r="C643" s="149"/>
      <c r="D643" s="149"/>
      <c r="E643" s="149"/>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ht="34" customHeight="1" spans="1:70">
      <c r="A644" s="208">
        <v>650</v>
      </c>
      <c r="B644" s="149"/>
      <c r="C644" s="149"/>
      <c r="D644" s="149"/>
      <c r="E644" s="149"/>
      <c r="F644" s="149"/>
      <c r="G644" s="149"/>
      <c r="H644" s="149"/>
      <c r="I644" s="149"/>
      <c r="J644" s="149"/>
      <c r="K644" s="149"/>
      <c r="L644" s="149"/>
      <c r="M644" s="149"/>
      <c r="N644" s="149"/>
      <c r="O644" s="149"/>
      <c r="P644" s="149"/>
      <c r="Q644" s="149"/>
      <c r="R644" s="149"/>
      <c r="S644" s="149"/>
      <c r="T644" s="149"/>
      <c r="U644" s="149"/>
      <c r="V644" s="149"/>
      <c r="W644" s="149"/>
      <c r="X644" s="149"/>
      <c r="Y644" s="149"/>
      <c r="Z644" s="149"/>
      <c r="AA644" s="149"/>
      <c r="AB644" s="149"/>
      <c r="AC644" s="149"/>
      <c r="AD644" s="149"/>
      <c r="AE644" s="149"/>
      <c r="AF644" s="149"/>
      <c r="AG644" s="149"/>
      <c r="AH644" s="149"/>
      <c r="AI644" s="149"/>
      <c r="AJ644" s="149"/>
      <c r="AK644" s="149"/>
      <c r="AL644" s="149"/>
      <c r="AM644" s="149"/>
      <c r="AN644" s="149"/>
      <c r="AO644" s="149"/>
      <c r="AP644" s="149"/>
      <c r="AR644" s="149"/>
      <c r="AS644" s="149"/>
      <c r="AT644" s="149"/>
      <c r="AU644" s="149"/>
      <c r="AV644" s="149"/>
      <c r="AW644" s="149"/>
      <c r="AX644" s="149"/>
      <c r="AY644" s="149"/>
      <c r="AZ644" s="149"/>
      <c r="BA644" s="149"/>
      <c r="BB644" s="149"/>
      <c r="BC644" s="149"/>
      <c r="BD644" s="149"/>
      <c r="BE644" s="149"/>
      <c r="BF644" s="149"/>
      <c r="BG644" s="149"/>
      <c r="BH644" s="149"/>
      <c r="BI644" s="149"/>
      <c r="BJ644" s="149"/>
      <c r="BK644" s="149"/>
      <c r="BL644" s="149"/>
      <c r="BM644" s="149"/>
      <c r="BN644" s="149"/>
      <c r="BO644" s="149"/>
      <c r="BP644" s="149"/>
      <c r="BQ644" s="149"/>
      <c r="BR644" s="149"/>
    </row>
    <row r="645" ht="34" customHeight="1" spans="1:70">
      <c r="A645" s="208">
        <v>651</v>
      </c>
      <c r="B645" s="149"/>
      <c r="C645" s="149"/>
      <c r="D645" s="149"/>
      <c r="E645" s="149"/>
      <c r="F645" s="149"/>
      <c r="G645" s="149"/>
      <c r="H645" s="149"/>
      <c r="I645" s="149"/>
      <c r="J645" s="149"/>
      <c r="K645" s="149"/>
      <c r="L645" s="149"/>
      <c r="M645" s="149"/>
      <c r="N645" s="149"/>
      <c r="O645" s="149"/>
      <c r="P645" s="149"/>
      <c r="Q645" s="149"/>
      <c r="R645" s="149"/>
      <c r="S645" s="149"/>
      <c r="T645" s="149"/>
      <c r="U645" s="149"/>
      <c r="V645" s="149"/>
      <c r="W645" s="149"/>
      <c r="X645" s="149"/>
      <c r="Y645" s="149"/>
      <c r="Z645" s="149"/>
      <c r="AA645" s="149"/>
      <c r="AB645" s="149"/>
      <c r="AC645" s="149"/>
      <c r="AD645" s="149"/>
      <c r="AE645" s="149"/>
      <c r="AF645" s="149"/>
      <c r="AG645" s="149"/>
      <c r="AH645" s="149"/>
      <c r="AI645" s="149"/>
      <c r="AJ645" s="149"/>
      <c r="AK645" s="149"/>
      <c r="AL645" s="149"/>
      <c r="AM645" s="149"/>
      <c r="AN645" s="149"/>
      <c r="AO645" s="149"/>
      <c r="AP645" s="149"/>
      <c r="AR645" s="149"/>
      <c r="AS645" s="149"/>
      <c r="AT645" s="149"/>
      <c r="AU645" s="149"/>
      <c r="AV645" s="149"/>
      <c r="AW645" s="149"/>
      <c r="AX645" s="149"/>
      <c r="AY645" s="149"/>
      <c r="AZ645" s="149"/>
      <c r="BA645" s="149"/>
      <c r="BB645" s="149"/>
      <c r="BC645" s="149"/>
      <c r="BD645" s="149"/>
      <c r="BE645" s="149"/>
      <c r="BF645" s="149"/>
      <c r="BG645" s="149"/>
      <c r="BH645" s="149"/>
      <c r="BI645" s="149"/>
      <c r="BJ645" s="149"/>
      <c r="BK645" s="149"/>
      <c r="BL645" s="149"/>
      <c r="BM645" s="149"/>
      <c r="BN645" s="149"/>
      <c r="BO645" s="149"/>
      <c r="BP645" s="149"/>
      <c r="BQ645" s="149"/>
      <c r="BR645" s="149"/>
    </row>
    <row r="646" ht="34" customHeight="1" spans="1:70">
      <c r="A646" s="208">
        <v>652</v>
      </c>
      <c r="B646" s="149"/>
      <c r="C646" s="149"/>
      <c r="D646" s="149"/>
      <c r="E646" s="149"/>
      <c r="F646" s="149"/>
      <c r="G646" s="149"/>
      <c r="H646" s="149"/>
      <c r="I646" s="149"/>
      <c r="J646" s="149"/>
      <c r="K646" s="149"/>
      <c r="L646" s="149"/>
      <c r="M646" s="149"/>
      <c r="N646" s="149"/>
      <c r="O646" s="149"/>
      <c r="P646" s="149"/>
      <c r="Q646" s="149"/>
      <c r="R646" s="149"/>
      <c r="S646" s="149"/>
      <c r="T646" s="149"/>
      <c r="U646" s="149"/>
      <c r="V646" s="149"/>
      <c r="W646" s="149"/>
      <c r="X646" s="149"/>
      <c r="Y646" s="149"/>
      <c r="Z646" s="149"/>
      <c r="AA646" s="149"/>
      <c r="AB646" s="149"/>
      <c r="AC646" s="149"/>
      <c r="AD646" s="149"/>
      <c r="AE646" s="149"/>
      <c r="AF646" s="149"/>
      <c r="AG646" s="149"/>
      <c r="AH646" s="149"/>
      <c r="AI646" s="149"/>
      <c r="AJ646" s="149"/>
      <c r="AK646" s="149"/>
      <c r="AL646" s="149"/>
      <c r="AM646" s="149"/>
      <c r="AN646" s="149"/>
      <c r="AO646" s="149"/>
      <c r="AP646" s="149"/>
      <c r="AR646" s="149"/>
      <c r="AS646" s="149"/>
      <c r="AT646" s="149"/>
      <c r="AU646" s="149"/>
      <c r="AV646" s="149"/>
      <c r="AW646" s="149"/>
      <c r="AX646" s="149"/>
      <c r="AY646" s="149"/>
      <c r="AZ646" s="149"/>
      <c r="BA646" s="149"/>
      <c r="BB646" s="149"/>
      <c r="BC646" s="149"/>
      <c r="BD646" s="149"/>
      <c r="BE646" s="149"/>
      <c r="BF646" s="149"/>
      <c r="BG646" s="149"/>
      <c r="BH646" s="149"/>
      <c r="BI646" s="149"/>
      <c r="BJ646" s="149"/>
      <c r="BK646" s="149"/>
      <c r="BL646" s="149"/>
      <c r="BM646" s="149"/>
      <c r="BN646" s="149"/>
      <c r="BO646" s="149"/>
      <c r="BP646" s="149"/>
      <c r="BQ646" s="149"/>
      <c r="BR646" s="149"/>
    </row>
    <row r="647" ht="34" customHeight="1" spans="1:70">
      <c r="A647" s="208">
        <v>653</v>
      </c>
      <c r="B647" s="149"/>
      <c r="C647" s="149"/>
      <c r="D647" s="149"/>
      <c r="E647" s="149"/>
      <c r="F647" s="149"/>
      <c r="G647" s="149"/>
      <c r="H647" s="149"/>
      <c r="I647" s="149"/>
      <c r="J647" s="149"/>
      <c r="K647" s="149"/>
      <c r="L647" s="149"/>
      <c r="M647" s="149"/>
      <c r="N647" s="149"/>
      <c r="O647" s="149"/>
      <c r="P647" s="149"/>
      <c r="Q647" s="149"/>
      <c r="R647" s="149"/>
      <c r="S647" s="149"/>
      <c r="T647" s="149"/>
      <c r="U647" s="149"/>
      <c r="V647" s="149"/>
      <c r="W647" s="149"/>
      <c r="X647" s="149"/>
      <c r="Y647" s="149"/>
      <c r="Z647" s="149"/>
      <c r="AA647" s="149"/>
      <c r="AB647" s="149"/>
      <c r="AC647" s="149"/>
      <c r="AD647" s="149"/>
      <c r="AE647" s="149"/>
      <c r="AF647" s="149"/>
      <c r="AG647" s="149"/>
      <c r="AH647" s="149"/>
      <c r="AI647" s="149"/>
      <c r="AJ647" s="149"/>
      <c r="AK647" s="149"/>
      <c r="AL647" s="149"/>
      <c r="AM647" s="149"/>
      <c r="AN647" s="149"/>
      <c r="AO647" s="149"/>
      <c r="AP647" s="149"/>
      <c r="AR647" s="149"/>
      <c r="AS647" s="149"/>
      <c r="AT647" s="149"/>
      <c r="AU647" s="149"/>
      <c r="AV647" s="149"/>
      <c r="AW647" s="149"/>
      <c r="AX647" s="149"/>
      <c r="AY647" s="149"/>
      <c r="AZ647" s="149"/>
      <c r="BA647" s="149"/>
      <c r="BB647" s="149"/>
      <c r="BC647" s="149"/>
      <c r="BD647" s="149"/>
      <c r="BE647" s="149"/>
      <c r="BF647" s="149"/>
      <c r="BG647" s="149"/>
      <c r="BH647" s="149"/>
      <c r="BI647" s="149"/>
      <c r="BJ647" s="149"/>
      <c r="BK647" s="149"/>
      <c r="BL647" s="149"/>
      <c r="BM647" s="149"/>
      <c r="BN647" s="149"/>
      <c r="BO647" s="149"/>
      <c r="BP647" s="149"/>
      <c r="BQ647" s="149"/>
      <c r="BR647" s="149"/>
    </row>
    <row r="648" ht="34" customHeight="1" spans="1:70">
      <c r="A648" s="208">
        <v>654</v>
      </c>
      <c r="B648" s="149"/>
      <c r="C648" s="149"/>
      <c r="D648" s="149"/>
      <c r="E648" s="149"/>
      <c r="F648" s="149"/>
      <c r="G648" s="149"/>
      <c r="H648" s="149"/>
      <c r="I648" s="149"/>
      <c r="J648" s="149"/>
      <c r="K648" s="149"/>
      <c r="L648" s="149"/>
      <c r="M648" s="149"/>
      <c r="N648" s="149"/>
      <c r="O648" s="149"/>
      <c r="P648" s="149"/>
      <c r="Q648" s="149"/>
      <c r="R648" s="149"/>
      <c r="S648" s="149"/>
      <c r="T648" s="149"/>
      <c r="U648" s="149"/>
      <c r="V648" s="149"/>
      <c r="W648" s="149"/>
      <c r="X648" s="149"/>
      <c r="Y648" s="149"/>
      <c r="Z648" s="149"/>
      <c r="AA648" s="149"/>
      <c r="AB648" s="149"/>
      <c r="AC648" s="149"/>
      <c r="AD648" s="149"/>
      <c r="AE648" s="149"/>
      <c r="AF648" s="149"/>
      <c r="AG648" s="149"/>
      <c r="AH648" s="149"/>
      <c r="AI648" s="149"/>
      <c r="AJ648" s="149"/>
      <c r="AK648" s="149"/>
      <c r="AL648" s="149"/>
      <c r="AM648" s="149"/>
      <c r="AN648" s="149"/>
      <c r="AO648" s="149"/>
      <c r="AP648" s="149"/>
      <c r="AR648" s="149"/>
      <c r="AS648" s="149"/>
      <c r="AT648" s="149"/>
      <c r="AU648" s="149"/>
      <c r="AV648" s="149"/>
      <c r="AW648" s="149"/>
      <c r="AX648" s="149"/>
      <c r="AY648" s="149"/>
      <c r="AZ648" s="149"/>
      <c r="BA648" s="149"/>
      <c r="BB648" s="149"/>
      <c r="BC648" s="149"/>
      <c r="BD648" s="149"/>
      <c r="BE648" s="149"/>
      <c r="BF648" s="149"/>
      <c r="BG648" s="149"/>
      <c r="BH648" s="149"/>
      <c r="BI648" s="149"/>
      <c r="BJ648" s="149"/>
      <c r="BK648" s="149"/>
      <c r="BL648" s="149"/>
      <c r="BM648" s="149"/>
      <c r="BN648" s="149"/>
      <c r="BO648" s="149"/>
      <c r="BP648" s="149"/>
      <c r="BQ648" s="149"/>
      <c r="BR648" s="149"/>
    </row>
    <row r="649" ht="34" customHeight="1" spans="1:70">
      <c r="A649" s="208">
        <v>655</v>
      </c>
      <c r="B649" s="149"/>
      <c r="C649" s="149"/>
      <c r="D649" s="149"/>
      <c r="E649" s="149"/>
      <c r="F649" s="149"/>
      <c r="G649" s="149"/>
      <c r="H649" s="149"/>
      <c r="I649" s="149"/>
      <c r="J649" s="149"/>
      <c r="K649" s="149"/>
      <c r="L649" s="149"/>
      <c r="M649" s="149"/>
      <c r="N649" s="149"/>
      <c r="O649" s="149"/>
      <c r="P649" s="149"/>
      <c r="Q649" s="149"/>
      <c r="R649" s="149"/>
      <c r="S649" s="149"/>
      <c r="T649" s="149"/>
      <c r="U649" s="149"/>
      <c r="V649" s="149"/>
      <c r="W649" s="149"/>
      <c r="X649" s="149"/>
      <c r="Y649" s="149"/>
      <c r="Z649" s="149"/>
      <c r="AA649" s="149"/>
      <c r="AB649" s="149"/>
      <c r="AC649" s="149"/>
      <c r="AD649" s="149"/>
      <c r="AE649" s="149"/>
      <c r="AF649" s="149"/>
      <c r="AG649" s="149"/>
      <c r="AH649" s="149"/>
      <c r="AI649" s="149"/>
      <c r="AJ649" s="149"/>
      <c r="AK649" s="149"/>
      <c r="AL649" s="149"/>
      <c r="AM649" s="149"/>
      <c r="AN649" s="149"/>
      <c r="AO649" s="149"/>
      <c r="AP649" s="149"/>
      <c r="AR649" s="149"/>
      <c r="AS649" s="149"/>
      <c r="AT649" s="149"/>
      <c r="AU649" s="149"/>
      <c r="AV649" s="149"/>
      <c r="AW649" s="149"/>
      <c r="AX649" s="149"/>
      <c r="AY649" s="149"/>
      <c r="AZ649" s="149"/>
      <c r="BA649" s="149"/>
      <c r="BB649" s="149"/>
      <c r="BC649" s="149"/>
      <c r="BD649" s="149"/>
      <c r="BE649" s="149"/>
      <c r="BF649" s="149"/>
      <c r="BG649" s="149"/>
      <c r="BH649" s="149"/>
      <c r="BI649" s="149"/>
      <c r="BJ649" s="149"/>
      <c r="BK649" s="149"/>
      <c r="BL649" s="149"/>
      <c r="BM649" s="149"/>
      <c r="BN649" s="149"/>
      <c r="BO649" s="149"/>
      <c r="BP649" s="149"/>
      <c r="BQ649" s="149"/>
      <c r="BR649" s="149"/>
    </row>
    <row r="650" ht="34" customHeight="1" spans="1:70">
      <c r="A650" s="208">
        <v>656</v>
      </c>
      <c r="B650" s="149"/>
      <c r="C650" s="149"/>
      <c r="D650" s="149"/>
      <c r="E650" s="149"/>
      <c r="F650" s="149"/>
      <c r="G650" s="149"/>
      <c r="H650" s="149"/>
      <c r="I650" s="149"/>
      <c r="J650" s="149"/>
      <c r="K650" s="149"/>
      <c r="L650" s="149"/>
      <c r="M650" s="149"/>
      <c r="N650" s="149"/>
      <c r="O650" s="149"/>
      <c r="P650" s="149"/>
      <c r="Q650" s="149"/>
      <c r="R650" s="149"/>
      <c r="S650" s="149"/>
      <c r="T650" s="149"/>
      <c r="U650" s="149"/>
      <c r="V650" s="149"/>
      <c r="W650" s="149"/>
      <c r="X650" s="149"/>
      <c r="Y650" s="149"/>
      <c r="Z650" s="149"/>
      <c r="AA650" s="149"/>
      <c r="AB650" s="149"/>
      <c r="AC650" s="149"/>
      <c r="AD650" s="149"/>
      <c r="AE650" s="149"/>
      <c r="AF650" s="149"/>
      <c r="AG650" s="149"/>
      <c r="AH650" s="149"/>
      <c r="AI650" s="149"/>
      <c r="AJ650" s="149"/>
      <c r="AK650" s="149"/>
      <c r="AL650" s="149"/>
      <c r="AM650" s="149"/>
      <c r="AN650" s="149"/>
      <c r="AO650" s="149"/>
      <c r="AP650" s="149"/>
      <c r="AR650" s="149"/>
      <c r="AS650" s="149"/>
      <c r="AT650" s="149"/>
      <c r="AU650" s="149"/>
      <c r="AV650" s="149"/>
      <c r="AW650" s="149"/>
      <c r="AX650" s="149"/>
      <c r="AY650" s="149"/>
      <c r="AZ650" s="149"/>
      <c r="BA650" s="149"/>
      <c r="BB650" s="149"/>
      <c r="BC650" s="149"/>
      <c r="BD650" s="149"/>
      <c r="BE650" s="149"/>
      <c r="BF650" s="149"/>
      <c r="BG650" s="149"/>
      <c r="BH650" s="149"/>
      <c r="BI650" s="149"/>
      <c r="BJ650" s="149"/>
      <c r="BK650" s="149"/>
      <c r="BL650" s="149"/>
      <c r="BM650" s="149"/>
      <c r="BN650" s="149"/>
      <c r="BO650" s="149"/>
      <c r="BP650" s="149"/>
      <c r="BQ650" s="149"/>
      <c r="BR650" s="149"/>
    </row>
    <row r="651" ht="34" customHeight="1" spans="1:70">
      <c r="A651" s="208">
        <v>657</v>
      </c>
      <c r="B651" s="149"/>
      <c r="C651" s="149"/>
      <c r="D651" s="149"/>
      <c r="E651" s="149"/>
      <c r="F651" s="149"/>
      <c r="G651" s="149"/>
      <c r="H651" s="149"/>
      <c r="I651" s="149"/>
      <c r="J651" s="149"/>
      <c r="K651" s="149"/>
      <c r="L651" s="149"/>
      <c r="M651" s="149"/>
      <c r="N651" s="149"/>
      <c r="O651" s="149"/>
      <c r="P651" s="149"/>
      <c r="Q651" s="149"/>
      <c r="R651" s="149"/>
      <c r="S651" s="149"/>
      <c r="T651" s="149"/>
      <c r="U651" s="149"/>
      <c r="V651" s="149"/>
      <c r="W651" s="149"/>
      <c r="X651" s="149"/>
      <c r="Y651" s="149"/>
      <c r="Z651" s="149"/>
      <c r="AA651" s="149"/>
      <c r="AB651" s="149"/>
      <c r="AC651" s="149"/>
      <c r="AD651" s="149"/>
      <c r="AE651" s="149"/>
      <c r="AF651" s="149"/>
      <c r="AG651" s="149"/>
      <c r="AH651" s="149"/>
      <c r="AI651" s="149"/>
      <c r="AJ651" s="149"/>
      <c r="AK651" s="149"/>
      <c r="AL651" s="149"/>
      <c r="AM651" s="149"/>
      <c r="AN651" s="149"/>
      <c r="AO651" s="149"/>
      <c r="AP651" s="149"/>
      <c r="AR651" s="149"/>
      <c r="AS651" s="149"/>
      <c r="AT651" s="149"/>
      <c r="AU651" s="149"/>
      <c r="AV651" s="149"/>
      <c r="AW651" s="149"/>
      <c r="AX651" s="149"/>
      <c r="AY651" s="149"/>
      <c r="AZ651" s="149"/>
      <c r="BA651" s="149"/>
      <c r="BB651" s="149"/>
      <c r="BC651" s="149"/>
      <c r="BD651" s="149"/>
      <c r="BE651" s="149"/>
      <c r="BF651" s="149"/>
      <c r="BG651" s="149"/>
      <c r="BH651" s="149"/>
      <c r="BI651" s="149"/>
      <c r="BJ651" s="149"/>
      <c r="BK651" s="149"/>
      <c r="BL651" s="149"/>
      <c r="BM651" s="149"/>
      <c r="BN651" s="149"/>
      <c r="BO651" s="149"/>
      <c r="BP651" s="149"/>
      <c r="BQ651" s="149"/>
      <c r="BR651" s="149"/>
    </row>
    <row r="652" ht="34" customHeight="1" spans="1:70">
      <c r="A652" s="208">
        <v>658</v>
      </c>
      <c r="B652" s="149"/>
      <c r="C652" s="149"/>
      <c r="D652" s="149"/>
      <c r="E652" s="149"/>
      <c r="F652" s="149"/>
      <c r="G652" s="149"/>
      <c r="H652" s="149"/>
      <c r="I652" s="149"/>
      <c r="J652" s="149"/>
      <c r="K652" s="149"/>
      <c r="L652" s="149"/>
      <c r="M652" s="149"/>
      <c r="N652" s="149"/>
      <c r="O652" s="149"/>
      <c r="P652" s="149"/>
      <c r="Q652" s="149"/>
      <c r="R652" s="149"/>
      <c r="S652" s="149"/>
      <c r="T652" s="149"/>
      <c r="U652" s="149"/>
      <c r="V652" s="149"/>
      <c r="W652" s="149"/>
      <c r="X652" s="149"/>
      <c r="Y652" s="149"/>
      <c r="Z652" s="149"/>
      <c r="AA652" s="149"/>
      <c r="AB652" s="149"/>
      <c r="AC652" s="149"/>
      <c r="AD652" s="149"/>
      <c r="AE652" s="149"/>
      <c r="AF652" s="149"/>
      <c r="AG652" s="149"/>
      <c r="AH652" s="149"/>
      <c r="AI652" s="149"/>
      <c r="AJ652" s="149"/>
      <c r="AK652" s="149"/>
      <c r="AL652" s="149"/>
      <c r="AM652" s="149"/>
      <c r="AN652" s="149"/>
      <c r="AO652" s="149"/>
      <c r="AP652" s="149"/>
      <c r="AR652" s="149"/>
      <c r="AS652" s="149"/>
      <c r="AT652" s="149"/>
      <c r="AU652" s="149"/>
      <c r="AV652" s="149"/>
      <c r="AW652" s="149"/>
      <c r="AX652" s="149"/>
      <c r="AY652" s="149"/>
      <c r="AZ652" s="149"/>
      <c r="BA652" s="149"/>
      <c r="BB652" s="149"/>
      <c r="BC652" s="149"/>
      <c r="BD652" s="149"/>
      <c r="BE652" s="149"/>
      <c r="BF652" s="149"/>
      <c r="BG652" s="149"/>
      <c r="BH652" s="149"/>
      <c r="BI652" s="149"/>
      <c r="BJ652" s="149"/>
      <c r="BK652" s="149"/>
      <c r="BL652" s="149"/>
      <c r="BM652" s="149"/>
      <c r="BN652" s="149"/>
      <c r="BO652" s="149"/>
      <c r="BP652" s="149"/>
      <c r="BQ652" s="149"/>
      <c r="BR652" s="149"/>
    </row>
    <row r="653" ht="34" customHeight="1" spans="1:70">
      <c r="A653" s="208">
        <v>659</v>
      </c>
      <c r="B653" s="149"/>
      <c r="C653" s="149"/>
      <c r="D653" s="149"/>
      <c r="E653" s="149"/>
      <c r="F653" s="149"/>
      <c r="G653" s="149"/>
      <c r="H653" s="149"/>
      <c r="I653" s="149"/>
      <c r="J653" s="149"/>
      <c r="K653" s="149"/>
      <c r="L653" s="149"/>
      <c r="M653" s="149"/>
      <c r="N653" s="149"/>
      <c r="O653" s="149"/>
      <c r="P653" s="149"/>
      <c r="Q653" s="149"/>
      <c r="R653" s="149"/>
      <c r="S653" s="149"/>
      <c r="T653" s="149"/>
      <c r="U653" s="149"/>
      <c r="V653" s="149"/>
      <c r="W653" s="149"/>
      <c r="X653" s="149"/>
      <c r="Y653" s="149"/>
      <c r="Z653" s="149"/>
      <c r="AA653" s="149"/>
      <c r="AB653" s="149"/>
      <c r="AC653" s="149"/>
      <c r="AD653" s="149"/>
      <c r="AE653" s="149"/>
      <c r="AF653" s="149"/>
      <c r="AG653" s="149"/>
      <c r="AH653" s="149"/>
      <c r="AI653" s="149"/>
      <c r="AJ653" s="149"/>
      <c r="AK653" s="149"/>
      <c r="AL653" s="149"/>
      <c r="AM653" s="149"/>
      <c r="AN653" s="149"/>
      <c r="AO653" s="149"/>
      <c r="AP653" s="149"/>
      <c r="AR653" s="149"/>
      <c r="AS653" s="149"/>
      <c r="AT653" s="149"/>
      <c r="AU653" s="149"/>
      <c r="AV653" s="149"/>
      <c r="AW653" s="149"/>
      <c r="AX653" s="149"/>
      <c r="AY653" s="149"/>
      <c r="AZ653" s="149"/>
      <c r="BA653" s="149"/>
      <c r="BB653" s="149"/>
      <c r="BC653" s="149"/>
      <c r="BD653" s="149"/>
      <c r="BE653" s="149"/>
      <c r="BF653" s="149"/>
      <c r="BG653" s="149"/>
      <c r="BH653" s="149"/>
      <c r="BI653" s="149"/>
      <c r="BJ653" s="149"/>
      <c r="BK653" s="149"/>
      <c r="BL653" s="149"/>
      <c r="BM653" s="149"/>
      <c r="BN653" s="149"/>
      <c r="BO653" s="149"/>
      <c r="BP653" s="149"/>
      <c r="BQ653" s="149"/>
      <c r="BR653" s="149"/>
    </row>
    <row r="654" ht="34" customHeight="1" spans="1:70">
      <c r="A654" s="208">
        <v>660</v>
      </c>
      <c r="B654" s="149"/>
      <c r="C654" s="149"/>
      <c r="D654" s="149"/>
      <c r="E654" s="149"/>
      <c r="F654" s="149"/>
      <c r="G654" s="149"/>
      <c r="H654" s="149"/>
      <c r="I654" s="149"/>
      <c r="J654" s="149"/>
      <c r="K654" s="149"/>
      <c r="L654" s="149"/>
      <c r="M654" s="149"/>
      <c r="N654" s="149"/>
      <c r="O654" s="149"/>
      <c r="P654" s="149"/>
      <c r="Q654" s="149"/>
      <c r="R654" s="149"/>
      <c r="S654" s="149"/>
      <c r="T654" s="149"/>
      <c r="U654" s="149"/>
      <c r="V654" s="149"/>
      <c r="W654" s="149"/>
      <c r="X654" s="149"/>
      <c r="Y654" s="149"/>
      <c r="Z654" s="149"/>
      <c r="AA654" s="149"/>
      <c r="AB654" s="149"/>
      <c r="AC654" s="149"/>
      <c r="AD654" s="149"/>
      <c r="AE654" s="149"/>
      <c r="AF654" s="149"/>
      <c r="AG654" s="149"/>
      <c r="AH654" s="149"/>
      <c r="AI654" s="149"/>
      <c r="AJ654" s="149"/>
      <c r="AK654" s="149"/>
      <c r="AL654" s="149"/>
      <c r="AM654" s="149"/>
      <c r="AN654" s="149"/>
      <c r="AO654" s="149"/>
      <c r="AP654" s="149"/>
      <c r="AR654" s="149"/>
      <c r="AS654" s="149"/>
      <c r="AT654" s="149"/>
      <c r="AU654" s="149"/>
      <c r="AV654" s="149"/>
      <c r="AW654" s="149"/>
      <c r="AX654" s="149"/>
      <c r="AY654" s="149"/>
      <c r="AZ654" s="149"/>
      <c r="BA654" s="149"/>
      <c r="BB654" s="149"/>
      <c r="BC654" s="149"/>
      <c r="BD654" s="149"/>
      <c r="BE654" s="149"/>
      <c r="BF654" s="149"/>
      <c r="BG654" s="149"/>
      <c r="BH654" s="149"/>
      <c r="BI654" s="149"/>
      <c r="BJ654" s="149"/>
      <c r="BK654" s="149"/>
      <c r="BL654" s="149"/>
      <c r="BM654" s="149"/>
      <c r="BN654" s="149"/>
      <c r="BO654" s="149"/>
      <c r="BP654" s="149"/>
      <c r="BQ654" s="149"/>
      <c r="BR654" s="149"/>
    </row>
    <row r="655" ht="34" customHeight="1" spans="1:70">
      <c r="A655" s="208">
        <v>661</v>
      </c>
      <c r="B655" s="149"/>
      <c r="C655" s="149"/>
      <c r="D655" s="149"/>
      <c r="E655" s="149"/>
      <c r="F655" s="149"/>
      <c r="G655" s="149"/>
      <c r="H655" s="149"/>
      <c r="I655" s="149"/>
      <c r="J655" s="149"/>
      <c r="K655" s="149"/>
      <c r="L655" s="149"/>
      <c r="M655" s="149"/>
      <c r="N655" s="149"/>
      <c r="O655" s="149"/>
      <c r="P655" s="149"/>
      <c r="Q655" s="149"/>
      <c r="R655" s="149"/>
      <c r="S655" s="149"/>
      <c r="T655" s="149"/>
      <c r="U655" s="149"/>
      <c r="V655" s="149"/>
      <c r="W655" s="149"/>
      <c r="X655" s="149"/>
      <c r="Y655" s="149"/>
      <c r="Z655" s="149"/>
      <c r="AA655" s="149"/>
      <c r="AB655" s="149"/>
      <c r="AC655" s="149"/>
      <c r="AD655" s="149"/>
      <c r="AE655" s="149"/>
      <c r="AF655" s="149"/>
      <c r="AG655" s="149"/>
      <c r="AH655" s="149"/>
      <c r="AI655" s="149"/>
      <c r="AJ655" s="149"/>
      <c r="AK655" s="149"/>
      <c r="AL655" s="149"/>
      <c r="AM655" s="149"/>
      <c r="AN655" s="149"/>
      <c r="AO655" s="149"/>
      <c r="AP655" s="149"/>
      <c r="AR655" s="149"/>
      <c r="AS655" s="149"/>
      <c r="AT655" s="149"/>
      <c r="AU655" s="149"/>
      <c r="AV655" s="149"/>
      <c r="AW655" s="149"/>
      <c r="AX655" s="149"/>
      <c r="AY655" s="149"/>
      <c r="AZ655" s="149"/>
      <c r="BA655" s="149"/>
      <c r="BB655" s="149"/>
      <c r="BC655" s="149"/>
      <c r="BD655" s="149"/>
      <c r="BE655" s="149"/>
      <c r="BF655" s="149"/>
      <c r="BG655" s="149"/>
      <c r="BH655" s="149"/>
      <c r="BI655" s="149"/>
      <c r="BJ655" s="149"/>
      <c r="BK655" s="149"/>
      <c r="BL655" s="149"/>
      <c r="BM655" s="149"/>
      <c r="BN655" s="149"/>
      <c r="BO655" s="149"/>
      <c r="BP655" s="149"/>
      <c r="BQ655" s="149"/>
      <c r="BR655" s="149"/>
    </row>
    <row r="656" ht="34" customHeight="1" spans="1:70">
      <c r="A656" s="208">
        <v>662</v>
      </c>
      <c r="B656" s="149"/>
      <c r="C656" s="149"/>
      <c r="D656" s="149"/>
      <c r="E656" s="149"/>
      <c r="F656" s="149"/>
      <c r="G656" s="149"/>
      <c r="H656" s="149"/>
      <c r="I656" s="149"/>
      <c r="J656" s="149"/>
      <c r="K656" s="149"/>
      <c r="L656" s="149"/>
      <c r="M656" s="149"/>
      <c r="N656" s="149"/>
      <c r="O656" s="149"/>
      <c r="P656" s="149"/>
      <c r="Q656" s="149"/>
      <c r="R656" s="149"/>
      <c r="S656" s="149"/>
      <c r="T656" s="149"/>
      <c r="U656" s="149"/>
      <c r="V656" s="149"/>
      <c r="W656" s="149"/>
      <c r="X656" s="149"/>
      <c r="Y656" s="149"/>
      <c r="Z656" s="149"/>
      <c r="AA656" s="149"/>
      <c r="AB656" s="149"/>
      <c r="AC656" s="149"/>
      <c r="AD656" s="149"/>
      <c r="AE656" s="149"/>
      <c r="AF656" s="149"/>
      <c r="AG656" s="149"/>
      <c r="AH656" s="149"/>
      <c r="AI656" s="149"/>
      <c r="AJ656" s="149"/>
      <c r="AK656" s="149"/>
      <c r="AL656" s="149"/>
      <c r="AM656" s="149"/>
      <c r="AN656" s="149"/>
      <c r="AO656" s="149"/>
      <c r="AP656" s="149"/>
      <c r="AR656" s="149"/>
      <c r="AS656" s="149"/>
      <c r="AT656" s="149"/>
      <c r="AU656" s="149"/>
      <c r="AV656" s="149"/>
      <c r="AW656" s="149"/>
      <c r="AX656" s="149"/>
      <c r="AY656" s="149"/>
      <c r="AZ656" s="149"/>
      <c r="BA656" s="149"/>
      <c r="BB656" s="149"/>
      <c r="BC656" s="149"/>
      <c r="BD656" s="149"/>
      <c r="BE656" s="149"/>
      <c r="BF656" s="149"/>
      <c r="BG656" s="149"/>
      <c r="BH656" s="149"/>
      <c r="BI656" s="149"/>
      <c r="BJ656" s="149"/>
      <c r="BK656" s="149"/>
      <c r="BL656" s="149"/>
      <c r="BM656" s="149"/>
      <c r="BN656" s="149"/>
      <c r="BO656" s="149"/>
      <c r="BP656" s="149"/>
      <c r="BQ656" s="149"/>
      <c r="BR656" s="149"/>
    </row>
    <row r="657" ht="34" customHeight="1" spans="1:70">
      <c r="A657" s="208">
        <v>663</v>
      </c>
      <c r="B657" s="149"/>
      <c r="C657" s="149"/>
      <c r="D657" s="149"/>
      <c r="E657" s="149"/>
      <c r="F657" s="149"/>
      <c r="G657" s="149"/>
      <c r="H657" s="149"/>
      <c r="I657" s="149"/>
      <c r="J657" s="149"/>
      <c r="K657" s="149"/>
      <c r="L657" s="149"/>
      <c r="M657" s="149"/>
      <c r="N657" s="149"/>
      <c r="O657" s="149"/>
      <c r="P657" s="149"/>
      <c r="Q657" s="149"/>
      <c r="R657" s="149"/>
      <c r="S657" s="149"/>
      <c r="T657" s="149"/>
      <c r="U657" s="149"/>
      <c r="V657" s="149"/>
      <c r="W657" s="149"/>
      <c r="X657" s="149"/>
      <c r="Y657" s="149"/>
      <c r="Z657" s="149"/>
      <c r="AA657" s="149"/>
      <c r="AB657" s="149"/>
      <c r="AC657" s="149"/>
      <c r="AD657" s="149"/>
      <c r="AE657" s="149"/>
      <c r="AF657" s="149"/>
      <c r="AG657" s="149"/>
      <c r="AH657" s="149"/>
      <c r="AI657" s="149"/>
      <c r="AJ657" s="149"/>
      <c r="AK657" s="149"/>
      <c r="AL657" s="149"/>
      <c r="AM657" s="149"/>
      <c r="AN657" s="149"/>
      <c r="AO657" s="149"/>
      <c r="AP657" s="149"/>
      <c r="AR657" s="149"/>
      <c r="AS657" s="149"/>
      <c r="AT657" s="149"/>
      <c r="AU657" s="149"/>
      <c r="AV657" s="149"/>
      <c r="AW657" s="149"/>
      <c r="AX657" s="149"/>
      <c r="AY657" s="149"/>
      <c r="AZ657" s="149"/>
      <c r="BA657" s="149"/>
      <c r="BB657" s="149"/>
      <c r="BC657" s="149"/>
      <c r="BD657" s="149"/>
      <c r="BE657" s="149"/>
      <c r="BF657" s="149"/>
      <c r="BG657" s="149"/>
      <c r="BH657" s="149"/>
      <c r="BI657" s="149"/>
      <c r="BJ657" s="149"/>
      <c r="BK657" s="149"/>
      <c r="BL657" s="149"/>
      <c r="BM657" s="149"/>
      <c r="BN657" s="149"/>
      <c r="BO657" s="149"/>
      <c r="BP657" s="149"/>
      <c r="BQ657" s="149"/>
      <c r="BR657" s="149"/>
    </row>
    <row r="658" ht="34" customHeight="1" spans="1:70">
      <c r="A658" s="208">
        <v>664</v>
      </c>
      <c r="B658" s="149"/>
      <c r="C658" s="149"/>
      <c r="D658" s="149"/>
      <c r="E658" s="149"/>
      <c r="F658" s="149"/>
      <c r="G658" s="149"/>
      <c r="H658" s="149"/>
      <c r="I658" s="149"/>
      <c r="J658" s="149"/>
      <c r="K658" s="149"/>
      <c r="L658" s="149"/>
      <c r="M658" s="149"/>
      <c r="N658" s="149"/>
      <c r="O658" s="149"/>
      <c r="P658" s="149"/>
      <c r="Q658" s="149"/>
      <c r="R658" s="149"/>
      <c r="S658" s="149"/>
      <c r="T658" s="149"/>
      <c r="U658" s="149"/>
      <c r="V658" s="149"/>
      <c r="W658" s="149"/>
      <c r="X658" s="149"/>
      <c r="Y658" s="149"/>
      <c r="Z658" s="149"/>
      <c r="AA658" s="149"/>
      <c r="AB658" s="149"/>
      <c r="AC658" s="149"/>
      <c r="AD658" s="149"/>
      <c r="AE658" s="149"/>
      <c r="AF658" s="149"/>
      <c r="AG658" s="149"/>
      <c r="AH658" s="149"/>
      <c r="AI658" s="149"/>
      <c r="AJ658" s="149"/>
      <c r="AK658" s="149"/>
      <c r="AL658" s="149"/>
      <c r="AM658" s="149"/>
      <c r="AN658" s="149"/>
      <c r="AO658" s="149"/>
      <c r="AP658" s="149"/>
      <c r="AR658" s="149"/>
      <c r="AS658" s="149"/>
      <c r="AT658" s="149"/>
      <c r="AU658" s="149"/>
      <c r="AV658" s="149"/>
      <c r="AW658" s="149"/>
      <c r="AX658" s="149"/>
      <c r="AY658" s="149"/>
      <c r="AZ658" s="149"/>
      <c r="BA658" s="149"/>
      <c r="BB658" s="149"/>
      <c r="BC658" s="149"/>
      <c r="BD658" s="149"/>
      <c r="BE658" s="149"/>
      <c r="BF658" s="149"/>
      <c r="BG658" s="149"/>
      <c r="BH658" s="149"/>
      <c r="BI658" s="149"/>
      <c r="BJ658" s="149"/>
      <c r="BK658" s="149"/>
      <c r="BL658" s="149"/>
      <c r="BM658" s="149"/>
      <c r="BN658" s="149"/>
      <c r="BO658" s="149"/>
      <c r="BP658" s="149"/>
      <c r="BQ658" s="149"/>
      <c r="BR658" s="149"/>
    </row>
    <row r="659" ht="34" customHeight="1" spans="1:70">
      <c r="A659" s="208">
        <v>665</v>
      </c>
      <c r="B659" s="149"/>
      <c r="C659" s="149"/>
      <c r="D659" s="149"/>
      <c r="E659" s="149"/>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ht="34" customHeight="1" spans="1:70">
      <c r="A660" s="208">
        <v>666</v>
      </c>
      <c r="B660" s="149"/>
      <c r="C660" s="149"/>
      <c r="D660" s="149"/>
      <c r="E660" s="149"/>
      <c r="F660" s="149"/>
      <c r="G660" s="149"/>
      <c r="H660" s="149"/>
      <c r="I660" s="149"/>
      <c r="J660" s="149"/>
      <c r="K660" s="149"/>
      <c r="L660" s="149"/>
      <c r="M660" s="149"/>
      <c r="N660" s="149"/>
      <c r="O660" s="149"/>
      <c r="P660" s="149"/>
      <c r="Q660" s="149"/>
      <c r="R660" s="149"/>
      <c r="S660" s="149"/>
      <c r="T660" s="149"/>
      <c r="U660" s="149"/>
      <c r="V660" s="149"/>
      <c r="W660" s="149"/>
      <c r="X660" s="149"/>
      <c r="Y660" s="149"/>
      <c r="Z660" s="149"/>
      <c r="AA660" s="149"/>
      <c r="AB660" s="149"/>
      <c r="AC660" s="149"/>
      <c r="AD660" s="149"/>
      <c r="AE660" s="149"/>
      <c r="AF660" s="149"/>
      <c r="AG660" s="149"/>
      <c r="AH660" s="149"/>
      <c r="AI660" s="149"/>
      <c r="AJ660" s="149"/>
      <c r="AK660" s="149"/>
      <c r="AL660" s="149"/>
      <c r="AM660" s="149"/>
      <c r="AN660" s="149"/>
      <c r="AO660" s="149"/>
      <c r="AP660" s="149"/>
      <c r="AR660" s="149"/>
      <c r="AS660" s="149"/>
      <c r="AT660" s="149"/>
      <c r="AU660" s="149"/>
      <c r="AV660" s="149"/>
      <c r="AW660" s="149"/>
      <c r="AX660" s="149"/>
      <c r="AY660" s="149"/>
      <c r="AZ660" s="149"/>
      <c r="BA660" s="149"/>
      <c r="BB660" s="149"/>
      <c r="BC660" s="149"/>
      <c r="BD660" s="149"/>
      <c r="BE660" s="149"/>
      <c r="BF660" s="149"/>
      <c r="BG660" s="149"/>
      <c r="BH660" s="149"/>
      <c r="BI660" s="149"/>
      <c r="BJ660" s="149"/>
      <c r="BK660" s="149"/>
      <c r="BL660" s="149"/>
      <c r="BM660" s="149"/>
      <c r="BN660" s="149"/>
      <c r="BO660" s="149"/>
      <c r="BP660" s="149"/>
      <c r="BQ660" s="149"/>
      <c r="BR660" s="149"/>
    </row>
    <row r="661" ht="34" customHeight="1" spans="1:70">
      <c r="A661" s="208">
        <v>667</v>
      </c>
      <c r="B661" s="149"/>
      <c r="C661" s="149"/>
      <c r="D661" s="149"/>
      <c r="E661" s="149"/>
      <c r="F661" s="149"/>
      <c r="G661" s="149"/>
      <c r="H661" s="149"/>
      <c r="I661" s="149"/>
      <c r="J661" s="149"/>
      <c r="K661" s="149"/>
      <c r="L661" s="149"/>
      <c r="M661" s="149"/>
      <c r="N661" s="149"/>
      <c r="O661" s="149"/>
      <c r="P661" s="149"/>
      <c r="Q661" s="149"/>
      <c r="R661" s="149"/>
      <c r="S661" s="149"/>
      <c r="T661" s="149"/>
      <c r="U661" s="149"/>
      <c r="V661" s="149"/>
      <c r="W661" s="149"/>
      <c r="X661" s="149"/>
      <c r="Y661" s="149"/>
      <c r="Z661" s="149"/>
      <c r="AA661" s="149"/>
      <c r="AB661" s="149"/>
      <c r="AC661" s="149"/>
      <c r="AD661" s="149"/>
      <c r="AE661" s="149"/>
      <c r="AF661" s="149"/>
      <c r="AG661" s="149"/>
      <c r="AH661" s="149"/>
      <c r="AI661" s="149"/>
      <c r="AJ661" s="149"/>
      <c r="AK661" s="149"/>
      <c r="AL661" s="149"/>
      <c r="AM661" s="149"/>
      <c r="AN661" s="149"/>
      <c r="AO661" s="149"/>
      <c r="AP661" s="149"/>
      <c r="AR661" s="149"/>
      <c r="AS661" s="149"/>
      <c r="AT661" s="149"/>
      <c r="AU661" s="149"/>
      <c r="AV661" s="149"/>
      <c r="AW661" s="149"/>
      <c r="AX661" s="149"/>
      <c r="AY661" s="149"/>
      <c r="AZ661" s="149"/>
      <c r="BA661" s="149"/>
      <c r="BB661" s="149"/>
      <c r="BC661" s="149"/>
      <c r="BD661" s="149"/>
      <c r="BE661" s="149"/>
      <c r="BF661" s="149"/>
      <c r="BG661" s="149"/>
      <c r="BH661" s="149"/>
      <c r="BI661" s="149"/>
      <c r="BJ661" s="149"/>
      <c r="BK661" s="149"/>
      <c r="BL661" s="149"/>
      <c r="BM661" s="149"/>
      <c r="BN661" s="149"/>
      <c r="BO661" s="149"/>
      <c r="BP661" s="149"/>
      <c r="BQ661" s="149"/>
      <c r="BR661" s="149"/>
    </row>
    <row r="662" ht="34" customHeight="1" spans="1:70">
      <c r="A662" s="208">
        <v>668</v>
      </c>
      <c r="B662" s="149"/>
      <c r="C662" s="149"/>
      <c r="D662" s="149"/>
      <c r="E662" s="149"/>
      <c r="F662" s="149"/>
      <c r="G662" s="149"/>
      <c r="H662" s="149"/>
      <c r="I662" s="149"/>
      <c r="J662" s="149"/>
      <c r="K662" s="149"/>
      <c r="L662" s="149"/>
      <c r="M662" s="149"/>
      <c r="N662" s="149"/>
      <c r="O662" s="149"/>
      <c r="P662" s="149"/>
      <c r="Q662" s="149"/>
      <c r="R662" s="149"/>
      <c r="S662" s="149"/>
      <c r="T662" s="149"/>
      <c r="U662" s="149"/>
      <c r="V662" s="149"/>
      <c r="W662" s="149"/>
      <c r="X662" s="149"/>
      <c r="Y662" s="149"/>
      <c r="Z662" s="149"/>
      <c r="AA662" s="149"/>
      <c r="AB662" s="149"/>
      <c r="AC662" s="149"/>
      <c r="AD662" s="149"/>
      <c r="AE662" s="149"/>
      <c r="AF662" s="149"/>
      <c r="AG662" s="149"/>
      <c r="AH662" s="149"/>
      <c r="AI662" s="149"/>
      <c r="AJ662" s="149"/>
      <c r="AK662" s="149"/>
      <c r="AL662" s="149"/>
      <c r="AM662" s="149"/>
      <c r="AN662" s="149"/>
      <c r="AO662" s="149"/>
      <c r="AP662" s="149"/>
      <c r="AR662" s="149"/>
      <c r="AS662" s="149"/>
      <c r="AT662" s="149"/>
      <c r="AU662" s="149"/>
      <c r="AV662" s="149"/>
      <c r="AW662" s="149"/>
      <c r="AX662" s="149"/>
      <c r="AY662" s="149"/>
      <c r="AZ662" s="149"/>
      <c r="BA662" s="149"/>
      <c r="BB662" s="149"/>
      <c r="BC662" s="149"/>
      <c r="BD662" s="149"/>
      <c r="BE662" s="149"/>
      <c r="BF662" s="149"/>
      <c r="BG662" s="149"/>
      <c r="BH662" s="149"/>
      <c r="BI662" s="149"/>
      <c r="BJ662" s="149"/>
      <c r="BK662" s="149"/>
      <c r="BL662" s="149"/>
      <c r="BM662" s="149"/>
      <c r="BN662" s="149"/>
      <c r="BO662" s="149"/>
      <c r="BP662" s="149"/>
      <c r="BQ662" s="149"/>
      <c r="BR662" s="149"/>
    </row>
    <row r="663" ht="34" customHeight="1" spans="1:70">
      <c r="A663" s="208">
        <v>669</v>
      </c>
      <c r="B663" s="149"/>
      <c r="C663" s="149"/>
      <c r="D663" s="149"/>
      <c r="E663" s="149"/>
      <c r="F663" s="149"/>
      <c r="G663" s="149"/>
      <c r="H663" s="149"/>
      <c r="I663" s="149"/>
      <c r="J663" s="149"/>
      <c r="K663" s="149"/>
      <c r="L663" s="149"/>
      <c r="M663" s="149"/>
      <c r="N663" s="149"/>
      <c r="O663" s="149"/>
      <c r="P663" s="149"/>
      <c r="Q663" s="149"/>
      <c r="R663" s="149"/>
      <c r="S663" s="149"/>
      <c r="T663" s="149"/>
      <c r="U663" s="149"/>
      <c r="V663" s="149"/>
      <c r="W663" s="149"/>
      <c r="X663" s="149"/>
      <c r="Y663" s="149"/>
      <c r="Z663" s="149"/>
      <c r="AA663" s="149"/>
      <c r="AB663" s="149"/>
      <c r="AC663" s="149"/>
      <c r="AD663" s="149"/>
      <c r="AE663" s="149"/>
      <c r="AF663" s="149"/>
      <c r="AG663" s="149"/>
      <c r="AH663" s="149"/>
      <c r="AI663" s="149"/>
      <c r="AJ663" s="149"/>
      <c r="AK663" s="149"/>
      <c r="AL663" s="149"/>
      <c r="AM663" s="149"/>
      <c r="AN663" s="149"/>
      <c r="AO663" s="149"/>
      <c r="AP663" s="149"/>
      <c r="AR663" s="149"/>
      <c r="AS663" s="149"/>
      <c r="AT663" s="149"/>
      <c r="AU663" s="149"/>
      <c r="AV663" s="149"/>
      <c r="AW663" s="149"/>
      <c r="AX663" s="149"/>
      <c r="AY663" s="149"/>
      <c r="AZ663" s="149"/>
      <c r="BA663" s="149"/>
      <c r="BB663" s="149"/>
      <c r="BC663" s="149"/>
      <c r="BD663" s="149"/>
      <c r="BE663" s="149"/>
      <c r="BF663" s="149"/>
      <c r="BG663" s="149"/>
      <c r="BH663" s="149"/>
      <c r="BI663" s="149"/>
      <c r="BJ663" s="149"/>
      <c r="BK663" s="149"/>
      <c r="BL663" s="149"/>
      <c r="BM663" s="149"/>
      <c r="BN663" s="149"/>
      <c r="BO663" s="149"/>
      <c r="BP663" s="149"/>
      <c r="BQ663" s="149"/>
      <c r="BR663" s="149"/>
    </row>
    <row r="664" ht="34" customHeight="1" spans="1:70">
      <c r="A664" s="208">
        <v>670</v>
      </c>
      <c r="B664" s="149"/>
      <c r="C664" s="149"/>
      <c r="D664" s="149"/>
      <c r="E664" s="149"/>
      <c r="F664" s="149"/>
      <c r="G664" s="149"/>
      <c r="H664" s="149"/>
      <c r="I664" s="149"/>
      <c r="J664" s="149"/>
      <c r="K664" s="149"/>
      <c r="L664" s="149"/>
      <c r="M664" s="149"/>
      <c r="N664" s="149"/>
      <c r="O664" s="149"/>
      <c r="P664" s="149"/>
      <c r="Q664" s="149"/>
      <c r="R664" s="149"/>
      <c r="S664" s="149"/>
      <c r="T664" s="149"/>
      <c r="U664" s="149"/>
      <c r="V664" s="149"/>
      <c r="W664" s="149"/>
      <c r="X664" s="149"/>
      <c r="Y664" s="149"/>
      <c r="Z664" s="149"/>
      <c r="AA664" s="149"/>
      <c r="AB664" s="149"/>
      <c r="AC664" s="149"/>
      <c r="AD664" s="149"/>
      <c r="AE664" s="149"/>
      <c r="AF664" s="149"/>
      <c r="AG664" s="149"/>
      <c r="AH664" s="149"/>
      <c r="AI664" s="149"/>
      <c r="AJ664" s="149"/>
      <c r="AK664" s="149"/>
      <c r="AL664" s="149"/>
      <c r="AM664" s="149"/>
      <c r="AN664" s="149"/>
      <c r="AO664" s="149"/>
      <c r="AP664" s="149"/>
      <c r="AR664" s="149"/>
      <c r="AS664" s="149"/>
      <c r="AT664" s="149"/>
      <c r="AU664" s="149"/>
      <c r="AV664" s="149"/>
      <c r="AW664" s="149"/>
      <c r="AX664" s="149"/>
      <c r="AY664" s="149"/>
      <c r="AZ664" s="149"/>
      <c r="BA664" s="149"/>
      <c r="BB664" s="149"/>
      <c r="BC664" s="149"/>
      <c r="BD664" s="149"/>
      <c r="BE664" s="149"/>
      <c r="BF664" s="149"/>
      <c r="BG664" s="149"/>
      <c r="BH664" s="149"/>
      <c r="BI664" s="149"/>
      <c r="BJ664" s="149"/>
      <c r="BK664" s="149"/>
      <c r="BL664" s="149"/>
      <c r="BM664" s="149"/>
      <c r="BN664" s="149"/>
      <c r="BO664" s="149"/>
      <c r="BP664" s="149"/>
      <c r="BQ664" s="149"/>
      <c r="BR664" s="149"/>
    </row>
    <row r="665" ht="34" customHeight="1" spans="1:70">
      <c r="A665" s="208">
        <v>671</v>
      </c>
      <c r="B665" s="149"/>
      <c r="C665" s="149"/>
      <c r="D665" s="149"/>
      <c r="E665" s="149"/>
      <c r="F665" s="149"/>
      <c r="G665" s="149"/>
      <c r="H665" s="149"/>
      <c r="I665" s="149"/>
      <c r="J665" s="149"/>
      <c r="K665" s="149"/>
      <c r="L665" s="149"/>
      <c r="M665" s="149"/>
      <c r="N665" s="149"/>
      <c r="O665" s="149"/>
      <c r="P665" s="149"/>
      <c r="Q665" s="149"/>
      <c r="R665" s="149"/>
      <c r="S665" s="149"/>
      <c r="T665" s="149"/>
      <c r="U665" s="149"/>
      <c r="V665" s="149"/>
      <c r="W665" s="149"/>
      <c r="X665" s="149"/>
      <c r="Y665" s="149"/>
      <c r="Z665" s="149"/>
      <c r="AA665" s="149"/>
      <c r="AB665" s="149"/>
      <c r="AC665" s="149"/>
      <c r="AD665" s="149"/>
      <c r="AE665" s="149"/>
      <c r="AF665" s="149"/>
      <c r="AG665" s="149"/>
      <c r="AH665" s="149"/>
      <c r="AI665" s="149"/>
      <c r="AJ665" s="149"/>
      <c r="AK665" s="149"/>
      <c r="AL665" s="149"/>
      <c r="AM665" s="149"/>
      <c r="AN665" s="149"/>
      <c r="AO665" s="149"/>
      <c r="AP665" s="149"/>
      <c r="AR665" s="149"/>
      <c r="AS665" s="149"/>
      <c r="AT665" s="149"/>
      <c r="AU665" s="149"/>
      <c r="AV665" s="149"/>
      <c r="AW665" s="149"/>
      <c r="AX665" s="149"/>
      <c r="AY665" s="149"/>
      <c r="AZ665" s="149"/>
      <c r="BA665" s="149"/>
      <c r="BB665" s="149"/>
      <c r="BC665" s="149"/>
      <c r="BD665" s="149"/>
      <c r="BE665" s="149"/>
      <c r="BF665" s="149"/>
      <c r="BG665" s="149"/>
      <c r="BH665" s="149"/>
      <c r="BI665" s="149"/>
      <c r="BJ665" s="149"/>
      <c r="BK665" s="149"/>
      <c r="BL665" s="149"/>
      <c r="BM665" s="149"/>
      <c r="BN665" s="149"/>
      <c r="BO665" s="149"/>
      <c r="BP665" s="149"/>
      <c r="BQ665" s="149"/>
      <c r="BR665" s="149"/>
    </row>
    <row r="666" ht="34" customHeight="1" spans="1:70">
      <c r="A666" s="208">
        <v>672</v>
      </c>
      <c r="B666" s="149"/>
      <c r="C666" s="149"/>
      <c r="D666" s="149"/>
      <c r="E666" s="149"/>
      <c r="F666" s="149"/>
      <c r="G666" s="149"/>
      <c r="H666" s="149"/>
      <c r="I666" s="149"/>
      <c r="J666" s="149"/>
      <c r="K666" s="149"/>
      <c r="L666" s="149"/>
      <c r="M666" s="149"/>
      <c r="N666" s="149"/>
      <c r="O666" s="149"/>
      <c r="P666" s="149"/>
      <c r="Q666" s="149"/>
      <c r="R666" s="149"/>
      <c r="S666" s="149"/>
      <c r="T666" s="149"/>
      <c r="U666" s="149"/>
      <c r="V666" s="149"/>
      <c r="W666" s="149"/>
      <c r="X666" s="149"/>
      <c r="Y666" s="149"/>
      <c r="Z666" s="149"/>
      <c r="AA666" s="149"/>
      <c r="AB666" s="149"/>
      <c r="AC666" s="149"/>
      <c r="AD666" s="149"/>
      <c r="AE666" s="149"/>
      <c r="AF666" s="149"/>
      <c r="AG666" s="149"/>
      <c r="AH666" s="149"/>
      <c r="AI666" s="149"/>
      <c r="AJ666" s="149"/>
      <c r="AK666" s="149"/>
      <c r="AL666" s="149"/>
      <c r="AM666" s="149"/>
      <c r="AN666" s="149"/>
      <c r="AO666" s="149"/>
      <c r="AP666" s="149"/>
      <c r="AR666" s="149"/>
      <c r="AS666" s="149"/>
      <c r="AT666" s="149"/>
      <c r="AU666" s="149"/>
      <c r="AV666" s="149"/>
      <c r="AW666" s="149"/>
      <c r="AX666" s="149"/>
      <c r="AY666" s="149"/>
      <c r="AZ666" s="149"/>
      <c r="BA666" s="149"/>
      <c r="BB666" s="149"/>
      <c r="BC666" s="149"/>
      <c r="BD666" s="149"/>
      <c r="BE666" s="149"/>
      <c r="BF666" s="149"/>
      <c r="BG666" s="149"/>
      <c r="BH666" s="149"/>
      <c r="BI666" s="149"/>
      <c r="BJ666" s="149"/>
      <c r="BK666" s="149"/>
      <c r="BL666" s="149"/>
      <c r="BM666" s="149"/>
      <c r="BN666" s="149"/>
      <c r="BO666" s="149"/>
      <c r="BP666" s="149"/>
      <c r="BQ666" s="149"/>
      <c r="BR666" s="149"/>
    </row>
    <row r="667" ht="34" customHeight="1" spans="1:70">
      <c r="A667" s="208">
        <v>673</v>
      </c>
      <c r="B667" s="149"/>
      <c r="C667" s="149"/>
      <c r="D667" s="149"/>
      <c r="E667" s="149"/>
      <c r="F667" s="149"/>
      <c r="G667" s="149"/>
      <c r="H667" s="149"/>
      <c r="I667" s="149"/>
      <c r="J667" s="149"/>
      <c r="K667" s="149"/>
      <c r="L667" s="149"/>
      <c r="M667" s="149"/>
      <c r="N667" s="149"/>
      <c r="O667" s="149"/>
      <c r="P667" s="149"/>
      <c r="Q667" s="149"/>
      <c r="R667" s="149"/>
      <c r="S667" s="149"/>
      <c r="T667" s="149"/>
      <c r="U667" s="149"/>
      <c r="V667" s="149"/>
      <c r="W667" s="149"/>
      <c r="X667" s="149"/>
      <c r="Y667" s="149"/>
      <c r="Z667" s="149"/>
      <c r="AA667" s="149"/>
      <c r="AB667" s="149"/>
      <c r="AC667" s="149"/>
      <c r="AD667" s="149"/>
      <c r="AE667" s="149"/>
      <c r="AF667" s="149"/>
      <c r="AG667" s="149"/>
      <c r="AH667" s="149"/>
      <c r="AI667" s="149"/>
      <c r="AJ667" s="149"/>
      <c r="AK667" s="149"/>
      <c r="AL667" s="149"/>
      <c r="AM667" s="149"/>
      <c r="AN667" s="149"/>
      <c r="AO667" s="149"/>
      <c r="AP667" s="149"/>
      <c r="AR667" s="149"/>
      <c r="AS667" s="149"/>
      <c r="AT667" s="149"/>
      <c r="AU667" s="149"/>
      <c r="AV667" s="149"/>
      <c r="AW667" s="149"/>
      <c r="AX667" s="149"/>
      <c r="AY667" s="149"/>
      <c r="AZ667" s="149"/>
      <c r="BA667" s="149"/>
      <c r="BB667" s="149"/>
      <c r="BC667" s="149"/>
      <c r="BD667" s="149"/>
      <c r="BE667" s="149"/>
      <c r="BF667" s="149"/>
      <c r="BG667" s="149"/>
      <c r="BH667" s="149"/>
      <c r="BI667" s="149"/>
      <c r="BJ667" s="149"/>
      <c r="BK667" s="149"/>
      <c r="BL667" s="149"/>
      <c r="BM667" s="149"/>
      <c r="BN667" s="149"/>
      <c r="BO667" s="149"/>
      <c r="BP667" s="149"/>
      <c r="BQ667" s="149"/>
      <c r="BR667" s="149"/>
    </row>
    <row r="668" ht="34" customHeight="1" spans="1:70">
      <c r="A668" s="208">
        <v>674</v>
      </c>
      <c r="B668" s="149"/>
      <c r="C668" s="149"/>
      <c r="D668" s="149"/>
      <c r="E668" s="149"/>
      <c r="F668" s="149"/>
      <c r="G668" s="149"/>
      <c r="H668" s="149"/>
      <c r="I668" s="149"/>
      <c r="J668" s="149"/>
      <c r="K668" s="149"/>
      <c r="L668" s="149"/>
      <c r="M668" s="149"/>
      <c r="N668" s="149"/>
      <c r="O668" s="149"/>
      <c r="P668" s="149"/>
      <c r="Q668" s="149"/>
      <c r="R668" s="149"/>
      <c r="S668" s="149"/>
      <c r="T668" s="149"/>
      <c r="U668" s="149"/>
      <c r="V668" s="149"/>
      <c r="W668" s="149"/>
      <c r="X668" s="149"/>
      <c r="Y668" s="149"/>
      <c r="Z668" s="149"/>
      <c r="AA668" s="149"/>
      <c r="AB668" s="149"/>
      <c r="AC668" s="149"/>
      <c r="AD668" s="149"/>
      <c r="AE668" s="149"/>
      <c r="AF668" s="149"/>
      <c r="AG668" s="149"/>
      <c r="AH668" s="149"/>
      <c r="AI668" s="149"/>
      <c r="AJ668" s="149"/>
      <c r="AK668" s="149"/>
      <c r="AL668" s="149"/>
      <c r="AM668" s="149"/>
      <c r="AN668" s="149"/>
      <c r="AO668" s="149"/>
      <c r="AP668" s="149"/>
      <c r="AR668" s="149"/>
      <c r="AS668" s="149"/>
      <c r="AT668" s="149"/>
      <c r="AU668" s="149"/>
      <c r="AV668" s="149"/>
      <c r="AW668" s="149"/>
      <c r="AX668" s="149"/>
      <c r="AY668" s="149"/>
      <c r="AZ668" s="149"/>
      <c r="BA668" s="149"/>
      <c r="BB668" s="149"/>
      <c r="BC668" s="149"/>
      <c r="BD668" s="149"/>
      <c r="BE668" s="149"/>
      <c r="BF668" s="149"/>
      <c r="BG668" s="149"/>
      <c r="BH668" s="149"/>
      <c r="BI668" s="149"/>
      <c r="BJ668" s="149"/>
      <c r="BK668" s="149"/>
      <c r="BL668" s="149"/>
      <c r="BM668" s="149"/>
      <c r="BN668" s="149"/>
      <c r="BO668" s="149"/>
      <c r="BP668" s="149"/>
      <c r="BQ668" s="149"/>
      <c r="BR668" s="149"/>
    </row>
    <row r="669" ht="34" customHeight="1" spans="1:70">
      <c r="A669" s="208">
        <v>675</v>
      </c>
      <c r="B669" s="149"/>
      <c r="C669" s="149"/>
      <c r="D669" s="149"/>
      <c r="E669" s="149"/>
      <c r="F669" s="149"/>
      <c r="G669" s="149"/>
      <c r="H669" s="149"/>
      <c r="I669" s="149"/>
      <c r="J669" s="149"/>
      <c r="K669" s="149"/>
      <c r="L669" s="149"/>
      <c r="M669" s="149"/>
      <c r="N669" s="149"/>
      <c r="O669" s="149"/>
      <c r="P669" s="149"/>
      <c r="Q669" s="149"/>
      <c r="R669" s="149"/>
      <c r="S669" s="149"/>
      <c r="T669" s="149"/>
      <c r="U669" s="149"/>
      <c r="V669" s="149"/>
      <c r="W669" s="149"/>
      <c r="X669" s="149"/>
      <c r="Y669" s="149"/>
      <c r="Z669" s="149"/>
      <c r="AA669" s="149"/>
      <c r="AB669" s="149"/>
      <c r="AC669" s="149"/>
      <c r="AD669" s="149"/>
      <c r="AE669" s="149"/>
      <c r="AF669" s="149"/>
      <c r="AG669" s="149"/>
      <c r="AH669" s="149"/>
      <c r="AI669" s="149"/>
      <c r="AJ669" s="149"/>
      <c r="AK669" s="149"/>
      <c r="AL669" s="149"/>
      <c r="AM669" s="149"/>
      <c r="AN669" s="149"/>
      <c r="AO669" s="149"/>
      <c r="AP669" s="149"/>
      <c r="AR669" s="149"/>
      <c r="AS669" s="149"/>
      <c r="AT669" s="149"/>
      <c r="AU669" s="149"/>
      <c r="AV669" s="149"/>
      <c r="AW669" s="149"/>
      <c r="AX669" s="149"/>
      <c r="AY669" s="149"/>
      <c r="AZ669" s="149"/>
      <c r="BA669" s="149"/>
      <c r="BB669" s="149"/>
      <c r="BC669" s="149"/>
      <c r="BD669" s="149"/>
      <c r="BE669" s="149"/>
      <c r="BF669" s="149"/>
      <c r="BG669" s="149"/>
      <c r="BH669" s="149"/>
      <c r="BI669" s="149"/>
      <c r="BJ669" s="149"/>
      <c r="BK669" s="149"/>
      <c r="BL669" s="149"/>
      <c r="BM669" s="149"/>
      <c r="BN669" s="149"/>
      <c r="BO669" s="149"/>
      <c r="BP669" s="149"/>
      <c r="BQ669" s="149"/>
      <c r="BR669" s="149"/>
    </row>
    <row r="670" ht="34" customHeight="1" spans="1:70">
      <c r="A670" s="208">
        <v>676</v>
      </c>
      <c r="B670" s="149"/>
      <c r="C670" s="149"/>
      <c r="D670" s="149"/>
      <c r="E670" s="149"/>
      <c r="F670" s="149"/>
      <c r="G670" s="149"/>
      <c r="H670" s="149"/>
      <c r="I670" s="149"/>
      <c r="J670" s="149"/>
      <c r="K670" s="149"/>
      <c r="L670" s="149"/>
      <c r="M670" s="149"/>
      <c r="N670" s="149"/>
      <c r="O670" s="149"/>
      <c r="P670" s="149"/>
      <c r="Q670" s="149"/>
      <c r="R670" s="149"/>
      <c r="S670" s="149"/>
      <c r="T670" s="149"/>
      <c r="U670" s="149"/>
      <c r="V670" s="149"/>
      <c r="W670" s="149"/>
      <c r="X670" s="149"/>
      <c r="Y670" s="149"/>
      <c r="Z670" s="149"/>
      <c r="AA670" s="149"/>
      <c r="AB670" s="149"/>
      <c r="AC670" s="149"/>
      <c r="AD670" s="149"/>
      <c r="AE670" s="149"/>
      <c r="AF670" s="149"/>
      <c r="AG670" s="149"/>
      <c r="AH670" s="149"/>
      <c r="AI670" s="149"/>
      <c r="AJ670" s="149"/>
      <c r="AK670" s="149"/>
      <c r="AL670" s="149"/>
      <c r="AM670" s="149"/>
      <c r="AN670" s="149"/>
      <c r="AO670" s="149"/>
      <c r="AP670" s="149"/>
      <c r="AR670" s="149"/>
      <c r="AS670" s="149"/>
      <c r="AT670" s="149"/>
      <c r="AU670" s="149"/>
      <c r="AV670" s="149"/>
      <c r="AW670" s="149"/>
      <c r="AX670" s="149"/>
      <c r="AY670" s="149"/>
      <c r="AZ670" s="149"/>
      <c r="BA670" s="149"/>
      <c r="BB670" s="149"/>
      <c r="BC670" s="149"/>
      <c r="BD670" s="149"/>
      <c r="BE670" s="149"/>
      <c r="BF670" s="149"/>
      <c r="BG670" s="149"/>
      <c r="BH670" s="149"/>
      <c r="BI670" s="149"/>
      <c r="BJ670" s="149"/>
      <c r="BK670" s="149"/>
      <c r="BL670" s="149"/>
      <c r="BM670" s="149"/>
      <c r="BN670" s="149"/>
      <c r="BO670" s="149"/>
      <c r="BP670" s="149"/>
      <c r="BQ670" s="149"/>
      <c r="BR670" s="149"/>
    </row>
    <row r="671" ht="34" customHeight="1" spans="1:70">
      <c r="A671" s="208">
        <v>677</v>
      </c>
      <c r="B671" s="149"/>
      <c r="C671" s="149"/>
      <c r="D671" s="149"/>
      <c r="E671" s="149"/>
      <c r="F671" s="149"/>
      <c r="G671" s="149"/>
      <c r="H671" s="149"/>
      <c r="I671" s="149"/>
      <c r="J671" s="149"/>
      <c r="K671" s="149"/>
      <c r="L671" s="149"/>
      <c r="M671" s="149"/>
      <c r="N671" s="149"/>
      <c r="O671" s="149"/>
      <c r="P671" s="149"/>
      <c r="Q671" s="149"/>
      <c r="R671" s="149"/>
      <c r="S671" s="149"/>
      <c r="T671" s="149"/>
      <c r="U671" s="149"/>
      <c r="V671" s="149"/>
      <c r="W671" s="149"/>
      <c r="X671" s="149"/>
      <c r="Y671" s="149"/>
      <c r="Z671" s="149"/>
      <c r="AA671" s="149"/>
      <c r="AB671" s="149"/>
      <c r="AC671" s="149"/>
      <c r="AD671" s="149"/>
      <c r="AE671" s="149"/>
      <c r="AF671" s="149"/>
      <c r="AG671" s="149"/>
      <c r="AH671" s="149"/>
      <c r="AI671" s="149"/>
      <c r="AJ671" s="149"/>
      <c r="AK671" s="149"/>
      <c r="AL671" s="149"/>
      <c r="AM671" s="149"/>
      <c r="AN671" s="149"/>
      <c r="AO671" s="149"/>
      <c r="AP671" s="149"/>
      <c r="AR671" s="149"/>
      <c r="AS671" s="149"/>
      <c r="AT671" s="149"/>
      <c r="AU671" s="149"/>
      <c r="AV671" s="149"/>
      <c r="AW671" s="149"/>
      <c r="AX671" s="149"/>
      <c r="AY671" s="149"/>
      <c r="AZ671" s="149"/>
      <c r="BA671" s="149"/>
      <c r="BB671" s="149"/>
      <c r="BC671" s="149"/>
      <c r="BD671" s="149"/>
      <c r="BE671" s="149"/>
      <c r="BF671" s="149"/>
      <c r="BG671" s="149"/>
      <c r="BH671" s="149"/>
      <c r="BI671" s="149"/>
      <c r="BJ671" s="149"/>
      <c r="BK671" s="149"/>
      <c r="BL671" s="149"/>
      <c r="BM671" s="149"/>
      <c r="BN671" s="149"/>
      <c r="BO671" s="149"/>
      <c r="BP671" s="149"/>
      <c r="BQ671" s="149"/>
      <c r="BR671" s="149"/>
    </row>
    <row r="672" ht="34" customHeight="1" spans="1:70">
      <c r="A672" s="208">
        <v>678</v>
      </c>
      <c r="B672" s="149"/>
      <c r="C672" s="149"/>
      <c r="D672" s="149"/>
      <c r="E672" s="149"/>
      <c r="F672" s="149"/>
      <c r="G672" s="149"/>
      <c r="H672" s="149"/>
      <c r="I672" s="149"/>
      <c r="J672" s="149"/>
      <c r="K672" s="149"/>
      <c r="L672" s="149"/>
      <c r="M672" s="149"/>
      <c r="N672" s="149"/>
      <c r="O672" s="149"/>
      <c r="P672" s="149"/>
      <c r="Q672" s="149"/>
      <c r="R672" s="149"/>
      <c r="S672" s="149"/>
      <c r="T672" s="149"/>
      <c r="U672" s="149"/>
      <c r="V672" s="149"/>
      <c r="W672" s="149"/>
      <c r="X672" s="149"/>
      <c r="Y672" s="149"/>
      <c r="Z672" s="149"/>
      <c r="AA672" s="149"/>
      <c r="AB672" s="149"/>
      <c r="AC672" s="149"/>
      <c r="AD672" s="149"/>
      <c r="AE672" s="149"/>
      <c r="AF672" s="149"/>
      <c r="AG672" s="149"/>
      <c r="AH672" s="149"/>
      <c r="AI672" s="149"/>
      <c r="AJ672" s="149"/>
      <c r="AK672" s="149"/>
      <c r="AL672" s="149"/>
      <c r="AM672" s="149"/>
      <c r="AN672" s="149"/>
      <c r="AO672" s="149"/>
      <c r="AP672" s="149"/>
      <c r="AR672" s="149"/>
      <c r="AS672" s="149"/>
      <c r="AT672" s="149"/>
      <c r="AU672" s="149"/>
      <c r="AV672" s="149"/>
      <c r="AW672" s="149"/>
      <c r="AX672" s="149"/>
      <c r="AY672" s="149"/>
      <c r="AZ672" s="149"/>
      <c r="BA672" s="149"/>
      <c r="BB672" s="149"/>
      <c r="BC672" s="149"/>
      <c r="BD672" s="149"/>
      <c r="BE672" s="149"/>
      <c r="BF672" s="149"/>
      <c r="BG672" s="149"/>
      <c r="BH672" s="149"/>
      <c r="BI672" s="149"/>
      <c r="BJ672" s="149"/>
      <c r="BK672" s="149"/>
      <c r="BL672" s="149"/>
      <c r="BM672" s="149"/>
      <c r="BN672" s="149"/>
      <c r="BO672" s="149"/>
      <c r="BP672" s="149"/>
      <c r="BQ672" s="149"/>
      <c r="BR672" s="149"/>
    </row>
    <row r="673" ht="34" customHeight="1" spans="1:70">
      <c r="A673" s="208">
        <v>679</v>
      </c>
      <c r="B673" s="149"/>
      <c r="C673" s="149"/>
      <c r="D673" s="149"/>
      <c r="E673" s="149"/>
      <c r="F673" s="149"/>
      <c r="G673" s="149"/>
      <c r="H673" s="149"/>
      <c r="I673" s="149"/>
      <c r="J673" s="149"/>
      <c r="K673" s="149"/>
      <c r="L673" s="149"/>
      <c r="M673" s="149"/>
      <c r="N673" s="149"/>
      <c r="O673" s="149"/>
      <c r="P673" s="149"/>
      <c r="Q673" s="149"/>
      <c r="R673" s="149"/>
      <c r="S673" s="149"/>
      <c r="T673" s="149"/>
      <c r="U673" s="149"/>
      <c r="V673" s="149"/>
      <c r="W673" s="149"/>
      <c r="X673" s="149"/>
      <c r="Y673" s="149"/>
      <c r="Z673" s="149"/>
      <c r="AA673" s="149"/>
      <c r="AB673" s="149"/>
      <c r="AC673" s="149"/>
      <c r="AD673" s="149"/>
      <c r="AE673" s="149"/>
      <c r="AF673" s="149"/>
      <c r="AG673" s="149"/>
      <c r="AH673" s="149"/>
      <c r="AI673" s="149"/>
      <c r="AJ673" s="149"/>
      <c r="AK673" s="149"/>
      <c r="AL673" s="149"/>
      <c r="AM673" s="149"/>
      <c r="AN673" s="149"/>
      <c r="AO673" s="149"/>
      <c r="AP673" s="149"/>
      <c r="AR673" s="149"/>
      <c r="AS673" s="149"/>
      <c r="AT673" s="149"/>
      <c r="AU673" s="149"/>
      <c r="AV673" s="149"/>
      <c r="AW673" s="149"/>
      <c r="AX673" s="149"/>
      <c r="AY673" s="149"/>
      <c r="AZ673" s="149"/>
      <c r="BA673" s="149"/>
      <c r="BB673" s="149"/>
      <c r="BC673" s="149"/>
      <c r="BD673" s="149"/>
      <c r="BE673" s="149"/>
      <c r="BF673" s="149"/>
      <c r="BG673" s="149"/>
      <c r="BH673" s="149"/>
      <c r="BI673" s="149"/>
      <c r="BJ673" s="149"/>
      <c r="BK673" s="149"/>
      <c r="BL673" s="149"/>
      <c r="BM673" s="149"/>
      <c r="BN673" s="149"/>
      <c r="BO673" s="149"/>
      <c r="BP673" s="149"/>
      <c r="BQ673" s="149"/>
      <c r="BR673" s="149"/>
    </row>
    <row r="674" ht="34" customHeight="1" spans="1:70">
      <c r="A674" s="208">
        <v>680</v>
      </c>
      <c r="B674" s="149"/>
      <c r="C674" s="149"/>
      <c r="D674" s="149"/>
      <c r="E674" s="149"/>
      <c r="F674" s="149"/>
      <c r="G674" s="149"/>
      <c r="H674" s="149"/>
      <c r="I674" s="149"/>
      <c r="J674" s="149"/>
      <c r="K674" s="149"/>
      <c r="L674" s="149"/>
      <c r="M674" s="149"/>
      <c r="N674" s="149"/>
      <c r="O674" s="149"/>
      <c r="P674" s="149"/>
      <c r="Q674" s="149"/>
      <c r="R674" s="149"/>
      <c r="S674" s="149"/>
      <c r="T674" s="149"/>
      <c r="U674" s="149"/>
      <c r="V674" s="149"/>
      <c r="W674" s="149"/>
      <c r="X674" s="149"/>
      <c r="Y674" s="149"/>
      <c r="Z674" s="149"/>
      <c r="AA674" s="149"/>
      <c r="AB674" s="149"/>
      <c r="AC674" s="149"/>
      <c r="AD674" s="149"/>
      <c r="AE674" s="149"/>
      <c r="AF674" s="149"/>
      <c r="AG674" s="149"/>
      <c r="AH674" s="149"/>
      <c r="AI674" s="149"/>
      <c r="AJ674" s="149"/>
      <c r="AK674" s="149"/>
      <c r="AL674" s="149"/>
      <c r="AM674" s="149"/>
      <c r="AN674" s="149"/>
      <c r="AO674" s="149"/>
      <c r="AP674" s="149"/>
      <c r="AR674" s="149"/>
      <c r="AS674" s="149"/>
      <c r="AT674" s="149"/>
      <c r="AU674" s="149"/>
      <c r="AV674" s="149"/>
      <c r="AW674" s="149"/>
      <c r="AX674" s="149"/>
      <c r="AY674" s="149"/>
      <c r="AZ674" s="149"/>
      <c r="BA674" s="149"/>
      <c r="BB674" s="149"/>
      <c r="BC674" s="149"/>
      <c r="BD674" s="149"/>
      <c r="BE674" s="149"/>
      <c r="BF674" s="149"/>
      <c r="BG674" s="149"/>
      <c r="BH674" s="149"/>
      <c r="BI674" s="149"/>
      <c r="BJ674" s="149"/>
      <c r="BK674" s="149"/>
      <c r="BL674" s="149"/>
      <c r="BM674" s="149"/>
      <c r="BN674" s="149"/>
      <c r="BO674" s="149"/>
      <c r="BP674" s="149"/>
      <c r="BQ674" s="149"/>
      <c r="BR674" s="149"/>
    </row>
    <row r="675" ht="34" customHeight="1" spans="1:70">
      <c r="A675" s="208">
        <v>681</v>
      </c>
      <c r="B675" s="149"/>
      <c r="C675" s="149"/>
      <c r="D675" s="149"/>
      <c r="E675" s="149"/>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ht="34" customHeight="1" spans="1:70">
      <c r="A676" s="208">
        <v>682</v>
      </c>
      <c r="B676" s="149"/>
      <c r="C676" s="149"/>
      <c r="D676" s="149"/>
      <c r="E676" s="149"/>
      <c r="F676" s="149"/>
      <c r="G676" s="149"/>
      <c r="H676" s="149"/>
      <c r="I676" s="149"/>
      <c r="J676" s="149"/>
      <c r="K676" s="149"/>
      <c r="L676" s="149"/>
      <c r="M676" s="149"/>
      <c r="N676" s="149"/>
      <c r="O676" s="149"/>
      <c r="P676" s="149"/>
      <c r="Q676" s="149"/>
      <c r="R676" s="149"/>
      <c r="S676" s="149"/>
      <c r="T676" s="149"/>
      <c r="U676" s="149"/>
      <c r="V676" s="149"/>
      <c r="W676" s="149"/>
      <c r="X676" s="149"/>
      <c r="Y676" s="149"/>
      <c r="Z676" s="149"/>
      <c r="AA676" s="149"/>
      <c r="AB676" s="149"/>
      <c r="AC676" s="149"/>
      <c r="AD676" s="149"/>
      <c r="AE676" s="149"/>
      <c r="AF676" s="149"/>
      <c r="AG676" s="149"/>
      <c r="AH676" s="149"/>
      <c r="AI676" s="149"/>
      <c r="AJ676" s="149"/>
      <c r="AK676" s="149"/>
      <c r="AL676" s="149"/>
      <c r="AM676" s="149"/>
      <c r="AN676" s="149"/>
      <c r="AO676" s="149"/>
      <c r="AP676" s="149"/>
      <c r="AR676" s="149"/>
      <c r="AS676" s="149"/>
      <c r="AT676" s="149"/>
      <c r="AU676" s="149"/>
      <c r="AV676" s="149"/>
      <c r="AW676" s="149"/>
      <c r="AX676" s="149"/>
      <c r="AY676" s="149"/>
      <c r="AZ676" s="149"/>
      <c r="BA676" s="149"/>
      <c r="BB676" s="149"/>
      <c r="BC676" s="149"/>
      <c r="BD676" s="149"/>
      <c r="BE676" s="149"/>
      <c r="BF676" s="149"/>
      <c r="BG676" s="149"/>
      <c r="BH676" s="149"/>
      <c r="BI676" s="149"/>
      <c r="BJ676" s="149"/>
      <c r="BK676" s="149"/>
      <c r="BL676" s="149"/>
      <c r="BM676" s="149"/>
      <c r="BN676" s="149"/>
      <c r="BO676" s="149"/>
      <c r="BP676" s="149"/>
      <c r="BQ676" s="149"/>
      <c r="BR676" s="149"/>
    </row>
    <row r="677" ht="34" customHeight="1" spans="1:70">
      <c r="A677" s="208">
        <v>683</v>
      </c>
      <c r="B677" s="149"/>
      <c r="C677" s="149"/>
      <c r="D677" s="149"/>
      <c r="E677" s="149"/>
      <c r="F677" s="149"/>
      <c r="G677" s="149"/>
      <c r="H677" s="149"/>
      <c r="I677" s="149"/>
      <c r="J677" s="149"/>
      <c r="K677" s="149"/>
      <c r="L677" s="149"/>
      <c r="M677" s="149"/>
      <c r="N677" s="149"/>
      <c r="O677" s="149"/>
      <c r="P677" s="149"/>
      <c r="Q677" s="149"/>
      <c r="R677" s="149"/>
      <c r="S677" s="149"/>
      <c r="T677" s="149"/>
      <c r="U677" s="149"/>
      <c r="V677" s="149"/>
      <c r="W677" s="149"/>
      <c r="X677" s="149"/>
      <c r="Y677" s="149"/>
      <c r="Z677" s="149"/>
      <c r="AA677" s="149"/>
      <c r="AB677" s="149"/>
      <c r="AC677" s="149"/>
      <c r="AD677" s="149"/>
      <c r="AE677" s="149"/>
      <c r="AF677" s="149"/>
      <c r="AG677" s="149"/>
      <c r="AH677" s="149"/>
      <c r="AI677" s="149"/>
      <c r="AJ677" s="149"/>
      <c r="AK677" s="149"/>
      <c r="AL677" s="149"/>
      <c r="AM677" s="149"/>
      <c r="AN677" s="149"/>
      <c r="AO677" s="149"/>
      <c r="AP677" s="149"/>
      <c r="AR677" s="149"/>
      <c r="AS677" s="149"/>
      <c r="AT677" s="149"/>
      <c r="AU677" s="149"/>
      <c r="AV677" s="149"/>
      <c r="AW677" s="149"/>
      <c r="AX677" s="149"/>
      <c r="AY677" s="149"/>
      <c r="AZ677" s="149"/>
      <c r="BA677" s="149"/>
      <c r="BB677" s="149"/>
      <c r="BC677" s="149"/>
      <c r="BD677" s="149"/>
      <c r="BE677" s="149"/>
      <c r="BF677" s="149"/>
      <c r="BG677" s="149"/>
      <c r="BH677" s="149"/>
      <c r="BI677" s="149"/>
      <c r="BJ677" s="149"/>
      <c r="BK677" s="149"/>
      <c r="BL677" s="149"/>
      <c r="BM677" s="149"/>
      <c r="BN677" s="149"/>
      <c r="BO677" s="149"/>
      <c r="BP677" s="149"/>
      <c r="BQ677" s="149"/>
      <c r="BR677" s="149"/>
    </row>
    <row r="678" ht="34" customHeight="1" spans="1:70">
      <c r="A678" s="208">
        <v>684</v>
      </c>
      <c r="B678" s="149"/>
      <c r="C678" s="149"/>
      <c r="D678" s="149"/>
      <c r="E678" s="149"/>
      <c r="F678" s="149"/>
      <c r="G678" s="149"/>
      <c r="H678" s="149"/>
      <c r="I678" s="149"/>
      <c r="J678" s="149"/>
      <c r="K678" s="149"/>
      <c r="L678" s="149"/>
      <c r="M678" s="149"/>
      <c r="N678" s="149"/>
      <c r="O678" s="149"/>
      <c r="P678" s="149"/>
      <c r="Q678" s="149"/>
      <c r="R678" s="149"/>
      <c r="S678" s="149"/>
      <c r="T678" s="149"/>
      <c r="U678" s="149"/>
      <c r="V678" s="149"/>
      <c r="W678" s="149"/>
      <c r="X678" s="149"/>
      <c r="Y678" s="149"/>
      <c r="Z678" s="149"/>
      <c r="AA678" s="149"/>
      <c r="AB678" s="149"/>
      <c r="AC678" s="149"/>
      <c r="AD678" s="149"/>
      <c r="AE678" s="149"/>
      <c r="AF678" s="149"/>
      <c r="AG678" s="149"/>
      <c r="AH678" s="149"/>
      <c r="AI678" s="149"/>
      <c r="AJ678" s="149"/>
      <c r="AK678" s="149"/>
      <c r="AL678" s="149"/>
      <c r="AM678" s="149"/>
      <c r="AN678" s="149"/>
      <c r="AO678" s="149"/>
      <c r="AP678" s="149"/>
      <c r="AR678" s="149"/>
      <c r="AS678" s="149"/>
      <c r="AT678" s="149"/>
      <c r="AU678" s="149"/>
      <c r="AV678" s="149"/>
      <c r="AW678" s="149"/>
      <c r="AX678" s="149"/>
      <c r="AY678" s="149"/>
      <c r="AZ678" s="149"/>
      <c r="BA678" s="149"/>
      <c r="BB678" s="149"/>
      <c r="BC678" s="149"/>
      <c r="BD678" s="149"/>
      <c r="BE678" s="149"/>
      <c r="BF678" s="149"/>
      <c r="BG678" s="149"/>
      <c r="BH678" s="149"/>
      <c r="BI678" s="149"/>
      <c r="BJ678" s="149"/>
      <c r="BK678" s="149"/>
      <c r="BL678" s="149"/>
      <c r="BM678" s="149"/>
      <c r="BN678" s="149"/>
      <c r="BO678" s="149"/>
      <c r="BP678" s="149"/>
      <c r="BQ678" s="149"/>
      <c r="BR678" s="149"/>
    </row>
    <row r="679" ht="34" customHeight="1" spans="1:70">
      <c r="A679" s="208">
        <v>685</v>
      </c>
      <c r="B679" s="149"/>
      <c r="C679" s="149"/>
      <c r="D679" s="149"/>
      <c r="E679" s="149"/>
      <c r="F679" s="149"/>
      <c r="G679" s="149"/>
      <c r="H679" s="149"/>
      <c r="I679" s="149"/>
      <c r="J679" s="149"/>
      <c r="K679" s="149"/>
      <c r="L679" s="149"/>
      <c r="M679" s="149"/>
      <c r="N679" s="149"/>
      <c r="O679" s="149"/>
      <c r="P679" s="149"/>
      <c r="Q679" s="149"/>
      <c r="R679" s="149"/>
      <c r="S679" s="149"/>
      <c r="T679" s="149"/>
      <c r="U679" s="149"/>
      <c r="V679" s="149"/>
      <c r="W679" s="149"/>
      <c r="X679" s="149"/>
      <c r="Y679" s="149"/>
      <c r="Z679" s="149"/>
      <c r="AA679" s="149"/>
      <c r="AB679" s="149"/>
      <c r="AC679" s="149"/>
      <c r="AD679" s="149"/>
      <c r="AE679" s="149"/>
      <c r="AF679" s="149"/>
      <c r="AG679" s="149"/>
      <c r="AH679" s="149"/>
      <c r="AI679" s="149"/>
      <c r="AJ679" s="149"/>
      <c r="AK679" s="149"/>
      <c r="AL679" s="149"/>
      <c r="AM679" s="149"/>
      <c r="AN679" s="149"/>
      <c r="AO679" s="149"/>
      <c r="AP679" s="149"/>
      <c r="AR679" s="149"/>
      <c r="AS679" s="149"/>
      <c r="AT679" s="149"/>
      <c r="AU679" s="149"/>
      <c r="AV679" s="149"/>
      <c r="AW679" s="149"/>
      <c r="AX679" s="149"/>
      <c r="AY679" s="149"/>
      <c r="AZ679" s="149"/>
      <c r="BA679" s="149"/>
      <c r="BB679" s="149"/>
      <c r="BC679" s="149"/>
      <c r="BD679" s="149"/>
      <c r="BE679" s="149"/>
      <c r="BF679" s="149"/>
      <c r="BG679" s="149"/>
      <c r="BH679" s="149"/>
      <c r="BI679" s="149"/>
      <c r="BJ679" s="149"/>
      <c r="BK679" s="149"/>
      <c r="BL679" s="149"/>
      <c r="BM679" s="149"/>
      <c r="BN679" s="149"/>
      <c r="BO679" s="149"/>
      <c r="BP679" s="149"/>
      <c r="BQ679" s="149"/>
      <c r="BR679" s="149"/>
    </row>
    <row r="680" ht="34" customHeight="1" spans="1:70">
      <c r="A680" s="208">
        <v>686</v>
      </c>
      <c r="B680" s="149"/>
      <c r="C680" s="149"/>
      <c r="D680" s="149"/>
      <c r="E680" s="149"/>
      <c r="F680" s="149"/>
      <c r="G680" s="149"/>
      <c r="H680" s="149"/>
      <c r="I680" s="149"/>
      <c r="J680" s="149"/>
      <c r="K680" s="149"/>
      <c r="L680" s="149"/>
      <c r="M680" s="149"/>
      <c r="N680" s="149"/>
      <c r="O680" s="149"/>
      <c r="P680" s="149"/>
      <c r="Q680" s="149"/>
      <c r="R680" s="149"/>
      <c r="S680" s="149"/>
      <c r="T680" s="149"/>
      <c r="U680" s="149"/>
      <c r="V680" s="149"/>
      <c r="W680" s="149"/>
      <c r="X680" s="149"/>
      <c r="Y680" s="149"/>
      <c r="Z680" s="149"/>
      <c r="AA680" s="149"/>
      <c r="AB680" s="149"/>
      <c r="AC680" s="149"/>
      <c r="AD680" s="149"/>
      <c r="AE680" s="149"/>
      <c r="AF680" s="149"/>
      <c r="AG680" s="149"/>
      <c r="AH680" s="149"/>
      <c r="AI680" s="149"/>
      <c r="AJ680" s="149"/>
      <c r="AK680" s="149"/>
      <c r="AL680" s="149"/>
      <c r="AM680" s="149"/>
      <c r="AN680" s="149"/>
      <c r="AO680" s="149"/>
      <c r="AP680" s="149"/>
      <c r="AR680" s="149"/>
      <c r="AS680" s="149"/>
      <c r="AT680" s="149"/>
      <c r="AU680" s="149"/>
      <c r="AV680" s="149"/>
      <c r="AW680" s="149"/>
      <c r="AX680" s="149"/>
      <c r="AY680" s="149"/>
      <c r="AZ680" s="149"/>
      <c r="BA680" s="149"/>
      <c r="BB680" s="149"/>
      <c r="BC680" s="149"/>
      <c r="BD680" s="149"/>
      <c r="BE680" s="149"/>
      <c r="BF680" s="149"/>
      <c r="BG680" s="149"/>
      <c r="BH680" s="149"/>
      <c r="BI680" s="149"/>
      <c r="BJ680" s="149"/>
      <c r="BK680" s="149"/>
      <c r="BL680" s="149"/>
      <c r="BM680" s="149"/>
      <c r="BN680" s="149"/>
      <c r="BO680" s="149"/>
      <c r="BP680" s="149"/>
      <c r="BQ680" s="149"/>
      <c r="BR680" s="149"/>
    </row>
    <row r="681" ht="34" customHeight="1" spans="1:70">
      <c r="A681" s="208">
        <v>687</v>
      </c>
      <c r="B681" s="149"/>
      <c r="C681" s="149"/>
      <c r="D681" s="149"/>
      <c r="E681" s="149"/>
      <c r="F681" s="149"/>
      <c r="G681" s="149"/>
      <c r="H681" s="149"/>
      <c r="I681" s="149"/>
      <c r="J681" s="149"/>
      <c r="K681" s="149"/>
      <c r="L681" s="149"/>
      <c r="M681" s="149"/>
      <c r="N681" s="149"/>
      <c r="O681" s="149"/>
      <c r="P681" s="149"/>
      <c r="Q681" s="149"/>
      <c r="R681" s="149"/>
      <c r="S681" s="149"/>
      <c r="T681" s="149"/>
      <c r="U681" s="149"/>
      <c r="V681" s="149"/>
      <c r="W681" s="149"/>
      <c r="X681" s="149"/>
      <c r="Y681" s="149"/>
      <c r="Z681" s="149"/>
      <c r="AA681" s="149"/>
      <c r="AB681" s="149"/>
      <c r="AC681" s="149"/>
      <c r="AD681" s="149"/>
      <c r="AE681" s="149"/>
      <c r="AF681" s="149"/>
      <c r="AG681" s="149"/>
      <c r="AH681" s="149"/>
      <c r="AI681" s="149"/>
      <c r="AJ681" s="149"/>
      <c r="AK681" s="149"/>
      <c r="AL681" s="149"/>
      <c r="AM681" s="149"/>
      <c r="AN681" s="149"/>
      <c r="AO681" s="149"/>
      <c r="AP681" s="149"/>
      <c r="AR681" s="149"/>
      <c r="AS681" s="149"/>
      <c r="AT681" s="149"/>
      <c r="AU681" s="149"/>
      <c r="AV681" s="149"/>
      <c r="AW681" s="149"/>
      <c r="AX681" s="149"/>
      <c r="AY681" s="149"/>
      <c r="AZ681" s="149"/>
      <c r="BA681" s="149"/>
      <c r="BB681" s="149"/>
      <c r="BC681" s="149"/>
      <c r="BD681" s="149"/>
      <c r="BE681" s="149"/>
      <c r="BF681" s="149"/>
      <c r="BG681" s="149"/>
      <c r="BH681" s="149"/>
      <c r="BI681" s="149"/>
      <c r="BJ681" s="149"/>
      <c r="BK681" s="149"/>
      <c r="BL681" s="149"/>
      <c r="BM681" s="149"/>
      <c r="BN681" s="149"/>
      <c r="BO681" s="149"/>
      <c r="BP681" s="149"/>
      <c r="BQ681" s="149"/>
      <c r="BR681" s="149"/>
    </row>
    <row r="682" ht="34" customHeight="1" spans="1:70">
      <c r="A682" s="208">
        <v>688</v>
      </c>
      <c r="B682" s="149"/>
      <c r="C682" s="149"/>
      <c r="D682" s="149"/>
      <c r="E682" s="149"/>
      <c r="F682" s="149"/>
      <c r="G682" s="149"/>
      <c r="H682" s="149"/>
      <c r="I682" s="149"/>
      <c r="J682" s="149"/>
      <c r="K682" s="149"/>
      <c r="L682" s="149"/>
      <c r="M682" s="149"/>
      <c r="N682" s="149"/>
      <c r="O682" s="149"/>
      <c r="P682" s="149"/>
      <c r="Q682" s="149"/>
      <c r="R682" s="149"/>
      <c r="S682" s="149"/>
      <c r="T682" s="149"/>
      <c r="U682" s="149"/>
      <c r="V682" s="149"/>
      <c r="W682" s="149"/>
      <c r="X682" s="149"/>
      <c r="Y682" s="149"/>
      <c r="Z682" s="149"/>
      <c r="AA682" s="149"/>
      <c r="AB682" s="149"/>
      <c r="AC682" s="149"/>
      <c r="AD682" s="149"/>
      <c r="AE682" s="149"/>
      <c r="AF682" s="149"/>
      <c r="AG682" s="149"/>
      <c r="AH682" s="149"/>
      <c r="AI682" s="149"/>
      <c r="AJ682" s="149"/>
      <c r="AK682" s="149"/>
      <c r="AL682" s="149"/>
      <c r="AM682" s="149"/>
      <c r="AN682" s="149"/>
      <c r="AO682" s="149"/>
      <c r="AP682" s="149"/>
      <c r="AR682" s="149"/>
      <c r="AS682" s="149"/>
      <c r="AT682" s="149"/>
      <c r="AU682" s="149"/>
      <c r="AV682" s="149"/>
      <c r="AW682" s="149"/>
      <c r="AX682" s="149"/>
      <c r="AY682" s="149"/>
      <c r="AZ682" s="149"/>
      <c r="BA682" s="149"/>
      <c r="BB682" s="149"/>
      <c r="BC682" s="149"/>
      <c r="BD682" s="149"/>
      <c r="BE682" s="149"/>
      <c r="BF682" s="149"/>
      <c r="BG682" s="149"/>
      <c r="BH682" s="149"/>
      <c r="BI682" s="149"/>
      <c r="BJ682" s="149"/>
      <c r="BK682" s="149"/>
      <c r="BL682" s="149"/>
      <c r="BM682" s="149"/>
      <c r="BN682" s="149"/>
      <c r="BO682" s="149"/>
      <c r="BP682" s="149"/>
      <c r="BQ682" s="149"/>
      <c r="BR682" s="149"/>
    </row>
    <row r="683" ht="34" customHeight="1" spans="1:70">
      <c r="A683" s="208">
        <v>689</v>
      </c>
      <c r="B683" s="149"/>
      <c r="C683" s="149"/>
      <c r="D683" s="149"/>
      <c r="E683" s="149"/>
      <c r="F683" s="149"/>
      <c r="G683" s="149"/>
      <c r="H683" s="149"/>
      <c r="I683" s="149"/>
      <c r="J683" s="149"/>
      <c r="K683" s="149"/>
      <c r="L683" s="149"/>
      <c r="M683" s="149"/>
      <c r="N683" s="149"/>
      <c r="O683" s="149"/>
      <c r="P683" s="149"/>
      <c r="Q683" s="149"/>
      <c r="R683" s="149"/>
      <c r="S683" s="149"/>
      <c r="T683" s="149"/>
      <c r="U683" s="149"/>
      <c r="V683" s="149"/>
      <c r="W683" s="149"/>
      <c r="X683" s="149"/>
      <c r="Y683" s="149"/>
      <c r="Z683" s="149"/>
      <c r="AA683" s="149"/>
      <c r="AB683" s="149"/>
      <c r="AC683" s="149"/>
      <c r="AD683" s="149"/>
      <c r="AE683" s="149"/>
      <c r="AF683" s="149"/>
      <c r="AG683" s="149"/>
      <c r="AH683" s="149"/>
      <c r="AI683" s="149"/>
      <c r="AJ683" s="149"/>
      <c r="AK683" s="149"/>
      <c r="AL683" s="149"/>
      <c r="AM683" s="149"/>
      <c r="AN683" s="149"/>
      <c r="AO683" s="149"/>
      <c r="AP683" s="149"/>
      <c r="AR683" s="149"/>
      <c r="AS683" s="149"/>
      <c r="AT683" s="149"/>
      <c r="AU683" s="149"/>
      <c r="AV683" s="149"/>
      <c r="AW683" s="149"/>
      <c r="AX683" s="149"/>
      <c r="AY683" s="149"/>
      <c r="AZ683" s="149"/>
      <c r="BA683" s="149"/>
      <c r="BB683" s="149"/>
      <c r="BC683" s="149"/>
      <c r="BD683" s="149"/>
      <c r="BE683" s="149"/>
      <c r="BF683" s="149"/>
      <c r="BG683" s="149"/>
      <c r="BH683" s="149"/>
      <c r="BI683" s="149"/>
      <c r="BJ683" s="149"/>
      <c r="BK683" s="149"/>
      <c r="BL683" s="149"/>
      <c r="BM683" s="149"/>
      <c r="BN683" s="149"/>
      <c r="BO683" s="149"/>
      <c r="BP683" s="149"/>
      <c r="BQ683" s="149"/>
      <c r="BR683" s="149"/>
    </row>
    <row r="684" ht="34" customHeight="1" spans="1:70">
      <c r="A684" s="208">
        <v>690</v>
      </c>
      <c r="B684" s="149"/>
      <c r="C684" s="149"/>
      <c r="D684" s="149"/>
      <c r="E684" s="149"/>
      <c r="F684" s="149"/>
      <c r="G684" s="149"/>
      <c r="H684" s="149"/>
      <c r="I684" s="149"/>
      <c r="J684" s="149"/>
      <c r="K684" s="149"/>
      <c r="L684" s="149"/>
      <c r="M684" s="149"/>
      <c r="N684" s="149"/>
      <c r="O684" s="149"/>
      <c r="P684" s="149"/>
      <c r="Q684" s="149"/>
      <c r="R684" s="149"/>
      <c r="S684" s="149"/>
      <c r="T684" s="149"/>
      <c r="U684" s="149"/>
      <c r="V684" s="149"/>
      <c r="W684" s="149"/>
      <c r="X684" s="149"/>
      <c r="Y684" s="149"/>
      <c r="Z684" s="149"/>
      <c r="AA684" s="149"/>
      <c r="AB684" s="149"/>
      <c r="AC684" s="149"/>
      <c r="AD684" s="149"/>
      <c r="AE684" s="149"/>
      <c r="AF684" s="149"/>
      <c r="AG684" s="149"/>
      <c r="AH684" s="149"/>
      <c r="AI684" s="149"/>
      <c r="AJ684" s="149"/>
      <c r="AK684" s="149"/>
      <c r="AL684" s="149"/>
      <c r="AM684" s="149"/>
      <c r="AN684" s="149"/>
      <c r="AO684" s="149"/>
      <c r="AP684" s="149"/>
      <c r="AR684" s="149"/>
      <c r="AS684" s="149"/>
      <c r="AT684" s="149"/>
      <c r="AU684" s="149"/>
      <c r="AV684" s="149"/>
      <c r="AW684" s="149"/>
      <c r="AX684" s="149"/>
      <c r="AY684" s="149"/>
      <c r="AZ684" s="149"/>
      <c r="BA684" s="149"/>
      <c r="BB684" s="149"/>
      <c r="BC684" s="149"/>
      <c r="BD684" s="149"/>
      <c r="BE684" s="149"/>
      <c r="BF684" s="149"/>
      <c r="BG684" s="149"/>
      <c r="BH684" s="149"/>
      <c r="BI684" s="149"/>
      <c r="BJ684" s="149"/>
      <c r="BK684" s="149"/>
      <c r="BL684" s="149"/>
      <c r="BM684" s="149"/>
      <c r="BN684" s="149"/>
      <c r="BO684" s="149"/>
      <c r="BP684" s="149"/>
      <c r="BQ684" s="149"/>
      <c r="BR684" s="149"/>
    </row>
    <row r="685" ht="34" customHeight="1" spans="1:70">
      <c r="A685" s="208">
        <v>691</v>
      </c>
      <c r="B685" s="149"/>
      <c r="C685" s="149"/>
      <c r="D685" s="149"/>
      <c r="E685" s="149"/>
      <c r="F685" s="149"/>
      <c r="G685" s="149"/>
      <c r="H685" s="149"/>
      <c r="I685" s="149"/>
      <c r="J685" s="149"/>
      <c r="K685" s="149"/>
      <c r="L685" s="149"/>
      <c r="M685" s="149"/>
      <c r="N685" s="149"/>
      <c r="O685" s="149"/>
      <c r="P685" s="149"/>
      <c r="Q685" s="149"/>
      <c r="R685" s="149"/>
      <c r="S685" s="149"/>
      <c r="T685" s="149"/>
      <c r="U685" s="149"/>
      <c r="V685" s="149"/>
      <c r="W685" s="149"/>
      <c r="X685" s="149"/>
      <c r="Y685" s="149"/>
      <c r="Z685" s="149"/>
      <c r="AA685" s="149"/>
      <c r="AB685" s="149"/>
      <c r="AC685" s="149"/>
      <c r="AD685" s="149"/>
      <c r="AE685" s="149"/>
      <c r="AF685" s="149"/>
      <c r="AG685" s="149"/>
      <c r="AH685" s="149"/>
      <c r="AI685" s="149"/>
      <c r="AJ685" s="149"/>
      <c r="AK685" s="149"/>
      <c r="AL685" s="149"/>
      <c r="AM685" s="149"/>
      <c r="AN685" s="149"/>
      <c r="AO685" s="149"/>
      <c r="AP685" s="149"/>
      <c r="AR685" s="149"/>
      <c r="AS685" s="149"/>
      <c r="AT685" s="149"/>
      <c r="AU685" s="149"/>
      <c r="AV685" s="149"/>
      <c r="AW685" s="149"/>
      <c r="AX685" s="149"/>
      <c r="AY685" s="149"/>
      <c r="AZ685" s="149"/>
      <c r="BA685" s="149"/>
      <c r="BB685" s="149"/>
      <c r="BC685" s="149"/>
      <c r="BD685" s="149"/>
      <c r="BE685" s="149"/>
      <c r="BF685" s="149"/>
      <c r="BG685" s="149"/>
      <c r="BH685" s="149"/>
      <c r="BI685" s="149"/>
      <c r="BJ685" s="149"/>
      <c r="BK685" s="149"/>
      <c r="BL685" s="149"/>
      <c r="BM685" s="149"/>
      <c r="BN685" s="149"/>
      <c r="BO685" s="149"/>
      <c r="BP685" s="149"/>
      <c r="BQ685" s="149"/>
      <c r="BR685" s="149"/>
    </row>
    <row r="686" ht="34" customHeight="1" spans="1:70">
      <c r="A686" s="208">
        <v>692</v>
      </c>
      <c r="B686" s="149"/>
      <c r="C686" s="149"/>
      <c r="D686" s="149"/>
      <c r="E686" s="149"/>
      <c r="F686" s="149"/>
      <c r="G686" s="149"/>
      <c r="H686" s="149"/>
      <c r="I686" s="149"/>
      <c r="J686" s="149"/>
      <c r="K686" s="149"/>
      <c r="L686" s="149"/>
      <c r="M686" s="149"/>
      <c r="N686" s="149"/>
      <c r="O686" s="149"/>
      <c r="P686" s="149"/>
      <c r="Q686" s="149"/>
      <c r="R686" s="149"/>
      <c r="S686" s="149"/>
      <c r="T686" s="149"/>
      <c r="U686" s="149"/>
      <c r="V686" s="149"/>
      <c r="W686" s="149"/>
      <c r="X686" s="149"/>
      <c r="Y686" s="149"/>
      <c r="Z686" s="149"/>
      <c r="AA686" s="149"/>
      <c r="AB686" s="149"/>
      <c r="AC686" s="149"/>
      <c r="AD686" s="149"/>
      <c r="AE686" s="149"/>
      <c r="AF686" s="149"/>
      <c r="AG686" s="149"/>
      <c r="AH686" s="149"/>
      <c r="AI686" s="149"/>
      <c r="AJ686" s="149"/>
      <c r="AK686" s="149"/>
      <c r="AL686" s="149"/>
      <c r="AM686" s="149"/>
      <c r="AN686" s="149"/>
      <c r="AO686" s="149"/>
      <c r="AP686" s="149"/>
      <c r="AR686" s="149"/>
      <c r="AS686" s="149"/>
      <c r="AT686" s="149"/>
      <c r="AU686" s="149"/>
      <c r="AV686" s="149"/>
      <c r="AW686" s="149"/>
      <c r="AX686" s="149"/>
      <c r="AY686" s="149"/>
      <c r="AZ686" s="149"/>
      <c r="BA686" s="149"/>
      <c r="BB686" s="149"/>
      <c r="BC686" s="149"/>
      <c r="BD686" s="149"/>
      <c r="BE686" s="149"/>
      <c r="BF686" s="149"/>
      <c r="BG686" s="149"/>
      <c r="BH686" s="149"/>
      <c r="BI686" s="149"/>
      <c r="BJ686" s="149"/>
      <c r="BK686" s="149"/>
      <c r="BL686" s="149"/>
      <c r="BM686" s="149"/>
      <c r="BN686" s="149"/>
      <c r="BO686" s="149"/>
      <c r="BP686" s="149"/>
      <c r="BQ686" s="149"/>
      <c r="BR686" s="149"/>
    </row>
    <row r="687" ht="34" customHeight="1" spans="1:70">
      <c r="A687" s="208">
        <v>693</v>
      </c>
      <c r="B687" s="149"/>
      <c r="C687" s="149"/>
      <c r="D687" s="149"/>
      <c r="E687" s="149"/>
      <c r="F687" s="149"/>
      <c r="G687" s="149"/>
      <c r="H687" s="149"/>
      <c r="I687" s="149"/>
      <c r="J687" s="149"/>
      <c r="K687" s="149"/>
      <c r="L687" s="149"/>
      <c r="M687" s="149"/>
      <c r="N687" s="149"/>
      <c r="O687" s="149"/>
      <c r="P687" s="149"/>
      <c r="Q687" s="149"/>
      <c r="R687" s="149"/>
      <c r="S687" s="149"/>
      <c r="T687" s="149"/>
      <c r="U687" s="149"/>
      <c r="V687" s="149"/>
      <c r="W687" s="149"/>
      <c r="X687" s="149"/>
      <c r="Y687" s="149"/>
      <c r="Z687" s="149"/>
      <c r="AA687" s="149"/>
      <c r="AB687" s="149"/>
      <c r="AC687" s="149"/>
      <c r="AD687" s="149"/>
      <c r="AE687" s="149"/>
      <c r="AF687" s="149"/>
      <c r="AG687" s="149"/>
      <c r="AH687" s="149"/>
      <c r="AI687" s="149"/>
      <c r="AJ687" s="149"/>
      <c r="AK687" s="149"/>
      <c r="AL687" s="149"/>
      <c r="AM687" s="149"/>
      <c r="AN687" s="149"/>
      <c r="AO687" s="149"/>
      <c r="AP687" s="149"/>
      <c r="AR687" s="149"/>
      <c r="AS687" s="149"/>
      <c r="AT687" s="149"/>
      <c r="AU687" s="149"/>
      <c r="AV687" s="149"/>
      <c r="AW687" s="149"/>
      <c r="AX687" s="149"/>
      <c r="AY687" s="149"/>
      <c r="AZ687" s="149"/>
      <c r="BA687" s="149"/>
      <c r="BB687" s="149"/>
      <c r="BC687" s="149"/>
      <c r="BD687" s="149"/>
      <c r="BE687" s="149"/>
      <c r="BF687" s="149"/>
      <c r="BG687" s="149"/>
      <c r="BH687" s="149"/>
      <c r="BI687" s="149"/>
      <c r="BJ687" s="149"/>
      <c r="BK687" s="149"/>
      <c r="BL687" s="149"/>
      <c r="BM687" s="149"/>
      <c r="BN687" s="149"/>
      <c r="BO687" s="149"/>
      <c r="BP687" s="149"/>
      <c r="BQ687" s="149"/>
      <c r="BR687" s="149"/>
    </row>
    <row r="688" ht="34" customHeight="1" spans="1:70">
      <c r="A688" s="208">
        <v>694</v>
      </c>
      <c r="B688" s="149"/>
      <c r="C688" s="149"/>
      <c r="D688" s="149"/>
      <c r="E688" s="149"/>
      <c r="F688" s="149"/>
      <c r="G688" s="149"/>
      <c r="H688" s="149"/>
      <c r="I688" s="149"/>
      <c r="J688" s="149"/>
      <c r="K688" s="149"/>
      <c r="L688" s="149"/>
      <c r="M688" s="149"/>
      <c r="N688" s="149"/>
      <c r="O688" s="149"/>
      <c r="P688" s="149"/>
      <c r="Q688" s="149"/>
      <c r="R688" s="149"/>
      <c r="S688" s="149"/>
      <c r="T688" s="149"/>
      <c r="U688" s="149"/>
      <c r="V688" s="149"/>
      <c r="W688" s="149"/>
      <c r="X688" s="149"/>
      <c r="Y688" s="149"/>
      <c r="Z688" s="149"/>
      <c r="AA688" s="149"/>
      <c r="AB688" s="149"/>
      <c r="AC688" s="149"/>
      <c r="AD688" s="149"/>
      <c r="AE688" s="149"/>
      <c r="AF688" s="149"/>
      <c r="AG688" s="149"/>
      <c r="AH688" s="149"/>
      <c r="AI688" s="149"/>
      <c r="AJ688" s="149"/>
      <c r="AK688" s="149"/>
      <c r="AL688" s="149"/>
      <c r="AM688" s="149"/>
      <c r="AN688" s="149"/>
      <c r="AO688" s="149"/>
      <c r="AP688" s="149"/>
      <c r="AR688" s="149"/>
      <c r="AS688" s="149"/>
      <c r="AT688" s="149"/>
      <c r="AU688" s="149"/>
      <c r="AV688" s="149"/>
      <c r="AW688" s="149"/>
      <c r="AX688" s="149"/>
      <c r="AY688" s="149"/>
      <c r="AZ688" s="149"/>
      <c r="BA688" s="149"/>
      <c r="BB688" s="149"/>
      <c r="BC688" s="149"/>
      <c r="BD688" s="149"/>
      <c r="BE688" s="149"/>
      <c r="BF688" s="149"/>
      <c r="BG688" s="149"/>
      <c r="BH688" s="149"/>
      <c r="BI688" s="149"/>
      <c r="BJ688" s="149"/>
      <c r="BK688" s="149"/>
      <c r="BL688" s="149"/>
      <c r="BM688" s="149"/>
      <c r="BN688" s="149"/>
      <c r="BO688" s="149"/>
      <c r="BP688" s="149"/>
      <c r="BQ688" s="149"/>
      <c r="BR688" s="149"/>
    </row>
    <row r="689" ht="34" customHeight="1" spans="1:70">
      <c r="A689" s="208">
        <v>695</v>
      </c>
      <c r="B689" s="149"/>
      <c r="C689" s="149"/>
      <c r="D689" s="149"/>
      <c r="E689" s="149"/>
      <c r="F689" s="149"/>
      <c r="G689" s="149"/>
      <c r="H689" s="149"/>
      <c r="I689" s="149"/>
      <c r="J689" s="149"/>
      <c r="K689" s="149"/>
      <c r="L689" s="149"/>
      <c r="M689" s="149"/>
      <c r="N689" s="149"/>
      <c r="O689" s="149"/>
      <c r="P689" s="149"/>
      <c r="Q689" s="149"/>
      <c r="R689" s="149"/>
      <c r="S689" s="149"/>
      <c r="T689" s="149"/>
      <c r="U689" s="149"/>
      <c r="V689" s="149"/>
      <c r="W689" s="149"/>
      <c r="X689" s="149"/>
      <c r="Y689" s="149"/>
      <c r="Z689" s="149"/>
      <c r="AA689" s="149"/>
      <c r="AB689" s="149"/>
      <c r="AC689" s="149"/>
      <c r="AD689" s="149"/>
      <c r="AE689" s="149"/>
      <c r="AF689" s="149"/>
      <c r="AG689" s="149"/>
      <c r="AH689" s="149"/>
      <c r="AI689" s="149"/>
      <c r="AJ689" s="149"/>
      <c r="AK689" s="149"/>
      <c r="AL689" s="149"/>
      <c r="AM689" s="149"/>
      <c r="AN689" s="149"/>
      <c r="AO689" s="149"/>
      <c r="AP689" s="149"/>
      <c r="AR689" s="149"/>
      <c r="AS689" s="149"/>
      <c r="AT689" s="149"/>
      <c r="AU689" s="149"/>
      <c r="AV689" s="149"/>
      <c r="AW689" s="149"/>
      <c r="AX689" s="149"/>
      <c r="AY689" s="149"/>
      <c r="AZ689" s="149"/>
      <c r="BA689" s="149"/>
      <c r="BB689" s="149"/>
      <c r="BC689" s="149"/>
      <c r="BD689" s="149"/>
      <c r="BE689" s="149"/>
      <c r="BF689" s="149"/>
      <c r="BG689" s="149"/>
      <c r="BH689" s="149"/>
      <c r="BI689" s="149"/>
      <c r="BJ689" s="149"/>
      <c r="BK689" s="149"/>
      <c r="BL689" s="149"/>
      <c r="BM689" s="149"/>
      <c r="BN689" s="149"/>
      <c r="BO689" s="149"/>
      <c r="BP689" s="149"/>
      <c r="BQ689" s="149"/>
      <c r="BR689" s="149"/>
    </row>
    <row r="690" ht="34" customHeight="1" spans="1:70">
      <c r="A690" s="208">
        <v>696</v>
      </c>
      <c r="B690" s="149"/>
      <c r="C690" s="149"/>
      <c r="D690" s="149"/>
      <c r="E690" s="149"/>
      <c r="F690" s="149"/>
      <c r="G690" s="149"/>
      <c r="H690" s="149"/>
      <c r="I690" s="149"/>
      <c r="J690" s="149"/>
      <c r="K690" s="149"/>
      <c r="L690" s="149"/>
      <c r="M690" s="149"/>
      <c r="N690" s="149"/>
      <c r="O690" s="149"/>
      <c r="P690" s="149"/>
      <c r="Q690" s="149"/>
      <c r="R690" s="149"/>
      <c r="S690" s="149"/>
      <c r="T690" s="149"/>
      <c r="U690" s="149"/>
      <c r="V690" s="149"/>
      <c r="W690" s="149"/>
      <c r="X690" s="149"/>
      <c r="Y690" s="149"/>
      <c r="Z690" s="149"/>
      <c r="AA690" s="149"/>
      <c r="AB690" s="149"/>
      <c r="AC690" s="149"/>
      <c r="AD690" s="149"/>
      <c r="AE690" s="149"/>
      <c r="AF690" s="149"/>
      <c r="AG690" s="149"/>
      <c r="AH690" s="149"/>
      <c r="AI690" s="149"/>
      <c r="AJ690" s="149"/>
      <c r="AK690" s="149"/>
      <c r="AL690" s="149"/>
      <c r="AM690" s="149"/>
      <c r="AN690" s="149"/>
      <c r="AO690" s="149"/>
      <c r="AP690" s="149"/>
      <c r="AR690" s="149"/>
      <c r="AS690" s="149"/>
      <c r="AT690" s="149"/>
      <c r="AU690" s="149"/>
      <c r="AV690" s="149"/>
      <c r="AW690" s="149"/>
      <c r="AX690" s="149"/>
      <c r="AY690" s="149"/>
      <c r="AZ690" s="149"/>
      <c r="BA690" s="149"/>
      <c r="BB690" s="149"/>
      <c r="BC690" s="149"/>
      <c r="BD690" s="149"/>
      <c r="BE690" s="149"/>
      <c r="BF690" s="149"/>
      <c r="BG690" s="149"/>
      <c r="BH690" s="149"/>
      <c r="BI690" s="149"/>
      <c r="BJ690" s="149"/>
      <c r="BK690" s="149"/>
      <c r="BL690" s="149"/>
      <c r="BM690" s="149"/>
      <c r="BN690" s="149"/>
      <c r="BO690" s="149"/>
      <c r="BP690" s="149"/>
      <c r="BQ690" s="149"/>
      <c r="BR690" s="149"/>
    </row>
    <row r="691" ht="34" customHeight="1" spans="1:70">
      <c r="A691" s="208">
        <v>697</v>
      </c>
      <c r="B691" s="149"/>
      <c r="C691" s="149"/>
      <c r="D691" s="149"/>
      <c r="E691" s="149"/>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ht="34" customHeight="1" spans="1:70">
      <c r="A692" s="208">
        <v>698</v>
      </c>
      <c r="B692" s="149"/>
      <c r="C692" s="149"/>
      <c r="D692" s="149"/>
      <c r="E692" s="149"/>
      <c r="F692" s="149"/>
      <c r="G692" s="149"/>
      <c r="H692" s="149"/>
      <c r="I692" s="149"/>
      <c r="J692" s="149"/>
      <c r="K692" s="149"/>
      <c r="L692" s="149"/>
      <c r="M692" s="149"/>
      <c r="N692" s="149"/>
      <c r="O692" s="149"/>
      <c r="P692" s="149"/>
      <c r="Q692" s="149"/>
      <c r="R692" s="149"/>
      <c r="S692" s="149"/>
      <c r="T692" s="149"/>
      <c r="U692" s="149"/>
      <c r="V692" s="149"/>
      <c r="W692" s="149"/>
      <c r="X692" s="149"/>
      <c r="Y692" s="149"/>
      <c r="Z692" s="149"/>
      <c r="AA692" s="149"/>
      <c r="AB692" s="149"/>
      <c r="AC692" s="149"/>
      <c r="AD692" s="149"/>
      <c r="AE692" s="149"/>
      <c r="AF692" s="149"/>
      <c r="AG692" s="149"/>
      <c r="AH692" s="149"/>
      <c r="AI692" s="149"/>
      <c r="AJ692" s="149"/>
      <c r="AK692" s="149"/>
      <c r="AL692" s="149"/>
      <c r="AM692" s="149"/>
      <c r="AN692" s="149"/>
      <c r="AO692" s="149"/>
      <c r="AP692" s="149"/>
      <c r="AR692" s="149"/>
      <c r="AS692" s="149"/>
      <c r="AT692" s="149"/>
      <c r="AU692" s="149"/>
      <c r="AV692" s="149"/>
      <c r="AW692" s="149"/>
      <c r="AX692" s="149"/>
      <c r="AY692" s="149"/>
      <c r="AZ692" s="149"/>
      <c r="BA692" s="149"/>
      <c r="BB692" s="149"/>
      <c r="BC692" s="149"/>
      <c r="BD692" s="149"/>
      <c r="BE692" s="149"/>
      <c r="BF692" s="149"/>
      <c r="BG692" s="149"/>
      <c r="BH692" s="149"/>
      <c r="BI692" s="149"/>
      <c r="BJ692" s="149"/>
      <c r="BK692" s="149"/>
      <c r="BL692" s="149"/>
      <c r="BM692" s="149"/>
      <c r="BN692" s="149"/>
      <c r="BO692" s="149"/>
      <c r="BP692" s="149"/>
      <c r="BQ692" s="149"/>
      <c r="BR692" s="149"/>
    </row>
    <row r="693" ht="34" customHeight="1" spans="1:70">
      <c r="A693" s="208">
        <v>699</v>
      </c>
      <c r="B693" s="149"/>
      <c r="C693" s="149"/>
      <c r="D693" s="149"/>
      <c r="E693" s="149"/>
      <c r="F693" s="149"/>
      <c r="G693" s="149"/>
      <c r="H693" s="149"/>
      <c r="I693" s="149"/>
      <c r="J693" s="149"/>
      <c r="K693" s="149"/>
      <c r="L693" s="149"/>
      <c r="M693" s="149"/>
      <c r="N693" s="149"/>
      <c r="O693" s="149"/>
      <c r="P693" s="149"/>
      <c r="Q693" s="149"/>
      <c r="R693" s="149"/>
      <c r="S693" s="149"/>
      <c r="T693" s="149"/>
      <c r="U693" s="149"/>
      <c r="V693" s="149"/>
      <c r="W693" s="149"/>
      <c r="X693" s="149"/>
      <c r="Y693" s="149"/>
      <c r="Z693" s="149"/>
      <c r="AA693" s="149"/>
      <c r="AB693" s="149"/>
      <c r="AC693" s="149"/>
      <c r="AD693" s="149"/>
      <c r="AE693" s="149"/>
      <c r="AF693" s="149"/>
      <c r="AG693" s="149"/>
      <c r="AH693" s="149"/>
      <c r="AI693" s="149"/>
      <c r="AJ693" s="149"/>
      <c r="AK693" s="149"/>
      <c r="AL693" s="149"/>
      <c r="AM693" s="149"/>
      <c r="AN693" s="149"/>
      <c r="AO693" s="149"/>
      <c r="AP693" s="149"/>
      <c r="AR693" s="149"/>
      <c r="AS693" s="149"/>
      <c r="AT693" s="149"/>
      <c r="AU693" s="149"/>
      <c r="AV693" s="149"/>
      <c r="AW693" s="149"/>
      <c r="AX693" s="149"/>
      <c r="AY693" s="149"/>
      <c r="AZ693" s="149"/>
      <c r="BA693" s="149"/>
      <c r="BB693" s="149"/>
      <c r="BC693" s="149"/>
      <c r="BD693" s="149"/>
      <c r="BE693" s="149"/>
      <c r="BF693" s="149"/>
      <c r="BG693" s="149"/>
      <c r="BH693" s="149"/>
      <c r="BI693" s="149"/>
      <c r="BJ693" s="149"/>
      <c r="BK693" s="149"/>
      <c r="BL693" s="149"/>
      <c r="BM693" s="149"/>
      <c r="BN693" s="149"/>
      <c r="BO693" s="149"/>
      <c r="BP693" s="149"/>
      <c r="BQ693" s="149"/>
      <c r="BR693" s="149"/>
    </row>
    <row r="694" ht="34" customHeight="1" spans="1:70">
      <c r="A694" s="208">
        <v>700</v>
      </c>
      <c r="B694" s="149"/>
      <c r="C694" s="149"/>
      <c r="D694" s="149"/>
      <c r="E694" s="149"/>
      <c r="F694" s="149"/>
      <c r="G694" s="149"/>
      <c r="H694" s="149"/>
      <c r="I694" s="149"/>
      <c r="J694" s="149"/>
      <c r="K694" s="149"/>
      <c r="L694" s="149"/>
      <c r="M694" s="149"/>
      <c r="N694" s="149"/>
      <c r="O694" s="149"/>
      <c r="P694" s="149"/>
      <c r="Q694" s="149"/>
      <c r="R694" s="149"/>
      <c r="S694" s="149"/>
      <c r="T694" s="149"/>
      <c r="U694" s="149"/>
      <c r="V694" s="149"/>
      <c r="W694" s="149"/>
      <c r="X694" s="149"/>
      <c r="Y694" s="149"/>
      <c r="Z694" s="149"/>
      <c r="AA694" s="149"/>
      <c r="AB694" s="149"/>
      <c r="AC694" s="149"/>
      <c r="AD694" s="149"/>
      <c r="AE694" s="149"/>
      <c r="AF694" s="149"/>
      <c r="AG694" s="149"/>
      <c r="AH694" s="149"/>
      <c r="AI694" s="149"/>
      <c r="AJ694" s="149"/>
      <c r="AK694" s="149"/>
      <c r="AL694" s="149"/>
      <c r="AM694" s="149"/>
      <c r="AN694" s="149"/>
      <c r="AO694" s="149"/>
      <c r="AP694" s="149"/>
      <c r="AR694" s="149"/>
      <c r="AS694" s="149"/>
      <c r="AT694" s="149"/>
      <c r="AU694" s="149"/>
      <c r="AV694" s="149"/>
      <c r="AW694" s="149"/>
      <c r="AX694" s="149"/>
      <c r="AY694" s="149"/>
      <c r="AZ694" s="149"/>
      <c r="BA694" s="149"/>
      <c r="BB694" s="149"/>
      <c r="BC694" s="149"/>
      <c r="BD694" s="149"/>
      <c r="BE694" s="149"/>
      <c r="BF694" s="149"/>
      <c r="BG694" s="149"/>
      <c r="BH694" s="149"/>
      <c r="BI694" s="149"/>
      <c r="BJ694" s="149"/>
      <c r="BK694" s="149"/>
      <c r="BL694" s="149"/>
      <c r="BM694" s="149"/>
      <c r="BN694" s="149"/>
      <c r="BO694" s="149"/>
      <c r="BP694" s="149"/>
      <c r="BQ694" s="149"/>
      <c r="BR694" s="149"/>
    </row>
    <row r="695" ht="34" customHeight="1" spans="1:70">
      <c r="A695" s="208">
        <v>701</v>
      </c>
      <c r="B695" s="149"/>
      <c r="C695" s="149"/>
      <c r="D695" s="149"/>
      <c r="E695" s="149"/>
      <c r="F695" s="149"/>
      <c r="G695" s="149"/>
      <c r="H695" s="149"/>
      <c r="I695" s="149"/>
      <c r="J695" s="149"/>
      <c r="K695" s="149"/>
      <c r="L695" s="149"/>
      <c r="M695" s="149"/>
      <c r="N695" s="149"/>
      <c r="O695" s="149"/>
      <c r="P695" s="149"/>
      <c r="Q695" s="149"/>
      <c r="R695" s="149"/>
      <c r="S695" s="149"/>
      <c r="T695" s="149"/>
      <c r="U695" s="149"/>
      <c r="V695" s="149"/>
      <c r="W695" s="149"/>
      <c r="X695" s="149"/>
      <c r="Y695" s="149"/>
      <c r="Z695" s="149"/>
      <c r="AA695" s="149"/>
      <c r="AB695" s="149"/>
      <c r="AC695" s="149"/>
      <c r="AD695" s="149"/>
      <c r="AE695" s="149"/>
      <c r="AF695" s="149"/>
      <c r="AG695" s="149"/>
      <c r="AH695" s="149"/>
      <c r="AI695" s="149"/>
      <c r="AJ695" s="149"/>
      <c r="AK695" s="149"/>
      <c r="AL695" s="149"/>
      <c r="AM695" s="149"/>
      <c r="AN695" s="149"/>
      <c r="AO695" s="149"/>
      <c r="AP695" s="149"/>
      <c r="AR695" s="149"/>
      <c r="AS695" s="149"/>
      <c r="AT695" s="149"/>
      <c r="AU695" s="149"/>
      <c r="AV695" s="149"/>
      <c r="AW695" s="149"/>
      <c r="AX695" s="149"/>
      <c r="AY695" s="149"/>
      <c r="AZ695" s="149"/>
      <c r="BA695" s="149"/>
      <c r="BB695" s="149"/>
      <c r="BC695" s="149"/>
      <c r="BD695" s="149"/>
      <c r="BE695" s="149"/>
      <c r="BF695" s="149"/>
      <c r="BG695" s="149"/>
      <c r="BH695" s="149"/>
      <c r="BI695" s="149"/>
      <c r="BJ695" s="149"/>
      <c r="BK695" s="149"/>
      <c r="BL695" s="149"/>
      <c r="BM695" s="149"/>
      <c r="BN695" s="149"/>
      <c r="BO695" s="149"/>
      <c r="BP695" s="149"/>
      <c r="BQ695" s="149"/>
      <c r="BR695" s="149"/>
    </row>
    <row r="696" ht="34" customHeight="1" spans="1:70">
      <c r="A696" s="208">
        <v>702</v>
      </c>
      <c r="B696" s="149"/>
      <c r="C696" s="149"/>
      <c r="D696" s="149"/>
      <c r="E696" s="149"/>
      <c r="F696" s="149"/>
      <c r="G696" s="149"/>
      <c r="H696" s="149"/>
      <c r="I696" s="149"/>
      <c r="J696" s="149"/>
      <c r="K696" s="149"/>
      <c r="L696" s="149"/>
      <c r="M696" s="149"/>
      <c r="N696" s="149"/>
      <c r="O696" s="149"/>
      <c r="P696" s="149"/>
      <c r="Q696" s="149"/>
      <c r="R696" s="149"/>
      <c r="S696" s="149"/>
      <c r="T696" s="149"/>
      <c r="U696" s="149"/>
      <c r="V696" s="149"/>
      <c r="W696" s="149"/>
      <c r="X696" s="149"/>
      <c r="Y696" s="149"/>
      <c r="Z696" s="149"/>
      <c r="AA696" s="149"/>
      <c r="AB696" s="149"/>
      <c r="AC696" s="149"/>
      <c r="AD696" s="149"/>
      <c r="AE696" s="149"/>
      <c r="AF696" s="149"/>
      <c r="AG696" s="149"/>
      <c r="AH696" s="149"/>
      <c r="AI696" s="149"/>
      <c r="AJ696" s="149"/>
      <c r="AK696" s="149"/>
      <c r="AL696" s="149"/>
      <c r="AM696" s="149"/>
      <c r="AN696" s="149"/>
      <c r="AO696" s="149"/>
      <c r="AP696" s="149"/>
      <c r="AR696" s="149"/>
      <c r="AS696" s="149"/>
      <c r="AT696" s="149"/>
      <c r="AU696" s="149"/>
      <c r="AV696" s="149"/>
      <c r="AW696" s="149"/>
      <c r="AX696" s="149"/>
      <c r="AY696" s="149"/>
      <c r="AZ696" s="149"/>
      <c r="BA696" s="149"/>
      <c r="BB696" s="149"/>
      <c r="BC696" s="149"/>
      <c r="BD696" s="149"/>
      <c r="BE696" s="149"/>
      <c r="BF696" s="149"/>
      <c r="BG696" s="149"/>
      <c r="BH696" s="149"/>
      <c r="BI696" s="149"/>
      <c r="BJ696" s="149"/>
      <c r="BK696" s="149"/>
      <c r="BL696" s="149"/>
      <c r="BM696" s="149"/>
      <c r="BN696" s="149"/>
      <c r="BO696" s="149"/>
      <c r="BP696" s="149"/>
      <c r="BQ696" s="149"/>
      <c r="BR696" s="149"/>
    </row>
    <row r="697" ht="34" customHeight="1" spans="1:70">
      <c r="A697" s="208">
        <v>703</v>
      </c>
      <c r="B697" s="149"/>
      <c r="C697" s="149"/>
      <c r="D697" s="149"/>
      <c r="E697" s="149"/>
      <c r="F697" s="149"/>
      <c r="G697" s="149"/>
      <c r="H697" s="149"/>
      <c r="I697" s="149"/>
      <c r="J697" s="149"/>
      <c r="K697" s="149"/>
      <c r="L697" s="149"/>
      <c r="M697" s="149"/>
      <c r="N697" s="149"/>
      <c r="O697" s="149"/>
      <c r="P697" s="149"/>
      <c r="Q697" s="149"/>
      <c r="R697" s="149"/>
      <c r="S697" s="149"/>
      <c r="T697" s="149"/>
      <c r="U697" s="149"/>
      <c r="V697" s="149"/>
      <c r="W697" s="149"/>
      <c r="X697" s="149"/>
      <c r="Y697" s="149"/>
      <c r="Z697" s="149"/>
      <c r="AA697" s="149"/>
      <c r="AB697" s="149"/>
      <c r="AC697" s="149"/>
      <c r="AD697" s="149"/>
      <c r="AE697" s="149"/>
      <c r="AF697" s="149"/>
      <c r="AG697" s="149"/>
      <c r="AH697" s="149"/>
      <c r="AI697" s="149"/>
      <c r="AJ697" s="149"/>
      <c r="AK697" s="149"/>
      <c r="AL697" s="149"/>
      <c r="AM697" s="149"/>
      <c r="AN697" s="149"/>
      <c r="AO697" s="149"/>
      <c r="AP697" s="149"/>
      <c r="AR697" s="149"/>
      <c r="AS697" s="149"/>
      <c r="AT697" s="149"/>
      <c r="AU697" s="149"/>
      <c r="AV697" s="149"/>
      <c r="AW697" s="149"/>
      <c r="AX697" s="149"/>
      <c r="AY697" s="149"/>
      <c r="AZ697" s="149"/>
      <c r="BA697" s="149"/>
      <c r="BB697" s="149"/>
      <c r="BC697" s="149"/>
      <c r="BD697" s="149"/>
      <c r="BE697" s="149"/>
      <c r="BF697" s="149"/>
      <c r="BG697" s="149"/>
      <c r="BH697" s="149"/>
      <c r="BI697" s="149"/>
      <c r="BJ697" s="149"/>
      <c r="BK697" s="149"/>
      <c r="BL697" s="149"/>
      <c r="BM697" s="149"/>
      <c r="BN697" s="149"/>
      <c r="BO697" s="149"/>
      <c r="BP697" s="149"/>
      <c r="BQ697" s="149"/>
      <c r="BR697" s="149"/>
    </row>
    <row r="698" ht="34" customHeight="1" spans="1:70">
      <c r="A698" s="208">
        <v>704</v>
      </c>
      <c r="B698" s="149"/>
      <c r="C698" s="149"/>
      <c r="D698" s="149"/>
      <c r="E698" s="149"/>
      <c r="F698" s="149"/>
      <c r="G698" s="149"/>
      <c r="H698" s="149"/>
      <c r="I698" s="149"/>
      <c r="J698" s="149"/>
      <c r="K698" s="149"/>
      <c r="L698" s="149"/>
      <c r="M698" s="149"/>
      <c r="N698" s="149"/>
      <c r="O698" s="149"/>
      <c r="P698" s="149"/>
      <c r="Q698" s="149"/>
      <c r="R698" s="149"/>
      <c r="S698" s="149"/>
      <c r="T698" s="149"/>
      <c r="U698" s="149"/>
      <c r="V698" s="149"/>
      <c r="W698" s="149"/>
      <c r="X698" s="149"/>
      <c r="Y698" s="149"/>
      <c r="Z698" s="149"/>
      <c r="AA698" s="149"/>
      <c r="AB698" s="149"/>
      <c r="AC698" s="149"/>
      <c r="AD698" s="149"/>
      <c r="AE698" s="149"/>
      <c r="AF698" s="149"/>
      <c r="AG698" s="149"/>
      <c r="AH698" s="149"/>
      <c r="AI698" s="149"/>
      <c r="AJ698" s="149"/>
      <c r="AK698" s="149"/>
      <c r="AL698" s="149"/>
      <c r="AM698" s="149"/>
      <c r="AN698" s="149"/>
      <c r="AO698" s="149"/>
      <c r="AP698" s="149"/>
      <c r="AR698" s="149"/>
      <c r="AS698" s="149"/>
      <c r="AT698" s="149"/>
      <c r="AU698" s="149"/>
      <c r="AV698" s="149"/>
      <c r="AW698" s="149"/>
      <c r="AX698" s="149"/>
      <c r="AY698" s="149"/>
      <c r="AZ698" s="149"/>
      <c r="BA698" s="149"/>
      <c r="BB698" s="149"/>
      <c r="BC698" s="149"/>
      <c r="BD698" s="149"/>
      <c r="BE698" s="149"/>
      <c r="BF698" s="149"/>
      <c r="BG698" s="149"/>
      <c r="BH698" s="149"/>
      <c r="BI698" s="149"/>
      <c r="BJ698" s="149"/>
      <c r="BK698" s="149"/>
      <c r="BL698" s="149"/>
      <c r="BM698" s="149"/>
      <c r="BN698" s="149"/>
      <c r="BO698" s="149"/>
      <c r="BP698" s="149"/>
      <c r="BQ698" s="149"/>
      <c r="BR698" s="149"/>
    </row>
    <row r="699" ht="34" customHeight="1" spans="1:70">
      <c r="A699" s="208">
        <v>705</v>
      </c>
      <c r="B699" s="149"/>
      <c r="C699" s="149"/>
      <c r="D699" s="149"/>
      <c r="E699" s="149"/>
      <c r="F699" s="149"/>
      <c r="G699" s="149"/>
      <c r="H699" s="149"/>
      <c r="I699" s="149"/>
      <c r="J699" s="149"/>
      <c r="K699" s="149"/>
      <c r="L699" s="149"/>
      <c r="M699" s="149"/>
      <c r="N699" s="149"/>
      <c r="O699" s="149"/>
      <c r="P699" s="149"/>
      <c r="Q699" s="149"/>
      <c r="R699" s="149"/>
      <c r="S699" s="149"/>
      <c r="T699" s="149"/>
      <c r="U699" s="149"/>
      <c r="V699" s="149"/>
      <c r="W699" s="149"/>
      <c r="X699" s="149"/>
      <c r="Y699" s="149"/>
      <c r="Z699" s="149"/>
      <c r="AA699" s="149"/>
      <c r="AB699" s="149"/>
      <c r="AC699" s="149"/>
      <c r="AD699" s="149"/>
      <c r="AE699" s="149"/>
      <c r="AF699" s="149"/>
      <c r="AG699" s="149"/>
      <c r="AH699" s="149"/>
      <c r="AI699" s="149"/>
      <c r="AJ699" s="149"/>
      <c r="AK699" s="149"/>
      <c r="AL699" s="149"/>
      <c r="AM699" s="149"/>
      <c r="AN699" s="149"/>
      <c r="AO699" s="149"/>
      <c r="AP699" s="149"/>
      <c r="AR699" s="149"/>
      <c r="AS699" s="149"/>
      <c r="AT699" s="149"/>
      <c r="AU699" s="149"/>
      <c r="AV699" s="149"/>
      <c r="AW699" s="149"/>
      <c r="AX699" s="149"/>
      <c r="AY699" s="149"/>
      <c r="AZ699" s="149"/>
      <c r="BA699" s="149"/>
      <c r="BB699" s="149"/>
      <c r="BC699" s="149"/>
      <c r="BD699" s="149"/>
      <c r="BE699" s="149"/>
      <c r="BF699" s="149"/>
      <c r="BG699" s="149"/>
      <c r="BH699" s="149"/>
      <c r="BI699" s="149"/>
      <c r="BJ699" s="149"/>
      <c r="BK699" s="149"/>
      <c r="BL699" s="149"/>
      <c r="BM699" s="149"/>
      <c r="BN699" s="149"/>
      <c r="BO699" s="149"/>
      <c r="BP699" s="149"/>
      <c r="BQ699" s="149"/>
      <c r="BR699" s="149"/>
    </row>
    <row r="700" ht="34" customHeight="1" spans="1:70">
      <c r="A700" s="208">
        <v>706</v>
      </c>
      <c r="B700" s="149"/>
      <c r="C700" s="149"/>
      <c r="D700" s="149"/>
      <c r="E700" s="149"/>
      <c r="F700" s="149"/>
      <c r="G700" s="149"/>
      <c r="H700" s="149"/>
      <c r="I700" s="149"/>
      <c r="J700" s="149"/>
      <c r="K700" s="149"/>
      <c r="L700" s="149"/>
      <c r="M700" s="149"/>
      <c r="N700" s="149"/>
      <c r="O700" s="149"/>
      <c r="P700" s="149"/>
      <c r="Q700" s="149"/>
      <c r="R700" s="149"/>
      <c r="S700" s="149"/>
      <c r="T700" s="149"/>
      <c r="U700" s="149"/>
      <c r="V700" s="149"/>
      <c r="W700" s="149"/>
      <c r="X700" s="149"/>
      <c r="Y700" s="149"/>
      <c r="Z700" s="149"/>
      <c r="AA700" s="149"/>
      <c r="AB700" s="149"/>
      <c r="AC700" s="149"/>
      <c r="AD700" s="149"/>
      <c r="AE700" s="149"/>
      <c r="AF700" s="149"/>
      <c r="AG700" s="149"/>
      <c r="AH700" s="149"/>
      <c r="AI700" s="149"/>
      <c r="AJ700" s="149"/>
      <c r="AK700" s="149"/>
      <c r="AL700" s="149"/>
      <c r="AM700" s="149"/>
      <c r="AN700" s="149"/>
      <c r="AO700" s="149"/>
      <c r="AP700" s="149"/>
      <c r="AR700" s="149"/>
      <c r="AS700" s="149"/>
      <c r="AT700" s="149"/>
      <c r="AU700" s="149"/>
      <c r="AV700" s="149"/>
      <c r="AW700" s="149"/>
      <c r="AX700" s="149"/>
      <c r="AY700" s="149"/>
      <c r="AZ700" s="149"/>
      <c r="BA700" s="149"/>
      <c r="BB700" s="149"/>
      <c r="BC700" s="149"/>
      <c r="BD700" s="149"/>
      <c r="BE700" s="149"/>
      <c r="BF700" s="149"/>
      <c r="BG700" s="149"/>
      <c r="BH700" s="149"/>
      <c r="BI700" s="149"/>
      <c r="BJ700" s="149"/>
      <c r="BK700" s="149"/>
      <c r="BL700" s="149"/>
      <c r="BM700" s="149"/>
      <c r="BN700" s="149"/>
      <c r="BO700" s="149"/>
      <c r="BP700" s="149"/>
      <c r="BQ700" s="149"/>
      <c r="BR700" s="149"/>
    </row>
    <row r="701" ht="34" customHeight="1" spans="1:70">
      <c r="A701" s="208">
        <v>707</v>
      </c>
      <c r="B701" s="149"/>
      <c r="C701" s="149"/>
      <c r="D701" s="149"/>
      <c r="E701" s="149"/>
      <c r="F701" s="149"/>
      <c r="G701" s="149"/>
      <c r="H701" s="149"/>
      <c r="I701" s="149"/>
      <c r="J701" s="149"/>
      <c r="K701" s="149"/>
      <c r="L701" s="149"/>
      <c r="M701" s="149"/>
      <c r="N701" s="149"/>
      <c r="O701" s="149"/>
      <c r="P701" s="149"/>
      <c r="Q701" s="149"/>
      <c r="R701" s="149"/>
      <c r="S701" s="149"/>
      <c r="T701" s="149"/>
      <c r="U701" s="149"/>
      <c r="V701" s="149"/>
      <c r="W701" s="149"/>
      <c r="X701" s="149"/>
      <c r="Y701" s="149"/>
      <c r="Z701" s="149"/>
      <c r="AA701" s="149"/>
      <c r="AB701" s="149"/>
      <c r="AC701" s="149"/>
      <c r="AD701" s="149"/>
      <c r="AE701" s="149"/>
      <c r="AF701" s="149"/>
      <c r="AG701" s="149"/>
      <c r="AH701" s="149"/>
      <c r="AI701" s="149"/>
      <c r="AJ701" s="149"/>
      <c r="AK701" s="149"/>
      <c r="AL701" s="149"/>
      <c r="AM701" s="149"/>
      <c r="AN701" s="149"/>
      <c r="AO701" s="149"/>
      <c r="AP701" s="149"/>
      <c r="AR701" s="149"/>
      <c r="AS701" s="149"/>
      <c r="AT701" s="149"/>
      <c r="AU701" s="149"/>
      <c r="AV701" s="149"/>
      <c r="AW701" s="149"/>
      <c r="AX701" s="149"/>
      <c r="AY701" s="149"/>
      <c r="AZ701" s="149"/>
      <c r="BA701" s="149"/>
      <c r="BB701" s="149"/>
      <c r="BC701" s="149"/>
      <c r="BD701" s="149"/>
      <c r="BE701" s="149"/>
      <c r="BF701" s="149"/>
      <c r="BG701" s="149"/>
      <c r="BH701" s="149"/>
      <c r="BI701" s="149"/>
      <c r="BJ701" s="149"/>
      <c r="BK701" s="149"/>
      <c r="BL701" s="149"/>
      <c r="BM701" s="149"/>
      <c r="BN701" s="149"/>
      <c r="BO701" s="149"/>
      <c r="BP701" s="149"/>
      <c r="BQ701" s="149"/>
      <c r="BR701" s="149"/>
    </row>
    <row r="702" ht="34" customHeight="1" spans="1:70">
      <c r="A702" s="208">
        <v>708</v>
      </c>
      <c r="B702" s="149"/>
      <c r="C702" s="149"/>
      <c r="D702" s="149"/>
      <c r="E702" s="149"/>
      <c r="F702" s="149"/>
      <c r="G702" s="149"/>
      <c r="H702" s="149"/>
      <c r="I702" s="149"/>
      <c r="J702" s="149"/>
      <c r="K702" s="149"/>
      <c r="L702" s="149"/>
      <c r="M702" s="149"/>
      <c r="N702" s="149"/>
      <c r="O702" s="149"/>
      <c r="P702" s="149"/>
      <c r="Q702" s="149"/>
      <c r="R702" s="149"/>
      <c r="S702" s="149"/>
      <c r="T702" s="149"/>
      <c r="U702" s="149"/>
      <c r="V702" s="149"/>
      <c r="W702" s="149"/>
      <c r="X702" s="149"/>
      <c r="Y702" s="149"/>
      <c r="Z702" s="149"/>
      <c r="AA702" s="149"/>
      <c r="AB702" s="149"/>
      <c r="AC702" s="149"/>
      <c r="AD702" s="149"/>
      <c r="AE702" s="149"/>
      <c r="AF702" s="149"/>
      <c r="AG702" s="149"/>
      <c r="AH702" s="149"/>
      <c r="AI702" s="149"/>
      <c r="AJ702" s="149"/>
      <c r="AK702" s="149"/>
      <c r="AL702" s="149"/>
      <c r="AM702" s="149"/>
      <c r="AN702" s="149"/>
      <c r="AO702" s="149"/>
      <c r="AP702" s="149"/>
      <c r="AR702" s="149"/>
      <c r="AS702" s="149"/>
      <c r="AT702" s="149"/>
      <c r="AU702" s="149"/>
      <c r="AV702" s="149"/>
      <c r="AW702" s="149"/>
      <c r="AX702" s="149"/>
      <c r="AY702" s="149"/>
      <c r="AZ702" s="149"/>
      <c r="BA702" s="149"/>
      <c r="BB702" s="149"/>
      <c r="BC702" s="149"/>
      <c r="BD702" s="149"/>
      <c r="BE702" s="149"/>
      <c r="BF702" s="149"/>
      <c r="BG702" s="149"/>
      <c r="BH702" s="149"/>
      <c r="BI702" s="149"/>
      <c r="BJ702" s="149"/>
      <c r="BK702" s="149"/>
      <c r="BL702" s="149"/>
      <c r="BM702" s="149"/>
      <c r="BN702" s="149"/>
      <c r="BO702" s="149"/>
      <c r="BP702" s="149"/>
      <c r="BQ702" s="149"/>
      <c r="BR702" s="149"/>
    </row>
    <row r="703" ht="34" customHeight="1" spans="1:70">
      <c r="A703" s="208">
        <v>709</v>
      </c>
      <c r="B703" s="149"/>
      <c r="C703" s="149"/>
      <c r="D703" s="149"/>
      <c r="E703" s="149"/>
      <c r="F703" s="149"/>
      <c r="G703" s="149"/>
      <c r="H703" s="149"/>
      <c r="I703" s="149"/>
      <c r="J703" s="149"/>
      <c r="K703" s="149"/>
      <c r="L703" s="149"/>
      <c r="M703" s="149"/>
      <c r="N703" s="149"/>
      <c r="O703" s="149"/>
      <c r="P703" s="149"/>
      <c r="Q703" s="149"/>
      <c r="R703" s="149"/>
      <c r="S703" s="149"/>
      <c r="T703" s="149"/>
      <c r="U703" s="149"/>
      <c r="V703" s="149"/>
      <c r="W703" s="149"/>
      <c r="X703" s="149"/>
      <c r="Y703" s="149"/>
      <c r="Z703" s="149"/>
      <c r="AA703" s="149"/>
      <c r="AB703" s="149"/>
      <c r="AC703" s="149"/>
      <c r="AD703" s="149"/>
      <c r="AE703" s="149"/>
      <c r="AF703" s="149"/>
      <c r="AG703" s="149"/>
      <c r="AH703" s="149"/>
      <c r="AI703" s="149"/>
      <c r="AJ703" s="149"/>
      <c r="AK703" s="149"/>
      <c r="AL703" s="149"/>
      <c r="AM703" s="149"/>
      <c r="AN703" s="149"/>
      <c r="AO703" s="149"/>
      <c r="AP703" s="149"/>
      <c r="AR703" s="149"/>
      <c r="AS703" s="149"/>
      <c r="AT703" s="149"/>
      <c r="AU703" s="149"/>
      <c r="AV703" s="149"/>
      <c r="AW703" s="149"/>
      <c r="AX703" s="149"/>
      <c r="AY703" s="149"/>
      <c r="AZ703" s="149"/>
      <c r="BA703" s="149"/>
      <c r="BB703" s="149"/>
      <c r="BC703" s="149"/>
      <c r="BD703" s="149"/>
      <c r="BE703" s="149"/>
      <c r="BF703" s="149"/>
      <c r="BG703" s="149"/>
      <c r="BH703" s="149"/>
      <c r="BI703" s="149"/>
      <c r="BJ703" s="149"/>
      <c r="BK703" s="149"/>
      <c r="BL703" s="149"/>
      <c r="BM703" s="149"/>
      <c r="BN703" s="149"/>
      <c r="BO703" s="149"/>
      <c r="BP703" s="149"/>
      <c r="BQ703" s="149"/>
      <c r="BR703" s="149"/>
    </row>
    <row r="704" ht="34" customHeight="1" spans="1:70">
      <c r="A704" s="208">
        <v>710</v>
      </c>
      <c r="B704" s="149"/>
      <c r="C704" s="149"/>
      <c r="D704" s="149"/>
      <c r="E704" s="149"/>
      <c r="F704" s="149"/>
      <c r="G704" s="149"/>
      <c r="H704" s="149"/>
      <c r="I704" s="149"/>
      <c r="J704" s="149"/>
      <c r="K704" s="149"/>
      <c r="L704" s="149"/>
      <c r="M704" s="149"/>
      <c r="N704" s="149"/>
      <c r="O704" s="149"/>
      <c r="P704" s="149"/>
      <c r="Q704" s="149"/>
      <c r="R704" s="149"/>
      <c r="S704" s="149"/>
      <c r="T704" s="149"/>
      <c r="U704" s="149"/>
      <c r="V704" s="149"/>
      <c r="W704" s="149"/>
      <c r="X704" s="149"/>
      <c r="Y704" s="149"/>
      <c r="Z704" s="149"/>
      <c r="AA704" s="149"/>
      <c r="AB704" s="149"/>
      <c r="AC704" s="149"/>
      <c r="AD704" s="149"/>
      <c r="AE704" s="149"/>
      <c r="AF704" s="149"/>
      <c r="AG704" s="149"/>
      <c r="AH704" s="149"/>
      <c r="AI704" s="149"/>
      <c r="AJ704" s="149"/>
      <c r="AK704" s="149"/>
      <c r="AL704" s="149"/>
      <c r="AM704" s="149"/>
      <c r="AN704" s="149"/>
      <c r="AO704" s="149"/>
      <c r="AP704" s="149"/>
      <c r="AR704" s="149"/>
      <c r="AS704" s="149"/>
      <c r="AT704" s="149"/>
      <c r="AU704" s="149"/>
      <c r="AV704" s="149"/>
      <c r="AW704" s="149"/>
      <c r="AX704" s="149"/>
      <c r="AY704" s="149"/>
      <c r="AZ704" s="149"/>
      <c r="BA704" s="149"/>
      <c r="BB704" s="149"/>
      <c r="BC704" s="149"/>
      <c r="BD704" s="149"/>
      <c r="BE704" s="149"/>
      <c r="BF704" s="149"/>
      <c r="BG704" s="149"/>
      <c r="BH704" s="149"/>
      <c r="BI704" s="149"/>
      <c r="BJ704" s="149"/>
      <c r="BK704" s="149"/>
      <c r="BL704" s="149"/>
      <c r="BM704" s="149"/>
      <c r="BN704" s="149"/>
      <c r="BO704" s="149"/>
      <c r="BP704" s="149"/>
      <c r="BQ704" s="149"/>
      <c r="BR704" s="149"/>
    </row>
    <row r="705" ht="34" customHeight="1" spans="1:70">
      <c r="A705" s="208">
        <v>711</v>
      </c>
      <c r="B705" s="149"/>
      <c r="C705" s="149"/>
      <c r="D705" s="149"/>
      <c r="E705" s="149"/>
      <c r="F705" s="149"/>
      <c r="G705" s="149"/>
      <c r="H705" s="149"/>
      <c r="I705" s="149"/>
      <c r="J705" s="149"/>
      <c r="K705" s="149"/>
      <c r="L705" s="149"/>
      <c r="M705" s="149"/>
      <c r="N705" s="149"/>
      <c r="O705" s="149"/>
      <c r="P705" s="149"/>
      <c r="Q705" s="149"/>
      <c r="R705" s="149"/>
      <c r="S705" s="149"/>
      <c r="T705" s="149"/>
      <c r="U705" s="149"/>
      <c r="V705" s="149"/>
      <c r="W705" s="149"/>
      <c r="X705" s="149"/>
      <c r="Y705" s="149"/>
      <c r="Z705" s="149"/>
      <c r="AA705" s="149"/>
      <c r="AB705" s="149"/>
      <c r="AC705" s="149"/>
      <c r="AD705" s="149"/>
      <c r="AE705" s="149"/>
      <c r="AF705" s="149"/>
      <c r="AG705" s="149"/>
      <c r="AH705" s="149"/>
      <c r="AI705" s="149"/>
      <c r="AJ705" s="149"/>
      <c r="AK705" s="149"/>
      <c r="AL705" s="149"/>
      <c r="AM705" s="149"/>
      <c r="AN705" s="149"/>
      <c r="AO705" s="149"/>
      <c r="AP705" s="149"/>
      <c r="AR705" s="149"/>
      <c r="AS705" s="149"/>
      <c r="AT705" s="149"/>
      <c r="AU705" s="149"/>
      <c r="AV705" s="149"/>
      <c r="AW705" s="149"/>
      <c r="AX705" s="149"/>
      <c r="AY705" s="149"/>
      <c r="AZ705" s="149"/>
      <c r="BA705" s="149"/>
      <c r="BB705" s="149"/>
      <c r="BC705" s="149"/>
      <c r="BD705" s="149"/>
      <c r="BE705" s="149"/>
      <c r="BF705" s="149"/>
      <c r="BG705" s="149"/>
      <c r="BH705" s="149"/>
      <c r="BI705" s="149"/>
      <c r="BJ705" s="149"/>
      <c r="BK705" s="149"/>
      <c r="BL705" s="149"/>
      <c r="BM705" s="149"/>
      <c r="BN705" s="149"/>
      <c r="BO705" s="149"/>
      <c r="BP705" s="149"/>
      <c r="BQ705" s="149"/>
      <c r="BR705" s="149"/>
    </row>
    <row r="706" ht="34" customHeight="1" spans="1:70">
      <c r="A706" s="208">
        <v>712</v>
      </c>
      <c r="B706" s="149"/>
      <c r="C706" s="149"/>
      <c r="D706" s="149"/>
      <c r="E706" s="149"/>
      <c r="F706" s="149"/>
      <c r="G706" s="149"/>
      <c r="H706" s="149"/>
      <c r="I706" s="149"/>
      <c r="J706" s="149"/>
      <c r="K706" s="149"/>
      <c r="L706" s="149"/>
      <c r="M706" s="149"/>
      <c r="N706" s="149"/>
      <c r="O706" s="149"/>
      <c r="P706" s="149"/>
      <c r="Q706" s="149"/>
      <c r="R706" s="149"/>
      <c r="S706" s="149"/>
      <c r="T706" s="149"/>
      <c r="U706" s="149"/>
      <c r="V706" s="149"/>
      <c r="W706" s="149"/>
      <c r="X706" s="149"/>
      <c r="Y706" s="149"/>
      <c r="Z706" s="149"/>
      <c r="AA706" s="149"/>
      <c r="AB706" s="149"/>
      <c r="AC706" s="149"/>
      <c r="AD706" s="149"/>
      <c r="AE706" s="149"/>
      <c r="AF706" s="149"/>
      <c r="AG706" s="149"/>
      <c r="AH706" s="149"/>
      <c r="AI706" s="149"/>
      <c r="AJ706" s="149"/>
      <c r="AK706" s="149"/>
      <c r="AL706" s="149"/>
      <c r="AM706" s="149"/>
      <c r="AN706" s="149"/>
      <c r="AO706" s="149"/>
      <c r="AP706" s="149"/>
      <c r="AR706" s="149"/>
      <c r="AS706" s="149"/>
      <c r="AT706" s="149"/>
      <c r="AU706" s="149"/>
      <c r="AV706" s="149"/>
      <c r="AW706" s="149"/>
      <c r="AX706" s="149"/>
      <c r="AY706" s="149"/>
      <c r="AZ706" s="149"/>
      <c r="BA706" s="149"/>
      <c r="BB706" s="149"/>
      <c r="BC706" s="149"/>
      <c r="BD706" s="149"/>
      <c r="BE706" s="149"/>
      <c r="BF706" s="149"/>
      <c r="BG706" s="149"/>
      <c r="BH706" s="149"/>
      <c r="BI706" s="149"/>
      <c r="BJ706" s="149"/>
      <c r="BK706" s="149"/>
      <c r="BL706" s="149"/>
      <c r="BM706" s="149"/>
      <c r="BN706" s="149"/>
      <c r="BO706" s="149"/>
      <c r="BP706" s="149"/>
      <c r="BQ706" s="149"/>
      <c r="BR706" s="149"/>
    </row>
    <row r="707" ht="34" customHeight="1" spans="1:70">
      <c r="A707" s="208">
        <v>713</v>
      </c>
      <c r="B707" s="149"/>
      <c r="C707" s="149"/>
      <c r="D707" s="149"/>
      <c r="E707" s="149"/>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ht="34" customHeight="1" spans="1:70">
      <c r="A708" s="208">
        <v>714</v>
      </c>
      <c r="B708" s="149"/>
      <c r="C708" s="149"/>
      <c r="D708" s="149"/>
      <c r="E708" s="149"/>
      <c r="F708" s="149"/>
      <c r="G708" s="149"/>
      <c r="H708" s="149"/>
      <c r="I708" s="149"/>
      <c r="J708" s="149"/>
      <c r="K708" s="149"/>
      <c r="L708" s="149"/>
      <c r="M708" s="149"/>
      <c r="N708" s="149"/>
      <c r="O708" s="149"/>
      <c r="P708" s="149"/>
      <c r="Q708" s="149"/>
      <c r="R708" s="149"/>
      <c r="S708" s="149"/>
      <c r="T708" s="149"/>
      <c r="U708" s="149"/>
      <c r="V708" s="149"/>
      <c r="W708" s="149"/>
      <c r="X708" s="149"/>
      <c r="Y708" s="149"/>
      <c r="Z708" s="149"/>
      <c r="AA708" s="149"/>
      <c r="AB708" s="149"/>
      <c r="AC708" s="149"/>
      <c r="AD708" s="149"/>
      <c r="AE708" s="149"/>
      <c r="AF708" s="149"/>
      <c r="AG708" s="149"/>
      <c r="AH708" s="149"/>
      <c r="AI708" s="149"/>
      <c r="AJ708" s="149"/>
      <c r="AK708" s="149"/>
      <c r="AL708" s="149"/>
      <c r="AM708" s="149"/>
      <c r="AN708" s="149"/>
      <c r="AO708" s="149"/>
      <c r="AP708" s="149"/>
      <c r="AR708" s="149"/>
      <c r="AS708" s="149"/>
      <c r="AT708" s="149"/>
      <c r="AU708" s="149"/>
      <c r="AV708" s="149"/>
      <c r="AW708" s="149"/>
      <c r="AX708" s="149"/>
      <c r="AY708" s="149"/>
      <c r="AZ708" s="149"/>
      <c r="BA708" s="149"/>
      <c r="BB708" s="149"/>
      <c r="BC708" s="149"/>
      <c r="BD708" s="149"/>
      <c r="BE708" s="149"/>
      <c r="BF708" s="149"/>
      <c r="BG708" s="149"/>
      <c r="BH708" s="149"/>
      <c r="BI708" s="149"/>
      <c r="BJ708" s="149"/>
      <c r="BK708" s="149"/>
      <c r="BL708" s="149"/>
      <c r="BM708" s="149"/>
      <c r="BN708" s="149"/>
      <c r="BO708" s="149"/>
      <c r="BP708" s="149"/>
      <c r="BQ708" s="149"/>
      <c r="BR708" s="149"/>
    </row>
    <row r="709" ht="34" customHeight="1" spans="1:70">
      <c r="A709" s="208">
        <v>715</v>
      </c>
      <c r="B709" s="149"/>
      <c r="C709" s="149"/>
      <c r="D709" s="149"/>
      <c r="E709" s="149"/>
      <c r="F709" s="149"/>
      <c r="G709" s="149"/>
      <c r="H709" s="149"/>
      <c r="I709" s="149"/>
      <c r="J709" s="149"/>
      <c r="K709" s="149"/>
      <c r="L709" s="149"/>
      <c r="M709" s="149"/>
      <c r="N709" s="149"/>
      <c r="O709" s="149"/>
      <c r="P709" s="149"/>
      <c r="Q709" s="149"/>
      <c r="R709" s="149"/>
      <c r="S709" s="149"/>
      <c r="T709" s="149"/>
      <c r="U709" s="149"/>
      <c r="V709" s="149"/>
      <c r="W709" s="149"/>
      <c r="X709" s="149"/>
      <c r="Y709" s="149"/>
      <c r="Z709" s="149"/>
      <c r="AA709" s="149"/>
      <c r="AB709" s="149"/>
      <c r="AC709" s="149"/>
      <c r="AD709" s="149"/>
      <c r="AE709" s="149"/>
      <c r="AF709" s="149"/>
      <c r="AG709" s="149"/>
      <c r="AH709" s="149"/>
      <c r="AI709" s="149"/>
      <c r="AJ709" s="149"/>
      <c r="AK709" s="149"/>
      <c r="AL709" s="149"/>
      <c r="AM709" s="149"/>
      <c r="AN709" s="149"/>
      <c r="AO709" s="149"/>
      <c r="AP709" s="149"/>
      <c r="AR709" s="149"/>
      <c r="AS709" s="149"/>
      <c r="AT709" s="149"/>
      <c r="AU709" s="149"/>
      <c r="AV709" s="149"/>
      <c r="AW709" s="149"/>
      <c r="AX709" s="149"/>
      <c r="AY709" s="149"/>
      <c r="AZ709" s="149"/>
      <c r="BA709" s="149"/>
      <c r="BB709" s="149"/>
      <c r="BC709" s="149"/>
      <c r="BD709" s="149"/>
      <c r="BE709" s="149"/>
      <c r="BF709" s="149"/>
      <c r="BG709" s="149"/>
      <c r="BH709" s="149"/>
      <c r="BI709" s="149"/>
      <c r="BJ709" s="149"/>
      <c r="BK709" s="149"/>
      <c r="BL709" s="149"/>
      <c r="BM709" s="149"/>
      <c r="BN709" s="149"/>
      <c r="BO709" s="149"/>
      <c r="BP709" s="149"/>
      <c r="BQ709" s="149"/>
      <c r="BR709" s="149"/>
    </row>
    <row r="710" ht="34" customHeight="1" spans="1:70">
      <c r="A710" s="208">
        <v>716</v>
      </c>
      <c r="B710" s="149"/>
      <c r="C710" s="149"/>
      <c r="D710" s="149"/>
      <c r="E710" s="149"/>
      <c r="F710" s="149"/>
      <c r="G710" s="149"/>
      <c r="H710" s="149"/>
      <c r="I710" s="149"/>
      <c r="J710" s="149"/>
      <c r="K710" s="149"/>
      <c r="L710" s="149"/>
      <c r="M710" s="149"/>
      <c r="N710" s="149"/>
      <c r="O710" s="149"/>
      <c r="P710" s="149"/>
      <c r="Q710" s="149"/>
      <c r="R710" s="149"/>
      <c r="S710" s="149"/>
      <c r="T710" s="149"/>
      <c r="U710" s="149"/>
      <c r="V710" s="149"/>
      <c r="W710" s="149"/>
      <c r="X710" s="149"/>
      <c r="Y710" s="149"/>
      <c r="Z710" s="149"/>
      <c r="AA710" s="149"/>
      <c r="AB710" s="149"/>
      <c r="AC710" s="149"/>
      <c r="AD710" s="149"/>
      <c r="AE710" s="149"/>
      <c r="AF710" s="149"/>
      <c r="AG710" s="149"/>
      <c r="AH710" s="149"/>
      <c r="AI710" s="149"/>
      <c r="AJ710" s="149"/>
      <c r="AK710" s="149"/>
      <c r="AL710" s="149"/>
      <c r="AM710" s="149"/>
      <c r="AN710" s="149"/>
      <c r="AO710" s="149"/>
      <c r="AP710" s="149"/>
      <c r="AR710" s="149"/>
      <c r="AS710" s="149"/>
      <c r="AT710" s="149"/>
      <c r="AU710" s="149"/>
      <c r="AV710" s="149"/>
      <c r="AW710" s="149"/>
      <c r="AX710" s="149"/>
      <c r="AY710" s="149"/>
      <c r="AZ710" s="149"/>
      <c r="BA710" s="149"/>
      <c r="BB710" s="149"/>
      <c r="BC710" s="149"/>
      <c r="BD710" s="149"/>
      <c r="BE710" s="149"/>
      <c r="BF710" s="149"/>
      <c r="BG710" s="149"/>
      <c r="BH710" s="149"/>
      <c r="BI710" s="149"/>
      <c r="BJ710" s="149"/>
      <c r="BK710" s="149"/>
      <c r="BL710" s="149"/>
      <c r="BM710" s="149"/>
      <c r="BN710" s="149"/>
      <c r="BO710" s="149"/>
      <c r="BP710" s="149"/>
      <c r="BQ710" s="149"/>
      <c r="BR710" s="149"/>
    </row>
    <row r="711" ht="34" customHeight="1" spans="1:70">
      <c r="A711" s="208">
        <v>717</v>
      </c>
      <c r="B711" s="149"/>
      <c r="C711" s="149"/>
      <c r="D711" s="149"/>
      <c r="E711" s="149"/>
      <c r="F711" s="149"/>
      <c r="G711" s="149"/>
      <c r="H711" s="149"/>
      <c r="I711" s="149"/>
      <c r="J711" s="149"/>
      <c r="K711" s="149"/>
      <c r="L711" s="149"/>
      <c r="M711" s="149"/>
      <c r="N711" s="149"/>
      <c r="O711" s="149"/>
      <c r="P711" s="149"/>
      <c r="Q711" s="149"/>
      <c r="R711" s="149"/>
      <c r="S711" s="149"/>
      <c r="T711" s="149"/>
      <c r="U711" s="149"/>
      <c r="V711" s="149"/>
      <c r="W711" s="149"/>
      <c r="X711" s="149"/>
      <c r="Y711" s="149"/>
      <c r="Z711" s="149"/>
      <c r="AA711" s="149"/>
      <c r="AB711" s="149"/>
      <c r="AC711" s="149"/>
      <c r="AD711" s="149"/>
      <c r="AE711" s="149"/>
      <c r="AF711" s="149"/>
      <c r="AG711" s="149"/>
      <c r="AH711" s="149"/>
      <c r="AI711" s="149"/>
      <c r="AJ711" s="149"/>
      <c r="AK711" s="149"/>
      <c r="AL711" s="149"/>
      <c r="AM711" s="149"/>
      <c r="AN711" s="149"/>
      <c r="AO711" s="149"/>
      <c r="AP711" s="149"/>
      <c r="AR711" s="149"/>
      <c r="AS711" s="149"/>
      <c r="AT711" s="149"/>
      <c r="AU711" s="149"/>
      <c r="AV711" s="149"/>
      <c r="AW711" s="149"/>
      <c r="AX711" s="149"/>
      <c r="AY711" s="149"/>
      <c r="AZ711" s="149"/>
      <c r="BA711" s="149"/>
      <c r="BB711" s="149"/>
      <c r="BC711" s="149"/>
      <c r="BD711" s="149"/>
      <c r="BE711" s="149"/>
      <c r="BF711" s="149"/>
      <c r="BG711" s="149"/>
      <c r="BH711" s="149"/>
      <c r="BI711" s="149"/>
      <c r="BJ711" s="149"/>
      <c r="BK711" s="149"/>
      <c r="BL711" s="149"/>
      <c r="BM711" s="149"/>
      <c r="BN711" s="149"/>
      <c r="BO711" s="149"/>
      <c r="BP711" s="149"/>
      <c r="BQ711" s="149"/>
      <c r="BR711" s="149"/>
    </row>
    <row r="712" ht="34" customHeight="1" spans="1:70">
      <c r="A712" s="208">
        <v>718</v>
      </c>
      <c r="B712" s="149"/>
      <c r="C712" s="149"/>
      <c r="D712" s="149"/>
      <c r="E712" s="149"/>
      <c r="F712" s="149"/>
      <c r="G712" s="149"/>
      <c r="H712" s="149"/>
      <c r="I712" s="149"/>
      <c r="J712" s="149"/>
      <c r="K712" s="149"/>
      <c r="L712" s="149"/>
      <c r="M712" s="149"/>
      <c r="N712" s="149"/>
      <c r="O712" s="149"/>
      <c r="P712" s="149"/>
      <c r="Q712" s="149"/>
      <c r="R712" s="149"/>
      <c r="S712" s="149"/>
      <c r="T712" s="149"/>
      <c r="U712" s="149"/>
      <c r="V712" s="149"/>
      <c r="W712" s="149"/>
      <c r="X712" s="149"/>
      <c r="Y712" s="149"/>
      <c r="Z712" s="149"/>
      <c r="AA712" s="149"/>
      <c r="AB712" s="149"/>
      <c r="AC712" s="149"/>
      <c r="AD712" s="149"/>
      <c r="AE712" s="149"/>
      <c r="AF712" s="149"/>
      <c r="AG712" s="149"/>
      <c r="AH712" s="149"/>
      <c r="AI712" s="149"/>
      <c r="AJ712" s="149"/>
      <c r="AK712" s="149"/>
      <c r="AL712" s="149"/>
      <c r="AM712" s="149"/>
      <c r="AN712" s="149"/>
      <c r="AO712" s="149"/>
      <c r="AP712" s="149"/>
      <c r="AR712" s="149"/>
      <c r="AS712" s="149"/>
      <c r="AT712" s="149"/>
      <c r="AU712" s="149"/>
      <c r="AV712" s="149"/>
      <c r="AW712" s="149"/>
      <c r="AX712" s="149"/>
      <c r="AY712" s="149"/>
      <c r="AZ712" s="149"/>
      <c r="BA712" s="149"/>
      <c r="BB712" s="149"/>
      <c r="BC712" s="149"/>
      <c r="BD712" s="149"/>
      <c r="BE712" s="149"/>
      <c r="BF712" s="149"/>
      <c r="BG712" s="149"/>
      <c r="BH712" s="149"/>
      <c r="BI712" s="149"/>
      <c r="BJ712" s="149"/>
      <c r="BK712" s="149"/>
      <c r="BL712" s="149"/>
      <c r="BM712" s="149"/>
      <c r="BN712" s="149"/>
      <c r="BO712" s="149"/>
      <c r="BP712" s="149"/>
      <c r="BQ712" s="149"/>
      <c r="BR712" s="149"/>
    </row>
    <row r="713" ht="34" customHeight="1" spans="1:70">
      <c r="A713" s="208">
        <v>719</v>
      </c>
      <c r="B713" s="149"/>
      <c r="C713" s="149"/>
      <c r="D713" s="149"/>
      <c r="E713" s="149"/>
      <c r="F713" s="149"/>
      <c r="G713" s="149"/>
      <c r="H713" s="149"/>
      <c r="I713" s="149"/>
      <c r="J713" s="149"/>
      <c r="K713" s="149"/>
      <c r="L713" s="149"/>
      <c r="M713" s="149"/>
      <c r="N713" s="149"/>
      <c r="O713" s="149"/>
      <c r="P713" s="149"/>
      <c r="Q713" s="149"/>
      <c r="R713" s="149"/>
      <c r="S713" s="149"/>
      <c r="T713" s="149"/>
      <c r="U713" s="149"/>
      <c r="V713" s="149"/>
      <c r="W713" s="149"/>
      <c r="X713" s="149"/>
      <c r="Y713" s="149"/>
      <c r="Z713" s="149"/>
      <c r="AA713" s="149"/>
      <c r="AB713" s="149"/>
      <c r="AC713" s="149"/>
      <c r="AD713" s="149"/>
      <c r="AE713" s="149"/>
      <c r="AF713" s="149"/>
      <c r="AG713" s="149"/>
      <c r="AH713" s="149"/>
      <c r="AI713" s="149"/>
      <c r="AJ713" s="149"/>
      <c r="AK713" s="149"/>
      <c r="AL713" s="149"/>
      <c r="AM713" s="149"/>
      <c r="AN713" s="149"/>
      <c r="AO713" s="149"/>
      <c r="AP713" s="149"/>
      <c r="AR713" s="149"/>
      <c r="AS713" s="149"/>
      <c r="AT713" s="149"/>
      <c r="AU713" s="149"/>
      <c r="AV713" s="149"/>
      <c r="AW713" s="149"/>
      <c r="AX713" s="149"/>
      <c r="AY713" s="149"/>
      <c r="AZ713" s="149"/>
      <c r="BA713" s="149"/>
      <c r="BB713" s="149"/>
      <c r="BC713" s="149"/>
      <c r="BD713" s="149"/>
      <c r="BE713" s="149"/>
      <c r="BF713" s="149"/>
      <c r="BG713" s="149"/>
      <c r="BH713" s="149"/>
      <c r="BI713" s="149"/>
      <c r="BJ713" s="149"/>
      <c r="BK713" s="149"/>
      <c r="BL713" s="149"/>
      <c r="BM713" s="149"/>
      <c r="BN713" s="149"/>
      <c r="BO713" s="149"/>
      <c r="BP713" s="149"/>
      <c r="BQ713" s="149"/>
      <c r="BR713" s="149"/>
    </row>
    <row r="714" ht="34" customHeight="1" spans="1:70">
      <c r="A714" s="208">
        <v>720</v>
      </c>
      <c r="B714" s="149"/>
      <c r="C714" s="149"/>
      <c r="D714" s="149"/>
      <c r="E714" s="149"/>
      <c r="F714" s="149"/>
      <c r="G714" s="149"/>
      <c r="H714" s="149"/>
      <c r="I714" s="149"/>
      <c r="J714" s="149"/>
      <c r="K714" s="149"/>
      <c r="L714" s="149"/>
      <c r="M714" s="149"/>
      <c r="N714" s="149"/>
      <c r="O714" s="149"/>
      <c r="P714" s="149"/>
      <c r="Q714" s="149"/>
      <c r="R714" s="149"/>
      <c r="S714" s="149"/>
      <c r="T714" s="149"/>
      <c r="U714" s="149"/>
      <c r="V714" s="149"/>
      <c r="W714" s="149"/>
      <c r="X714" s="149"/>
      <c r="Y714" s="149"/>
      <c r="Z714" s="149"/>
      <c r="AA714" s="149"/>
      <c r="AB714" s="149"/>
      <c r="AC714" s="149"/>
      <c r="AD714" s="149"/>
      <c r="AE714" s="149"/>
      <c r="AF714" s="149"/>
      <c r="AG714" s="149"/>
      <c r="AH714" s="149"/>
      <c r="AI714" s="149"/>
      <c r="AJ714" s="149"/>
      <c r="AK714" s="149"/>
      <c r="AL714" s="149"/>
      <c r="AM714" s="149"/>
      <c r="AN714" s="149"/>
      <c r="AO714" s="149"/>
      <c r="AP714" s="149"/>
      <c r="AR714" s="149"/>
      <c r="AS714" s="149"/>
      <c r="AT714" s="149"/>
      <c r="AU714" s="149"/>
      <c r="AV714" s="149"/>
      <c r="AW714" s="149"/>
      <c r="AX714" s="149"/>
      <c r="AY714" s="149"/>
      <c r="AZ714" s="149"/>
      <c r="BA714" s="149"/>
      <c r="BB714" s="149"/>
      <c r="BC714" s="149"/>
      <c r="BD714" s="149"/>
      <c r="BE714" s="149"/>
      <c r="BF714" s="149"/>
      <c r="BG714" s="149"/>
      <c r="BH714" s="149"/>
      <c r="BI714" s="149"/>
      <c r="BJ714" s="149"/>
      <c r="BK714" s="149"/>
      <c r="BL714" s="149"/>
      <c r="BM714" s="149"/>
      <c r="BN714" s="149"/>
      <c r="BO714" s="149"/>
      <c r="BP714" s="149"/>
      <c r="BQ714" s="149"/>
      <c r="BR714" s="149"/>
    </row>
    <row r="715" ht="34" customHeight="1" spans="1:70">
      <c r="A715" s="208">
        <v>721</v>
      </c>
      <c r="B715" s="149"/>
      <c r="C715" s="149"/>
      <c r="D715" s="149"/>
      <c r="E715" s="149"/>
      <c r="F715" s="149"/>
      <c r="G715" s="149"/>
      <c r="H715" s="149"/>
      <c r="I715" s="149"/>
      <c r="J715" s="149"/>
      <c r="K715" s="149"/>
      <c r="L715" s="149"/>
      <c r="M715" s="149"/>
      <c r="N715" s="149"/>
      <c r="O715" s="149"/>
      <c r="P715" s="149"/>
      <c r="Q715" s="149"/>
      <c r="R715" s="149"/>
      <c r="S715" s="149"/>
      <c r="T715" s="149"/>
      <c r="U715" s="149"/>
      <c r="V715" s="149"/>
      <c r="W715" s="149"/>
      <c r="X715" s="149"/>
      <c r="Y715" s="149"/>
      <c r="Z715" s="149"/>
      <c r="AA715" s="149"/>
      <c r="AB715" s="149"/>
      <c r="AC715" s="149"/>
      <c r="AD715" s="149"/>
      <c r="AE715" s="149"/>
      <c r="AF715" s="149"/>
      <c r="AG715" s="149"/>
      <c r="AH715" s="149"/>
      <c r="AI715" s="149"/>
      <c r="AJ715" s="149"/>
      <c r="AK715" s="149"/>
      <c r="AL715" s="149"/>
      <c r="AM715" s="149"/>
      <c r="AN715" s="149"/>
      <c r="AO715" s="149"/>
      <c r="AP715" s="149"/>
      <c r="AR715" s="149"/>
      <c r="AS715" s="149"/>
      <c r="AT715" s="149"/>
      <c r="AU715" s="149"/>
      <c r="AV715" s="149"/>
      <c r="AW715" s="149"/>
      <c r="AX715" s="149"/>
      <c r="AY715" s="149"/>
      <c r="AZ715" s="149"/>
      <c r="BA715" s="149"/>
      <c r="BB715" s="149"/>
      <c r="BC715" s="149"/>
      <c r="BD715" s="149"/>
      <c r="BE715" s="149"/>
      <c r="BF715" s="149"/>
      <c r="BG715" s="149"/>
      <c r="BH715" s="149"/>
      <c r="BI715" s="149"/>
      <c r="BJ715" s="149"/>
      <c r="BK715" s="149"/>
      <c r="BL715" s="149"/>
      <c r="BM715" s="149"/>
      <c r="BN715" s="149"/>
      <c r="BO715" s="149"/>
      <c r="BP715" s="149"/>
      <c r="BQ715" s="149"/>
      <c r="BR715" s="149"/>
    </row>
    <row r="716" ht="34" customHeight="1" spans="1:70">
      <c r="A716" s="208">
        <v>722</v>
      </c>
      <c r="B716" s="149"/>
      <c r="C716" s="149"/>
      <c r="D716" s="149"/>
      <c r="E716" s="149"/>
      <c r="F716" s="149"/>
      <c r="G716" s="149"/>
      <c r="H716" s="149"/>
      <c r="I716" s="149"/>
      <c r="J716" s="149"/>
      <c r="K716" s="149"/>
      <c r="L716" s="149"/>
      <c r="M716" s="149"/>
      <c r="N716" s="149"/>
      <c r="O716" s="149"/>
      <c r="P716" s="149"/>
      <c r="Q716" s="149"/>
      <c r="R716" s="149"/>
      <c r="S716" s="149"/>
      <c r="T716" s="149"/>
      <c r="U716" s="149"/>
      <c r="V716" s="149"/>
      <c r="W716" s="149"/>
      <c r="X716" s="149"/>
      <c r="Y716" s="149"/>
      <c r="Z716" s="149"/>
      <c r="AA716" s="149"/>
      <c r="AB716" s="149"/>
      <c r="AC716" s="149"/>
      <c r="AD716" s="149"/>
      <c r="AE716" s="149"/>
      <c r="AF716" s="149"/>
      <c r="AG716" s="149"/>
      <c r="AH716" s="149"/>
      <c r="AI716" s="149"/>
      <c r="AJ716" s="149"/>
      <c r="AK716" s="149"/>
      <c r="AL716" s="149"/>
      <c r="AM716" s="149"/>
      <c r="AN716" s="149"/>
      <c r="AO716" s="149"/>
      <c r="AP716" s="149"/>
      <c r="AR716" s="149"/>
      <c r="AS716" s="149"/>
      <c r="AT716" s="149"/>
      <c r="AU716" s="149"/>
      <c r="AV716" s="149"/>
      <c r="AW716" s="149"/>
      <c r="AX716" s="149"/>
      <c r="AY716" s="149"/>
      <c r="AZ716" s="149"/>
      <c r="BA716" s="149"/>
      <c r="BB716" s="149"/>
      <c r="BC716" s="149"/>
      <c r="BD716" s="149"/>
      <c r="BE716" s="149"/>
      <c r="BF716" s="149"/>
      <c r="BG716" s="149"/>
      <c r="BH716" s="149"/>
      <c r="BI716" s="149"/>
      <c r="BJ716" s="149"/>
      <c r="BK716" s="149"/>
      <c r="BL716" s="149"/>
      <c r="BM716" s="149"/>
      <c r="BN716" s="149"/>
      <c r="BO716" s="149"/>
      <c r="BP716" s="149"/>
      <c r="BQ716" s="149"/>
      <c r="BR716" s="149"/>
    </row>
    <row r="717" ht="34" customHeight="1" spans="1:70">
      <c r="A717" s="208">
        <v>723</v>
      </c>
      <c r="B717" s="149"/>
      <c r="C717" s="149"/>
      <c r="D717" s="149"/>
      <c r="E717" s="149"/>
      <c r="F717" s="149"/>
      <c r="G717" s="149"/>
      <c r="H717" s="149"/>
      <c r="I717" s="149"/>
      <c r="J717" s="149"/>
      <c r="K717" s="149"/>
      <c r="L717" s="149"/>
      <c r="M717" s="149"/>
      <c r="N717" s="149"/>
      <c r="O717" s="149"/>
      <c r="P717" s="149"/>
      <c r="Q717" s="149"/>
      <c r="R717" s="149"/>
      <c r="S717" s="149"/>
      <c r="T717" s="149"/>
      <c r="U717" s="149"/>
      <c r="V717" s="149"/>
      <c r="W717" s="149"/>
      <c r="X717" s="149"/>
      <c r="Y717" s="149"/>
      <c r="Z717" s="149"/>
      <c r="AA717" s="149"/>
      <c r="AB717" s="149"/>
      <c r="AC717" s="149"/>
      <c r="AD717" s="149"/>
      <c r="AE717" s="149"/>
      <c r="AF717" s="149"/>
      <c r="AG717" s="149"/>
      <c r="AH717" s="149"/>
      <c r="AI717" s="149"/>
      <c r="AJ717" s="149"/>
      <c r="AK717" s="149"/>
      <c r="AL717" s="149"/>
      <c r="AM717" s="149"/>
      <c r="AN717" s="149"/>
      <c r="AO717" s="149"/>
      <c r="AP717" s="149"/>
      <c r="AR717" s="149"/>
      <c r="AS717" s="149"/>
      <c r="AT717" s="149"/>
      <c r="AU717" s="149"/>
      <c r="AV717" s="149"/>
      <c r="AW717" s="149"/>
      <c r="AX717" s="149"/>
      <c r="AY717" s="149"/>
      <c r="AZ717" s="149"/>
      <c r="BA717" s="149"/>
      <c r="BB717" s="149"/>
      <c r="BC717" s="149"/>
      <c r="BD717" s="149"/>
      <c r="BE717" s="149"/>
      <c r="BF717" s="149"/>
      <c r="BG717" s="149"/>
      <c r="BH717" s="149"/>
      <c r="BI717" s="149"/>
      <c r="BJ717" s="149"/>
      <c r="BK717" s="149"/>
      <c r="BL717" s="149"/>
      <c r="BM717" s="149"/>
      <c r="BN717" s="149"/>
      <c r="BO717" s="149"/>
      <c r="BP717" s="149"/>
      <c r="BQ717" s="149"/>
      <c r="BR717" s="149"/>
    </row>
    <row r="718" ht="34" customHeight="1" spans="1:70">
      <c r="A718" s="208">
        <v>724</v>
      </c>
      <c r="B718" s="149"/>
      <c r="C718" s="149"/>
      <c r="D718" s="149"/>
      <c r="E718" s="149"/>
      <c r="F718" s="149"/>
      <c r="G718" s="149"/>
      <c r="H718" s="149"/>
      <c r="I718" s="149"/>
      <c r="J718" s="149"/>
      <c r="K718" s="149"/>
      <c r="L718" s="149"/>
      <c r="M718" s="149"/>
      <c r="N718" s="149"/>
      <c r="O718" s="149"/>
      <c r="P718" s="149"/>
      <c r="Q718" s="149"/>
      <c r="R718" s="149"/>
      <c r="S718" s="149"/>
      <c r="T718" s="149"/>
      <c r="U718" s="149"/>
      <c r="V718" s="149"/>
      <c r="W718" s="149"/>
      <c r="X718" s="149"/>
      <c r="Y718" s="149"/>
      <c r="Z718" s="149"/>
      <c r="AA718" s="149"/>
      <c r="AB718" s="149"/>
      <c r="AC718" s="149"/>
      <c r="AD718" s="149"/>
      <c r="AE718" s="149"/>
      <c r="AF718" s="149"/>
      <c r="AG718" s="149"/>
      <c r="AH718" s="149"/>
      <c r="AI718" s="149"/>
      <c r="AJ718" s="149"/>
      <c r="AK718" s="149"/>
      <c r="AL718" s="149"/>
      <c r="AM718" s="149"/>
      <c r="AN718" s="149"/>
      <c r="AO718" s="149"/>
      <c r="AP718" s="149"/>
      <c r="AR718" s="149"/>
      <c r="AS718" s="149"/>
      <c r="AT718" s="149"/>
      <c r="AU718" s="149"/>
      <c r="AV718" s="149"/>
      <c r="AW718" s="149"/>
      <c r="AX718" s="149"/>
      <c r="AY718" s="149"/>
      <c r="AZ718" s="149"/>
      <c r="BA718" s="149"/>
      <c r="BB718" s="149"/>
      <c r="BC718" s="149"/>
      <c r="BD718" s="149"/>
      <c r="BE718" s="149"/>
      <c r="BF718" s="149"/>
      <c r="BG718" s="149"/>
      <c r="BH718" s="149"/>
      <c r="BI718" s="149"/>
      <c r="BJ718" s="149"/>
      <c r="BK718" s="149"/>
      <c r="BL718" s="149"/>
      <c r="BM718" s="149"/>
      <c r="BN718" s="149"/>
      <c r="BO718" s="149"/>
      <c r="BP718" s="149"/>
      <c r="BQ718" s="149"/>
      <c r="BR718" s="149"/>
    </row>
    <row r="719" ht="34" customHeight="1" spans="1:70">
      <c r="A719" s="208">
        <v>725</v>
      </c>
      <c r="B719" s="149"/>
      <c r="C719" s="149"/>
      <c r="D719" s="149"/>
      <c r="E719" s="149"/>
      <c r="F719" s="149"/>
      <c r="G719" s="149"/>
      <c r="H719" s="149"/>
      <c r="I719" s="149"/>
      <c r="J719" s="149"/>
      <c r="K719" s="149"/>
      <c r="L719" s="149"/>
      <c r="M719" s="149"/>
      <c r="N719" s="149"/>
      <c r="O719" s="149"/>
      <c r="P719" s="149"/>
      <c r="Q719" s="149"/>
      <c r="R719" s="149"/>
      <c r="S719" s="149"/>
      <c r="T719" s="149"/>
      <c r="U719" s="149"/>
      <c r="V719" s="149"/>
      <c r="W719" s="149"/>
      <c r="X719" s="149"/>
      <c r="Y719" s="149"/>
      <c r="Z719" s="149"/>
      <c r="AA719" s="149"/>
      <c r="AB719" s="149"/>
      <c r="AC719" s="149"/>
      <c r="AD719" s="149"/>
      <c r="AE719" s="149"/>
      <c r="AF719" s="149"/>
      <c r="AG719" s="149"/>
      <c r="AH719" s="149"/>
      <c r="AI719" s="149"/>
      <c r="AJ719" s="149"/>
      <c r="AK719" s="149"/>
      <c r="AL719" s="149"/>
      <c r="AM719" s="149"/>
      <c r="AN719" s="149"/>
      <c r="AO719" s="149"/>
      <c r="AP719" s="149"/>
      <c r="AR719" s="149"/>
      <c r="AS719" s="149"/>
      <c r="AT719" s="149"/>
      <c r="AU719" s="149"/>
      <c r="AV719" s="149"/>
      <c r="AW719" s="149"/>
      <c r="AX719" s="149"/>
      <c r="AY719" s="149"/>
      <c r="AZ719" s="149"/>
      <c r="BA719" s="149"/>
      <c r="BB719" s="149"/>
      <c r="BC719" s="149"/>
      <c r="BD719" s="149"/>
      <c r="BE719" s="149"/>
      <c r="BF719" s="149"/>
      <c r="BG719" s="149"/>
      <c r="BH719" s="149"/>
      <c r="BI719" s="149"/>
      <c r="BJ719" s="149"/>
      <c r="BK719" s="149"/>
      <c r="BL719" s="149"/>
      <c r="BM719" s="149"/>
      <c r="BN719" s="149"/>
      <c r="BO719" s="149"/>
      <c r="BP719" s="149"/>
      <c r="BQ719" s="149"/>
      <c r="BR719" s="149"/>
    </row>
    <row r="720" ht="34" customHeight="1" spans="1:70">
      <c r="A720" s="208">
        <v>726</v>
      </c>
      <c r="B720" s="149"/>
      <c r="C720" s="149"/>
      <c r="D720" s="149"/>
      <c r="E720" s="149"/>
      <c r="F720" s="149"/>
      <c r="G720" s="149"/>
      <c r="H720" s="149"/>
      <c r="I720" s="149"/>
      <c r="J720" s="149"/>
      <c r="K720" s="149"/>
      <c r="L720" s="149"/>
      <c r="M720" s="149"/>
      <c r="N720" s="149"/>
      <c r="O720" s="149"/>
      <c r="P720" s="149"/>
      <c r="Q720" s="149"/>
      <c r="R720" s="149"/>
      <c r="S720" s="149"/>
      <c r="T720" s="149"/>
      <c r="U720" s="149"/>
      <c r="V720" s="149"/>
      <c r="W720" s="149"/>
      <c r="X720" s="149"/>
      <c r="Y720" s="149"/>
      <c r="Z720" s="149"/>
      <c r="AA720" s="149"/>
      <c r="AB720" s="149"/>
      <c r="AC720" s="149"/>
      <c r="AD720" s="149"/>
      <c r="AE720" s="149"/>
      <c r="AF720" s="149"/>
      <c r="AG720" s="149"/>
      <c r="AH720" s="149"/>
      <c r="AI720" s="149"/>
      <c r="AJ720" s="149"/>
      <c r="AK720" s="149"/>
      <c r="AL720" s="149"/>
      <c r="AM720" s="149"/>
      <c r="AN720" s="149"/>
      <c r="AO720" s="149"/>
      <c r="AP720" s="149"/>
      <c r="AR720" s="149"/>
      <c r="AS720" s="149"/>
      <c r="AT720" s="149"/>
      <c r="AU720" s="149"/>
      <c r="AV720" s="149"/>
      <c r="AW720" s="149"/>
      <c r="AX720" s="149"/>
      <c r="AY720" s="149"/>
      <c r="AZ720" s="149"/>
      <c r="BA720" s="149"/>
      <c r="BB720" s="149"/>
      <c r="BC720" s="149"/>
      <c r="BD720" s="149"/>
      <c r="BE720" s="149"/>
      <c r="BF720" s="149"/>
      <c r="BG720" s="149"/>
      <c r="BH720" s="149"/>
      <c r="BI720" s="149"/>
      <c r="BJ720" s="149"/>
      <c r="BK720" s="149"/>
      <c r="BL720" s="149"/>
      <c r="BM720" s="149"/>
      <c r="BN720" s="149"/>
      <c r="BO720" s="149"/>
      <c r="BP720" s="149"/>
      <c r="BQ720" s="149"/>
      <c r="BR720" s="149"/>
    </row>
    <row r="721" ht="34" customHeight="1" spans="1:70">
      <c r="A721" s="208">
        <v>727</v>
      </c>
      <c r="B721" s="149"/>
      <c r="C721" s="149"/>
      <c r="D721" s="149"/>
      <c r="E721" s="149"/>
      <c r="F721" s="149"/>
      <c r="G721" s="149"/>
      <c r="H721" s="149"/>
      <c r="I721" s="149"/>
      <c r="J721" s="149"/>
      <c r="K721" s="149"/>
      <c r="L721" s="149"/>
      <c r="M721" s="149"/>
      <c r="N721" s="149"/>
      <c r="O721" s="149"/>
      <c r="P721" s="149"/>
      <c r="Q721" s="149"/>
      <c r="R721" s="149"/>
      <c r="S721" s="149"/>
      <c r="T721" s="149"/>
      <c r="U721" s="149"/>
      <c r="V721" s="149"/>
      <c r="W721" s="149"/>
      <c r="X721" s="149"/>
      <c r="Y721" s="149"/>
      <c r="Z721" s="149"/>
      <c r="AA721" s="149"/>
      <c r="AB721" s="149"/>
      <c r="AC721" s="149"/>
      <c r="AD721" s="149"/>
      <c r="AE721" s="149"/>
      <c r="AF721" s="149"/>
      <c r="AG721" s="149"/>
      <c r="AH721" s="149"/>
      <c r="AI721" s="149"/>
      <c r="AJ721" s="149"/>
      <c r="AK721" s="149"/>
      <c r="AL721" s="149"/>
      <c r="AM721" s="149"/>
      <c r="AN721" s="149"/>
      <c r="AO721" s="149"/>
      <c r="AP721" s="149"/>
      <c r="AR721" s="149"/>
      <c r="AS721" s="149"/>
      <c r="AT721" s="149"/>
      <c r="AU721" s="149"/>
      <c r="AV721" s="149"/>
      <c r="AW721" s="149"/>
      <c r="AX721" s="149"/>
      <c r="AY721" s="149"/>
      <c r="AZ721" s="149"/>
      <c r="BA721" s="149"/>
      <c r="BB721" s="149"/>
      <c r="BC721" s="149"/>
      <c r="BD721" s="149"/>
      <c r="BE721" s="149"/>
      <c r="BF721" s="149"/>
      <c r="BG721" s="149"/>
      <c r="BH721" s="149"/>
      <c r="BI721" s="149"/>
      <c r="BJ721" s="149"/>
      <c r="BK721" s="149"/>
      <c r="BL721" s="149"/>
      <c r="BM721" s="149"/>
      <c r="BN721" s="149"/>
      <c r="BO721" s="149"/>
      <c r="BP721" s="149"/>
      <c r="BQ721" s="149"/>
      <c r="BR721" s="149"/>
    </row>
    <row r="722" ht="34" customHeight="1" spans="1:70">
      <c r="A722" s="208">
        <v>728</v>
      </c>
      <c r="B722" s="149"/>
      <c r="C722" s="149"/>
      <c r="D722" s="149"/>
      <c r="E722" s="149"/>
      <c r="F722" s="149"/>
      <c r="G722" s="149"/>
      <c r="H722" s="149"/>
      <c r="I722" s="149"/>
      <c r="J722" s="149"/>
      <c r="K722" s="149"/>
      <c r="L722" s="149"/>
      <c r="M722" s="149"/>
      <c r="N722" s="149"/>
      <c r="O722" s="149"/>
      <c r="P722" s="149"/>
      <c r="Q722" s="149"/>
      <c r="R722" s="149"/>
      <c r="S722" s="149"/>
      <c r="T722" s="149"/>
      <c r="U722" s="149"/>
      <c r="V722" s="149"/>
      <c r="W722" s="149"/>
      <c r="X722" s="149"/>
      <c r="Y722" s="149"/>
      <c r="Z722" s="149"/>
      <c r="AA722" s="149"/>
      <c r="AB722" s="149"/>
      <c r="AC722" s="149"/>
      <c r="AD722" s="149"/>
      <c r="AE722" s="149"/>
      <c r="AF722" s="149"/>
      <c r="AG722" s="149"/>
      <c r="AH722" s="149"/>
      <c r="AI722" s="149"/>
      <c r="AJ722" s="149"/>
      <c r="AK722" s="149"/>
      <c r="AL722" s="149"/>
      <c r="AM722" s="149"/>
      <c r="AN722" s="149"/>
      <c r="AO722" s="149"/>
      <c r="AP722" s="149"/>
      <c r="AR722" s="149"/>
      <c r="AS722" s="149"/>
      <c r="AT722" s="149"/>
      <c r="AU722" s="149"/>
      <c r="AV722" s="149"/>
      <c r="AW722" s="149"/>
      <c r="AX722" s="149"/>
      <c r="AY722" s="149"/>
      <c r="AZ722" s="149"/>
      <c r="BA722" s="149"/>
      <c r="BB722" s="149"/>
      <c r="BC722" s="149"/>
      <c r="BD722" s="149"/>
      <c r="BE722" s="149"/>
      <c r="BF722" s="149"/>
      <c r="BG722" s="149"/>
      <c r="BH722" s="149"/>
      <c r="BI722" s="149"/>
      <c r="BJ722" s="149"/>
      <c r="BK722" s="149"/>
      <c r="BL722" s="149"/>
      <c r="BM722" s="149"/>
      <c r="BN722" s="149"/>
      <c r="BO722" s="149"/>
      <c r="BP722" s="149"/>
      <c r="BQ722" s="149"/>
      <c r="BR722" s="149"/>
    </row>
    <row r="723" ht="34" customHeight="1" spans="1:70">
      <c r="A723" s="208">
        <v>729</v>
      </c>
      <c r="B723" s="149"/>
      <c r="C723" s="149"/>
      <c r="D723" s="149"/>
      <c r="E723" s="149"/>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ht="34" customHeight="1" spans="1:70">
      <c r="A724" s="208">
        <v>730</v>
      </c>
      <c r="B724" s="149"/>
      <c r="C724" s="149"/>
      <c r="D724" s="149"/>
      <c r="E724" s="149"/>
      <c r="F724" s="149"/>
      <c r="G724" s="149"/>
      <c r="H724" s="149"/>
      <c r="I724" s="149"/>
      <c r="J724" s="149"/>
      <c r="K724" s="149"/>
      <c r="L724" s="149"/>
      <c r="M724" s="149"/>
      <c r="N724" s="149"/>
      <c r="O724" s="149"/>
      <c r="P724" s="149"/>
      <c r="Q724" s="149"/>
      <c r="R724" s="149"/>
      <c r="S724" s="149"/>
      <c r="T724" s="149"/>
      <c r="U724" s="149"/>
      <c r="V724" s="149"/>
      <c r="W724" s="149"/>
      <c r="X724" s="149"/>
      <c r="Y724" s="149"/>
      <c r="Z724" s="149"/>
      <c r="AA724" s="149"/>
      <c r="AB724" s="149"/>
      <c r="AC724" s="149"/>
      <c r="AD724" s="149"/>
      <c r="AE724" s="149"/>
      <c r="AF724" s="149"/>
      <c r="AG724" s="149"/>
      <c r="AH724" s="149"/>
      <c r="AI724" s="149"/>
      <c r="AJ724" s="149"/>
      <c r="AK724" s="149"/>
      <c r="AL724" s="149"/>
      <c r="AM724" s="149"/>
      <c r="AN724" s="149"/>
      <c r="AO724" s="149"/>
      <c r="AP724" s="149"/>
      <c r="AR724" s="149"/>
      <c r="AS724" s="149"/>
      <c r="AT724" s="149"/>
      <c r="AU724" s="149"/>
      <c r="AV724" s="149"/>
      <c r="AW724" s="149"/>
      <c r="AX724" s="149"/>
      <c r="AY724" s="149"/>
      <c r="AZ724" s="149"/>
      <c r="BA724" s="149"/>
      <c r="BB724" s="149"/>
      <c r="BC724" s="149"/>
      <c r="BD724" s="149"/>
      <c r="BE724" s="149"/>
      <c r="BF724" s="149"/>
      <c r="BG724" s="149"/>
      <c r="BH724" s="149"/>
      <c r="BI724" s="149"/>
      <c r="BJ724" s="149"/>
      <c r="BK724" s="149"/>
      <c r="BL724" s="149"/>
      <c r="BM724" s="149"/>
      <c r="BN724" s="149"/>
      <c r="BO724" s="149"/>
      <c r="BP724" s="149"/>
      <c r="BQ724" s="149"/>
      <c r="BR724" s="149"/>
    </row>
    <row r="725" ht="34" customHeight="1" spans="1:70">
      <c r="A725" s="208">
        <v>731</v>
      </c>
      <c r="B725" s="149"/>
      <c r="C725" s="149"/>
      <c r="D725" s="149"/>
      <c r="E725" s="149"/>
      <c r="F725" s="149"/>
      <c r="G725" s="149"/>
      <c r="H725" s="149"/>
      <c r="I725" s="149"/>
      <c r="J725" s="149"/>
      <c r="K725" s="149"/>
      <c r="L725" s="149"/>
      <c r="M725" s="149"/>
      <c r="N725" s="149"/>
      <c r="O725" s="149"/>
      <c r="P725" s="149"/>
      <c r="Q725" s="149"/>
      <c r="R725" s="149"/>
      <c r="S725" s="149"/>
      <c r="T725" s="149"/>
      <c r="U725" s="149"/>
      <c r="V725" s="149"/>
      <c r="W725" s="149"/>
      <c r="X725" s="149"/>
      <c r="Y725" s="149"/>
      <c r="Z725" s="149"/>
      <c r="AA725" s="149"/>
      <c r="AB725" s="149"/>
      <c r="AC725" s="149"/>
      <c r="AD725" s="149"/>
      <c r="AE725" s="149"/>
      <c r="AF725" s="149"/>
      <c r="AG725" s="149"/>
      <c r="AH725" s="149"/>
      <c r="AI725" s="149"/>
      <c r="AJ725" s="149"/>
      <c r="AK725" s="149"/>
      <c r="AL725" s="149"/>
      <c r="AM725" s="149"/>
      <c r="AN725" s="149"/>
      <c r="AO725" s="149"/>
      <c r="AP725" s="149"/>
      <c r="AR725" s="149"/>
      <c r="AS725" s="149"/>
      <c r="AT725" s="149"/>
      <c r="AU725" s="149"/>
      <c r="AV725" s="149"/>
      <c r="AW725" s="149"/>
      <c r="AX725" s="149"/>
      <c r="AY725" s="149"/>
      <c r="AZ725" s="149"/>
      <c r="BA725" s="149"/>
      <c r="BB725" s="149"/>
      <c r="BC725" s="149"/>
      <c r="BD725" s="149"/>
      <c r="BE725" s="149"/>
      <c r="BF725" s="149"/>
      <c r="BG725" s="149"/>
      <c r="BH725" s="149"/>
      <c r="BI725" s="149"/>
      <c r="BJ725" s="149"/>
      <c r="BK725" s="149"/>
      <c r="BL725" s="149"/>
      <c r="BM725" s="149"/>
      <c r="BN725" s="149"/>
      <c r="BO725" s="149"/>
      <c r="BP725" s="149"/>
      <c r="BQ725" s="149"/>
      <c r="BR725" s="149"/>
    </row>
    <row r="726" ht="34" customHeight="1" spans="1:70">
      <c r="A726" s="208">
        <v>732</v>
      </c>
      <c r="B726" s="149"/>
      <c r="C726" s="149"/>
      <c r="D726" s="149"/>
      <c r="E726" s="149"/>
      <c r="F726" s="149"/>
      <c r="G726" s="149"/>
      <c r="H726" s="149"/>
      <c r="I726" s="149"/>
      <c r="J726" s="149"/>
      <c r="K726" s="149"/>
      <c r="L726" s="149"/>
      <c r="M726" s="149"/>
      <c r="N726" s="149"/>
      <c r="O726" s="149"/>
      <c r="P726" s="149"/>
      <c r="Q726" s="149"/>
      <c r="R726" s="149"/>
      <c r="S726" s="149"/>
      <c r="T726" s="149"/>
      <c r="U726" s="149"/>
      <c r="V726" s="149"/>
      <c r="W726" s="149"/>
      <c r="X726" s="149"/>
      <c r="Y726" s="149"/>
      <c r="Z726" s="149"/>
      <c r="AA726" s="149"/>
      <c r="AB726" s="149"/>
      <c r="AC726" s="149"/>
      <c r="AD726" s="149"/>
      <c r="AE726" s="149"/>
      <c r="AF726" s="149"/>
      <c r="AG726" s="149"/>
      <c r="AH726" s="149"/>
      <c r="AI726" s="149"/>
      <c r="AJ726" s="149"/>
      <c r="AK726" s="149"/>
      <c r="AL726" s="149"/>
      <c r="AM726" s="149"/>
      <c r="AN726" s="149"/>
      <c r="AO726" s="149"/>
      <c r="AP726" s="149"/>
      <c r="AR726" s="149"/>
      <c r="AS726" s="149"/>
      <c r="AT726" s="149"/>
      <c r="AU726" s="149"/>
      <c r="AV726" s="149"/>
      <c r="AW726" s="149"/>
      <c r="AX726" s="149"/>
      <c r="AY726" s="149"/>
      <c r="AZ726" s="149"/>
      <c r="BA726" s="149"/>
      <c r="BB726" s="149"/>
      <c r="BC726" s="149"/>
      <c r="BD726" s="149"/>
      <c r="BE726" s="149"/>
      <c r="BF726" s="149"/>
      <c r="BG726" s="149"/>
      <c r="BH726" s="149"/>
      <c r="BI726" s="149"/>
      <c r="BJ726" s="149"/>
      <c r="BK726" s="149"/>
      <c r="BL726" s="149"/>
      <c r="BM726" s="149"/>
      <c r="BN726" s="149"/>
      <c r="BO726" s="149"/>
      <c r="BP726" s="149"/>
      <c r="BQ726" s="149"/>
      <c r="BR726" s="149"/>
    </row>
    <row r="727" ht="34" customHeight="1" spans="1:70">
      <c r="A727" s="208">
        <v>733</v>
      </c>
      <c r="B727" s="149"/>
      <c r="C727" s="149"/>
      <c r="D727" s="149"/>
      <c r="E727" s="149"/>
      <c r="F727" s="149"/>
      <c r="G727" s="149"/>
      <c r="H727" s="149"/>
      <c r="I727" s="149"/>
      <c r="J727" s="149"/>
      <c r="K727" s="149"/>
      <c r="L727" s="149"/>
      <c r="M727" s="149"/>
      <c r="N727" s="149"/>
      <c r="O727" s="149"/>
      <c r="P727" s="149"/>
      <c r="Q727" s="149"/>
      <c r="R727" s="149"/>
      <c r="S727" s="149"/>
      <c r="T727" s="149"/>
      <c r="U727" s="149"/>
      <c r="V727" s="149"/>
      <c r="W727" s="149"/>
      <c r="X727" s="149"/>
      <c r="Y727" s="149"/>
      <c r="Z727" s="149"/>
      <c r="AA727" s="149"/>
      <c r="AB727" s="149"/>
      <c r="AC727" s="149"/>
      <c r="AD727" s="149"/>
      <c r="AE727" s="149"/>
      <c r="AF727" s="149"/>
      <c r="AG727" s="149"/>
      <c r="AH727" s="149"/>
      <c r="AI727" s="149"/>
      <c r="AJ727" s="149"/>
      <c r="AK727" s="149"/>
      <c r="AL727" s="149"/>
      <c r="AM727" s="149"/>
      <c r="AN727" s="149"/>
      <c r="AO727" s="149"/>
      <c r="AP727" s="149"/>
      <c r="AR727" s="149"/>
      <c r="AS727" s="149"/>
      <c r="AT727" s="149"/>
      <c r="AU727" s="149"/>
      <c r="AV727" s="149"/>
      <c r="AW727" s="149"/>
      <c r="AX727" s="149"/>
      <c r="AY727" s="149"/>
      <c r="AZ727" s="149"/>
      <c r="BA727" s="149"/>
      <c r="BB727" s="149"/>
      <c r="BC727" s="149"/>
      <c r="BD727" s="149"/>
      <c r="BE727" s="149"/>
      <c r="BF727" s="149"/>
      <c r="BG727" s="149"/>
      <c r="BH727" s="149"/>
      <c r="BI727" s="149"/>
      <c r="BJ727" s="149"/>
      <c r="BK727" s="149"/>
      <c r="BL727" s="149"/>
      <c r="BM727" s="149"/>
      <c r="BN727" s="149"/>
      <c r="BO727" s="149"/>
      <c r="BP727" s="149"/>
      <c r="BQ727" s="149"/>
      <c r="BR727" s="149"/>
    </row>
    <row r="728" ht="34" customHeight="1" spans="1:70">
      <c r="A728" s="208">
        <v>734</v>
      </c>
      <c r="B728" s="149"/>
      <c r="C728" s="149"/>
      <c r="D728" s="149"/>
      <c r="E728" s="149"/>
      <c r="F728" s="149"/>
      <c r="G728" s="149"/>
      <c r="H728" s="149"/>
      <c r="I728" s="149"/>
      <c r="J728" s="149"/>
      <c r="K728" s="149"/>
      <c r="L728" s="149"/>
      <c r="M728" s="149"/>
      <c r="N728" s="149"/>
      <c r="O728" s="149"/>
      <c r="P728" s="149"/>
      <c r="Q728" s="149"/>
      <c r="R728" s="149"/>
      <c r="S728" s="149"/>
      <c r="T728" s="149"/>
      <c r="U728" s="149"/>
      <c r="V728" s="149"/>
      <c r="W728" s="149"/>
      <c r="X728" s="149"/>
      <c r="Y728" s="149"/>
      <c r="Z728" s="149"/>
      <c r="AA728" s="149"/>
      <c r="AB728" s="149"/>
      <c r="AC728" s="149"/>
      <c r="AD728" s="149"/>
      <c r="AE728" s="149"/>
      <c r="AF728" s="149"/>
      <c r="AG728" s="149"/>
      <c r="AH728" s="149"/>
      <c r="AI728" s="149"/>
      <c r="AJ728" s="149"/>
      <c r="AK728" s="149"/>
      <c r="AL728" s="149"/>
      <c r="AM728" s="149"/>
      <c r="AN728" s="149"/>
      <c r="AO728" s="149"/>
      <c r="AP728" s="149"/>
      <c r="AR728" s="149"/>
      <c r="AS728" s="149"/>
      <c r="AT728" s="149"/>
      <c r="AU728" s="149"/>
      <c r="AV728" s="149"/>
      <c r="AW728" s="149"/>
      <c r="AX728" s="149"/>
      <c r="AY728" s="149"/>
      <c r="AZ728" s="149"/>
      <c r="BA728" s="149"/>
      <c r="BB728" s="149"/>
      <c r="BC728" s="149"/>
      <c r="BD728" s="149"/>
      <c r="BE728" s="149"/>
      <c r="BF728" s="149"/>
      <c r="BG728" s="149"/>
      <c r="BH728" s="149"/>
      <c r="BI728" s="149"/>
      <c r="BJ728" s="149"/>
      <c r="BK728" s="149"/>
      <c r="BL728" s="149"/>
      <c r="BM728" s="149"/>
      <c r="BN728" s="149"/>
      <c r="BO728" s="149"/>
      <c r="BP728" s="149"/>
      <c r="BQ728" s="149"/>
      <c r="BR728" s="149"/>
    </row>
    <row r="729" ht="34" customHeight="1" spans="1:70">
      <c r="A729" s="208">
        <v>735</v>
      </c>
      <c r="B729" s="149"/>
      <c r="C729" s="149"/>
      <c r="D729" s="149"/>
      <c r="E729" s="149"/>
      <c r="F729" s="149"/>
      <c r="G729" s="149"/>
      <c r="H729" s="149"/>
      <c r="I729" s="149"/>
      <c r="J729" s="149"/>
      <c r="K729" s="149"/>
      <c r="L729" s="149"/>
      <c r="M729" s="149"/>
      <c r="N729" s="149"/>
      <c r="O729" s="149"/>
      <c r="P729" s="149"/>
      <c r="Q729" s="149"/>
      <c r="R729" s="149"/>
      <c r="S729" s="149"/>
      <c r="T729" s="149"/>
      <c r="U729" s="149"/>
      <c r="V729" s="149"/>
      <c r="W729" s="149"/>
      <c r="X729" s="149"/>
      <c r="Y729" s="149"/>
      <c r="Z729" s="149"/>
      <c r="AA729" s="149"/>
      <c r="AB729" s="149"/>
      <c r="AC729" s="149"/>
      <c r="AD729" s="149"/>
      <c r="AE729" s="149"/>
      <c r="AF729" s="149"/>
      <c r="AG729" s="149"/>
      <c r="AH729" s="149"/>
      <c r="AI729" s="149"/>
      <c r="AJ729" s="149"/>
      <c r="AK729" s="149"/>
      <c r="AL729" s="149"/>
      <c r="AM729" s="149"/>
      <c r="AN729" s="149"/>
      <c r="AO729" s="149"/>
      <c r="AP729" s="149"/>
      <c r="AR729" s="149"/>
      <c r="AS729" s="149"/>
      <c r="AT729" s="149"/>
      <c r="AU729" s="149"/>
      <c r="AV729" s="149"/>
      <c r="AW729" s="149"/>
      <c r="AX729" s="149"/>
      <c r="AY729" s="149"/>
      <c r="AZ729" s="149"/>
      <c r="BA729" s="149"/>
      <c r="BB729" s="149"/>
      <c r="BC729" s="149"/>
      <c r="BD729" s="149"/>
      <c r="BE729" s="149"/>
      <c r="BF729" s="149"/>
      <c r="BG729" s="149"/>
      <c r="BH729" s="149"/>
      <c r="BI729" s="149"/>
      <c r="BJ729" s="149"/>
      <c r="BK729" s="149"/>
      <c r="BL729" s="149"/>
      <c r="BM729" s="149"/>
      <c r="BN729" s="149"/>
      <c r="BO729" s="149"/>
      <c r="BP729" s="149"/>
      <c r="BQ729" s="149"/>
      <c r="BR729" s="149"/>
    </row>
    <row r="730" ht="34" customHeight="1" spans="1:70">
      <c r="A730" s="208">
        <v>736</v>
      </c>
      <c r="B730" s="149"/>
      <c r="C730" s="149"/>
      <c r="D730" s="149"/>
      <c r="E730" s="149"/>
      <c r="F730" s="149"/>
      <c r="G730" s="149"/>
      <c r="H730" s="149"/>
      <c r="I730" s="149"/>
      <c r="J730" s="149"/>
      <c r="K730" s="149"/>
      <c r="L730" s="149"/>
      <c r="M730" s="149"/>
      <c r="N730" s="149"/>
      <c r="O730" s="149"/>
      <c r="P730" s="149"/>
      <c r="Q730" s="149"/>
      <c r="R730" s="149"/>
      <c r="S730" s="149"/>
      <c r="T730" s="149"/>
      <c r="U730" s="149"/>
      <c r="V730" s="149"/>
      <c r="W730" s="149"/>
      <c r="X730" s="149"/>
      <c r="Y730" s="149"/>
      <c r="Z730" s="149"/>
      <c r="AA730" s="149"/>
      <c r="AB730" s="149"/>
      <c r="AC730" s="149"/>
      <c r="AD730" s="149"/>
      <c r="AE730" s="149"/>
      <c r="AF730" s="149"/>
      <c r="AG730" s="149"/>
      <c r="AH730" s="149"/>
      <c r="AI730" s="149"/>
      <c r="AJ730" s="149"/>
      <c r="AK730" s="149"/>
      <c r="AL730" s="149"/>
      <c r="AM730" s="149"/>
      <c r="AN730" s="149"/>
      <c r="AO730" s="149"/>
      <c r="AP730" s="149"/>
      <c r="AR730" s="149"/>
      <c r="AS730" s="149"/>
      <c r="AT730" s="149"/>
      <c r="AU730" s="149"/>
      <c r="AV730" s="149"/>
      <c r="AW730" s="149"/>
      <c r="AX730" s="149"/>
      <c r="AY730" s="149"/>
      <c r="AZ730" s="149"/>
      <c r="BA730" s="149"/>
      <c r="BB730" s="149"/>
      <c r="BC730" s="149"/>
      <c r="BD730" s="149"/>
      <c r="BE730" s="149"/>
      <c r="BF730" s="149"/>
      <c r="BG730" s="149"/>
      <c r="BH730" s="149"/>
      <c r="BI730" s="149"/>
      <c r="BJ730" s="149"/>
      <c r="BK730" s="149"/>
      <c r="BL730" s="149"/>
      <c r="BM730" s="149"/>
      <c r="BN730" s="149"/>
      <c r="BO730" s="149"/>
      <c r="BP730" s="149"/>
      <c r="BQ730" s="149"/>
      <c r="BR730" s="149"/>
    </row>
    <row r="731" ht="34" customHeight="1" spans="1:70">
      <c r="A731" s="208">
        <v>737</v>
      </c>
      <c r="B731" s="149"/>
      <c r="C731" s="149"/>
      <c r="D731" s="149"/>
      <c r="E731" s="149"/>
      <c r="F731" s="149"/>
      <c r="G731" s="149"/>
      <c r="H731" s="149"/>
      <c r="I731" s="149"/>
      <c r="J731" s="149"/>
      <c r="K731" s="149"/>
      <c r="L731" s="149"/>
      <c r="M731" s="149"/>
      <c r="N731" s="149"/>
      <c r="O731" s="149"/>
      <c r="P731" s="149"/>
      <c r="Q731" s="149"/>
      <c r="R731" s="149"/>
      <c r="S731" s="149"/>
      <c r="T731" s="149"/>
      <c r="U731" s="149"/>
      <c r="V731" s="149"/>
      <c r="W731" s="149"/>
      <c r="X731" s="149"/>
      <c r="Y731" s="149"/>
      <c r="Z731" s="149"/>
      <c r="AA731" s="149"/>
      <c r="AB731" s="149"/>
      <c r="AC731" s="149"/>
      <c r="AD731" s="149"/>
      <c r="AE731" s="149"/>
      <c r="AF731" s="149"/>
      <c r="AG731" s="149"/>
      <c r="AH731" s="149"/>
      <c r="AI731" s="149"/>
      <c r="AJ731" s="149"/>
      <c r="AK731" s="149"/>
      <c r="AL731" s="149"/>
      <c r="AM731" s="149"/>
      <c r="AN731" s="149"/>
      <c r="AO731" s="149"/>
      <c r="AP731" s="149"/>
      <c r="AR731" s="149"/>
      <c r="AS731" s="149"/>
      <c r="AT731" s="149"/>
      <c r="AU731" s="149"/>
      <c r="AV731" s="149"/>
      <c r="AW731" s="149"/>
      <c r="AX731" s="149"/>
      <c r="AY731" s="149"/>
      <c r="AZ731" s="149"/>
      <c r="BA731" s="149"/>
      <c r="BB731" s="149"/>
      <c r="BC731" s="149"/>
      <c r="BD731" s="149"/>
      <c r="BE731" s="149"/>
      <c r="BF731" s="149"/>
      <c r="BG731" s="149"/>
      <c r="BH731" s="149"/>
      <c r="BI731" s="149"/>
      <c r="BJ731" s="149"/>
      <c r="BK731" s="149"/>
      <c r="BL731" s="149"/>
      <c r="BM731" s="149"/>
      <c r="BN731" s="149"/>
      <c r="BO731" s="149"/>
      <c r="BP731" s="149"/>
      <c r="BQ731" s="149"/>
      <c r="BR731" s="149"/>
    </row>
    <row r="732" ht="34" customHeight="1" spans="1:70">
      <c r="A732" s="208">
        <v>738</v>
      </c>
      <c r="B732" s="149"/>
      <c r="C732" s="149"/>
      <c r="D732" s="149"/>
      <c r="E732" s="149"/>
      <c r="F732" s="149"/>
      <c r="G732" s="149"/>
      <c r="H732" s="149"/>
      <c r="I732" s="149"/>
      <c r="J732" s="149"/>
      <c r="K732" s="149"/>
      <c r="L732" s="149"/>
      <c r="M732" s="149"/>
      <c r="N732" s="149"/>
      <c r="O732" s="149"/>
      <c r="P732" s="149"/>
      <c r="Q732" s="149"/>
      <c r="R732" s="149"/>
      <c r="S732" s="149"/>
      <c r="T732" s="149"/>
      <c r="U732" s="149"/>
      <c r="V732" s="149"/>
      <c r="W732" s="149"/>
      <c r="X732" s="149"/>
      <c r="Y732" s="149"/>
      <c r="Z732" s="149"/>
      <c r="AA732" s="149"/>
      <c r="AB732" s="149"/>
      <c r="AC732" s="149"/>
      <c r="AD732" s="149"/>
      <c r="AE732" s="149"/>
      <c r="AF732" s="149"/>
      <c r="AG732" s="149"/>
      <c r="AH732" s="149"/>
      <c r="AI732" s="149"/>
      <c r="AJ732" s="149"/>
      <c r="AK732" s="149"/>
      <c r="AL732" s="149"/>
      <c r="AM732" s="149"/>
      <c r="AN732" s="149"/>
      <c r="AO732" s="149"/>
      <c r="AP732" s="149"/>
      <c r="AR732" s="149"/>
      <c r="AS732" s="149"/>
      <c r="AT732" s="149"/>
      <c r="AU732" s="149"/>
      <c r="AV732" s="149"/>
      <c r="AW732" s="149"/>
      <c r="AX732" s="149"/>
      <c r="AY732" s="149"/>
      <c r="AZ732" s="149"/>
      <c r="BA732" s="149"/>
      <c r="BB732" s="149"/>
      <c r="BC732" s="149"/>
      <c r="BD732" s="149"/>
      <c r="BE732" s="149"/>
      <c r="BF732" s="149"/>
      <c r="BG732" s="149"/>
      <c r="BH732" s="149"/>
      <c r="BI732" s="149"/>
      <c r="BJ732" s="149"/>
      <c r="BK732" s="149"/>
      <c r="BL732" s="149"/>
      <c r="BM732" s="149"/>
      <c r="BN732" s="149"/>
      <c r="BO732" s="149"/>
      <c r="BP732" s="149"/>
      <c r="BQ732" s="149"/>
      <c r="BR732" s="149"/>
    </row>
    <row r="733" ht="34" customHeight="1" spans="1:70">
      <c r="A733" s="208">
        <v>739</v>
      </c>
      <c r="B733" s="149"/>
      <c r="C733" s="149"/>
      <c r="D733" s="149"/>
      <c r="E733" s="149"/>
      <c r="F733" s="149"/>
      <c r="G733" s="149"/>
      <c r="H733" s="149"/>
      <c r="I733" s="149"/>
      <c r="J733" s="149"/>
      <c r="K733" s="149"/>
      <c r="L733" s="149"/>
      <c r="M733" s="149"/>
      <c r="N733" s="149"/>
      <c r="O733" s="149"/>
      <c r="P733" s="149"/>
      <c r="Q733" s="149"/>
      <c r="R733" s="149"/>
      <c r="S733" s="149"/>
      <c r="T733" s="149"/>
      <c r="U733" s="149"/>
      <c r="V733" s="149"/>
      <c r="W733" s="149"/>
      <c r="X733" s="149"/>
      <c r="Y733" s="149"/>
      <c r="Z733" s="149"/>
      <c r="AA733" s="149"/>
      <c r="AB733" s="149"/>
      <c r="AC733" s="149"/>
      <c r="AD733" s="149"/>
      <c r="AE733" s="149"/>
      <c r="AF733" s="149"/>
      <c r="AG733" s="149"/>
      <c r="AH733" s="149"/>
      <c r="AI733" s="149"/>
      <c r="AJ733" s="149"/>
      <c r="AK733" s="149"/>
      <c r="AL733" s="149"/>
      <c r="AM733" s="149"/>
      <c r="AN733" s="149"/>
      <c r="AO733" s="149"/>
      <c r="AP733" s="149"/>
      <c r="AR733" s="149"/>
      <c r="AS733" s="149"/>
      <c r="AT733" s="149"/>
      <c r="AU733" s="149"/>
      <c r="AV733" s="149"/>
      <c r="AW733" s="149"/>
      <c r="AX733" s="149"/>
      <c r="AY733" s="149"/>
      <c r="AZ733" s="149"/>
      <c r="BA733" s="149"/>
      <c r="BB733" s="149"/>
      <c r="BC733" s="149"/>
      <c r="BD733" s="149"/>
      <c r="BE733" s="149"/>
      <c r="BF733" s="149"/>
      <c r="BG733" s="149"/>
      <c r="BH733" s="149"/>
      <c r="BI733" s="149"/>
      <c r="BJ733" s="149"/>
      <c r="BK733" s="149"/>
      <c r="BL733" s="149"/>
      <c r="BM733" s="149"/>
      <c r="BN733" s="149"/>
      <c r="BO733" s="149"/>
      <c r="BP733" s="149"/>
      <c r="BQ733" s="149"/>
      <c r="BR733" s="149"/>
    </row>
    <row r="734" ht="34" customHeight="1" spans="1:70">
      <c r="A734" s="208">
        <v>740</v>
      </c>
      <c r="B734" s="149"/>
      <c r="C734" s="149"/>
      <c r="D734" s="149"/>
      <c r="E734" s="149"/>
      <c r="F734" s="149"/>
      <c r="G734" s="149"/>
      <c r="H734" s="149"/>
      <c r="I734" s="149"/>
      <c r="J734" s="149"/>
      <c r="K734" s="149"/>
      <c r="L734" s="149"/>
      <c r="M734" s="149"/>
      <c r="N734" s="149"/>
      <c r="O734" s="149"/>
      <c r="P734" s="149"/>
      <c r="Q734" s="149"/>
      <c r="R734" s="149"/>
      <c r="S734" s="149"/>
      <c r="T734" s="149"/>
      <c r="U734" s="149"/>
      <c r="V734" s="149"/>
      <c r="W734" s="149"/>
      <c r="X734" s="149"/>
      <c r="Y734" s="149"/>
      <c r="Z734" s="149"/>
      <c r="AA734" s="149"/>
      <c r="AB734" s="149"/>
      <c r="AC734" s="149"/>
      <c r="AD734" s="149"/>
      <c r="AE734" s="149"/>
      <c r="AF734" s="149"/>
      <c r="AG734" s="149"/>
      <c r="AH734" s="149"/>
      <c r="AI734" s="149"/>
      <c r="AJ734" s="149"/>
      <c r="AK734" s="149"/>
      <c r="AL734" s="149"/>
      <c r="AM734" s="149"/>
      <c r="AN734" s="149"/>
      <c r="AO734" s="149"/>
      <c r="AP734" s="149"/>
      <c r="AR734" s="149"/>
      <c r="AS734" s="149"/>
      <c r="AT734" s="149"/>
      <c r="AU734" s="149"/>
      <c r="AV734" s="149"/>
      <c r="AW734" s="149"/>
      <c r="AX734" s="149"/>
      <c r="AY734" s="149"/>
      <c r="AZ734" s="149"/>
      <c r="BA734" s="149"/>
      <c r="BB734" s="149"/>
      <c r="BC734" s="149"/>
      <c r="BD734" s="149"/>
      <c r="BE734" s="149"/>
      <c r="BF734" s="149"/>
      <c r="BG734" s="149"/>
      <c r="BH734" s="149"/>
      <c r="BI734" s="149"/>
      <c r="BJ734" s="149"/>
      <c r="BK734" s="149"/>
      <c r="BL734" s="149"/>
      <c r="BM734" s="149"/>
      <c r="BN734" s="149"/>
      <c r="BO734" s="149"/>
      <c r="BP734" s="149"/>
      <c r="BQ734" s="149"/>
      <c r="BR734" s="149"/>
    </row>
    <row r="735" ht="34" customHeight="1" spans="1:70">
      <c r="A735" s="208">
        <v>741</v>
      </c>
      <c r="B735" s="149"/>
      <c r="C735" s="149"/>
      <c r="D735" s="149"/>
      <c r="E735" s="149"/>
      <c r="F735" s="149"/>
      <c r="G735" s="149"/>
      <c r="H735" s="149"/>
      <c r="I735" s="149"/>
      <c r="J735" s="149"/>
      <c r="K735" s="149"/>
      <c r="L735" s="149"/>
      <c r="M735" s="149"/>
      <c r="N735" s="149"/>
      <c r="O735" s="149"/>
      <c r="P735" s="149"/>
      <c r="Q735" s="149"/>
      <c r="R735" s="149"/>
      <c r="S735" s="149"/>
      <c r="T735" s="149"/>
      <c r="U735" s="149"/>
      <c r="V735" s="149"/>
      <c r="W735" s="149"/>
      <c r="X735" s="149"/>
      <c r="Y735" s="149"/>
      <c r="Z735" s="149"/>
      <c r="AA735" s="149"/>
      <c r="AB735" s="149"/>
      <c r="AC735" s="149"/>
      <c r="AD735" s="149"/>
      <c r="AE735" s="149"/>
      <c r="AF735" s="149"/>
      <c r="AG735" s="149"/>
      <c r="AH735" s="149"/>
      <c r="AI735" s="149"/>
      <c r="AJ735" s="149"/>
      <c r="AK735" s="149"/>
      <c r="AL735" s="149"/>
      <c r="AM735" s="149"/>
      <c r="AN735" s="149"/>
      <c r="AO735" s="149"/>
      <c r="AP735" s="149"/>
      <c r="AR735" s="149"/>
      <c r="AS735" s="149"/>
      <c r="AT735" s="149"/>
      <c r="AU735" s="149"/>
      <c r="AV735" s="149"/>
      <c r="AW735" s="149"/>
      <c r="AX735" s="149"/>
      <c r="AY735" s="149"/>
      <c r="AZ735" s="149"/>
      <c r="BA735" s="149"/>
      <c r="BB735" s="149"/>
      <c r="BC735" s="149"/>
      <c r="BD735" s="149"/>
      <c r="BE735" s="149"/>
      <c r="BF735" s="149"/>
      <c r="BG735" s="149"/>
      <c r="BH735" s="149"/>
      <c r="BI735" s="149"/>
      <c r="BJ735" s="149"/>
      <c r="BK735" s="149"/>
      <c r="BL735" s="149"/>
      <c r="BM735" s="149"/>
      <c r="BN735" s="149"/>
      <c r="BO735" s="149"/>
      <c r="BP735" s="149"/>
      <c r="BQ735" s="149"/>
      <c r="BR735" s="149"/>
    </row>
    <row r="736" ht="34" customHeight="1" spans="1:70">
      <c r="A736" s="208">
        <v>742</v>
      </c>
      <c r="B736" s="149"/>
      <c r="C736" s="149"/>
      <c r="D736" s="149"/>
      <c r="E736" s="149"/>
      <c r="F736" s="149"/>
      <c r="G736" s="149"/>
      <c r="H736" s="149"/>
      <c r="I736" s="149"/>
      <c r="J736" s="149"/>
      <c r="K736" s="149"/>
      <c r="L736" s="149"/>
      <c r="M736" s="149"/>
      <c r="N736" s="149"/>
      <c r="O736" s="149"/>
      <c r="P736" s="149"/>
      <c r="Q736" s="149"/>
      <c r="R736" s="149"/>
      <c r="S736" s="149"/>
      <c r="T736" s="149"/>
      <c r="U736" s="149"/>
      <c r="V736" s="149"/>
      <c r="W736" s="149"/>
      <c r="X736" s="149"/>
      <c r="Y736" s="149"/>
      <c r="Z736" s="149"/>
      <c r="AA736" s="149"/>
      <c r="AB736" s="149"/>
      <c r="AC736" s="149"/>
      <c r="AD736" s="149"/>
      <c r="AE736" s="149"/>
      <c r="AF736" s="149"/>
      <c r="AG736" s="149"/>
      <c r="AH736" s="149"/>
      <c r="AI736" s="149"/>
      <c r="AJ736" s="149"/>
      <c r="AK736" s="149"/>
      <c r="AL736" s="149"/>
      <c r="AM736" s="149"/>
      <c r="AN736" s="149"/>
      <c r="AO736" s="149"/>
      <c r="AP736" s="149"/>
      <c r="AR736" s="149"/>
      <c r="AS736" s="149"/>
      <c r="AT736" s="149"/>
      <c r="AU736" s="149"/>
      <c r="AV736" s="149"/>
      <c r="AW736" s="149"/>
      <c r="AX736" s="149"/>
      <c r="AY736" s="149"/>
      <c r="AZ736" s="149"/>
      <c r="BA736" s="149"/>
      <c r="BB736" s="149"/>
      <c r="BC736" s="149"/>
      <c r="BD736" s="149"/>
      <c r="BE736" s="149"/>
      <c r="BF736" s="149"/>
      <c r="BG736" s="149"/>
      <c r="BH736" s="149"/>
      <c r="BI736" s="149"/>
      <c r="BJ736" s="149"/>
      <c r="BK736" s="149"/>
      <c r="BL736" s="149"/>
      <c r="BM736" s="149"/>
      <c r="BN736" s="149"/>
      <c r="BO736" s="149"/>
      <c r="BP736" s="149"/>
      <c r="BQ736" s="149"/>
      <c r="BR736" s="149"/>
    </row>
    <row r="737" ht="34" customHeight="1" spans="1:70">
      <c r="A737" s="208">
        <v>743</v>
      </c>
      <c r="B737" s="149"/>
      <c r="C737" s="149"/>
      <c r="D737" s="149"/>
      <c r="E737" s="149"/>
      <c r="F737" s="149"/>
      <c r="G737" s="149"/>
      <c r="H737" s="149"/>
      <c r="I737" s="149"/>
      <c r="J737" s="149"/>
      <c r="K737" s="149"/>
      <c r="L737" s="149"/>
      <c r="M737" s="149"/>
      <c r="N737" s="149"/>
      <c r="O737" s="149"/>
      <c r="P737" s="149"/>
      <c r="Q737" s="149"/>
      <c r="R737" s="149"/>
      <c r="S737" s="149"/>
      <c r="T737" s="149"/>
      <c r="U737" s="149"/>
      <c r="V737" s="149"/>
      <c r="W737" s="149"/>
      <c r="X737" s="149"/>
      <c r="Y737" s="149"/>
      <c r="Z737" s="149"/>
      <c r="AA737" s="149"/>
      <c r="AB737" s="149"/>
      <c r="AC737" s="149"/>
      <c r="AD737" s="149"/>
      <c r="AE737" s="149"/>
      <c r="AF737" s="149"/>
      <c r="AG737" s="149"/>
      <c r="AH737" s="149"/>
      <c r="AI737" s="149"/>
      <c r="AJ737" s="149"/>
      <c r="AK737" s="149"/>
      <c r="AL737" s="149"/>
      <c r="AM737" s="149"/>
      <c r="AN737" s="149"/>
      <c r="AO737" s="149"/>
      <c r="AP737" s="149"/>
      <c r="AR737" s="149"/>
      <c r="AS737" s="149"/>
      <c r="AT737" s="149"/>
      <c r="AU737" s="149"/>
      <c r="AV737" s="149"/>
      <c r="AW737" s="149"/>
      <c r="AX737" s="149"/>
      <c r="AY737" s="149"/>
      <c r="AZ737" s="149"/>
      <c r="BA737" s="149"/>
      <c r="BB737" s="149"/>
      <c r="BC737" s="149"/>
      <c r="BD737" s="149"/>
      <c r="BE737" s="149"/>
      <c r="BF737" s="149"/>
      <c r="BG737" s="149"/>
      <c r="BH737" s="149"/>
      <c r="BI737" s="149"/>
      <c r="BJ737" s="149"/>
      <c r="BK737" s="149"/>
      <c r="BL737" s="149"/>
      <c r="BM737" s="149"/>
      <c r="BN737" s="149"/>
      <c r="BO737" s="149"/>
      <c r="BP737" s="149"/>
      <c r="BQ737" s="149"/>
      <c r="BR737" s="149"/>
    </row>
    <row r="738" ht="34" customHeight="1" spans="1:70">
      <c r="A738" s="208">
        <v>744</v>
      </c>
      <c r="B738" s="149"/>
      <c r="C738" s="149"/>
      <c r="D738" s="149"/>
      <c r="E738" s="149"/>
      <c r="F738" s="149"/>
      <c r="G738" s="149"/>
      <c r="H738" s="149"/>
      <c r="I738" s="149"/>
      <c r="J738" s="149"/>
      <c r="K738" s="149"/>
      <c r="L738" s="149"/>
      <c r="M738" s="149"/>
      <c r="N738" s="149"/>
      <c r="O738" s="149"/>
      <c r="P738" s="149"/>
      <c r="Q738" s="149"/>
      <c r="R738" s="149"/>
      <c r="S738" s="149"/>
      <c r="T738" s="149"/>
      <c r="U738" s="149"/>
      <c r="V738" s="149"/>
      <c r="W738" s="149"/>
      <c r="X738" s="149"/>
      <c r="Y738" s="149"/>
      <c r="Z738" s="149"/>
      <c r="AA738" s="149"/>
      <c r="AB738" s="149"/>
      <c r="AC738" s="149"/>
      <c r="AD738" s="149"/>
      <c r="AE738" s="149"/>
      <c r="AF738" s="149"/>
      <c r="AG738" s="149"/>
      <c r="AH738" s="149"/>
      <c r="AI738" s="149"/>
      <c r="AJ738" s="149"/>
      <c r="AK738" s="149"/>
      <c r="AL738" s="149"/>
      <c r="AM738" s="149"/>
      <c r="AN738" s="149"/>
      <c r="AO738" s="149"/>
      <c r="AP738" s="149"/>
      <c r="AR738" s="149"/>
      <c r="AS738" s="149"/>
      <c r="AT738" s="149"/>
      <c r="AU738" s="149"/>
      <c r="AV738" s="149"/>
      <c r="AW738" s="149"/>
      <c r="AX738" s="149"/>
      <c r="AY738" s="149"/>
      <c r="AZ738" s="149"/>
      <c r="BA738" s="149"/>
      <c r="BB738" s="149"/>
      <c r="BC738" s="149"/>
      <c r="BD738" s="149"/>
      <c r="BE738" s="149"/>
      <c r="BF738" s="149"/>
      <c r="BG738" s="149"/>
      <c r="BH738" s="149"/>
      <c r="BI738" s="149"/>
      <c r="BJ738" s="149"/>
      <c r="BK738" s="149"/>
      <c r="BL738" s="149"/>
      <c r="BM738" s="149"/>
      <c r="BN738" s="149"/>
      <c r="BO738" s="149"/>
      <c r="BP738" s="149"/>
      <c r="BQ738" s="149"/>
      <c r="BR738" s="149"/>
    </row>
    <row r="739" ht="34" customHeight="1" spans="1:70">
      <c r="A739" s="208">
        <v>745</v>
      </c>
      <c r="B739" s="149"/>
      <c r="C739" s="149"/>
      <c r="D739" s="149"/>
      <c r="E739" s="149"/>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ht="34" customHeight="1" spans="1:70">
      <c r="A740" s="208">
        <v>746</v>
      </c>
      <c r="B740" s="149"/>
      <c r="C740" s="149"/>
      <c r="D740" s="149"/>
      <c r="E740" s="149"/>
      <c r="F740" s="149"/>
      <c r="G740" s="149"/>
      <c r="H740" s="149"/>
      <c r="I740" s="149"/>
      <c r="J740" s="149"/>
      <c r="K740" s="149"/>
      <c r="L740" s="149"/>
      <c r="M740" s="149"/>
      <c r="N740" s="149"/>
      <c r="O740" s="149"/>
      <c r="P740" s="149"/>
      <c r="Q740" s="149"/>
      <c r="R740" s="149"/>
      <c r="S740" s="149"/>
      <c r="T740" s="149"/>
      <c r="U740" s="149"/>
      <c r="V740" s="149"/>
      <c r="W740" s="149"/>
      <c r="X740" s="149"/>
      <c r="Y740" s="149"/>
      <c r="Z740" s="149"/>
      <c r="AA740" s="149"/>
      <c r="AB740" s="149"/>
      <c r="AC740" s="149"/>
      <c r="AD740" s="149"/>
      <c r="AE740" s="149"/>
      <c r="AF740" s="149"/>
      <c r="AG740" s="149"/>
      <c r="AH740" s="149"/>
      <c r="AI740" s="149"/>
      <c r="AJ740" s="149"/>
      <c r="AK740" s="149"/>
      <c r="AL740" s="149"/>
      <c r="AM740" s="149"/>
      <c r="AN740" s="149"/>
      <c r="AO740" s="149"/>
      <c r="AP740" s="149"/>
      <c r="AR740" s="149"/>
      <c r="AS740" s="149"/>
      <c r="AT740" s="149"/>
      <c r="AU740" s="149"/>
      <c r="AV740" s="149"/>
      <c r="AW740" s="149"/>
      <c r="AX740" s="149"/>
      <c r="AY740" s="149"/>
      <c r="AZ740" s="149"/>
      <c r="BA740" s="149"/>
      <c r="BB740" s="149"/>
      <c r="BC740" s="149"/>
      <c r="BD740" s="149"/>
      <c r="BE740" s="149"/>
      <c r="BF740" s="149"/>
      <c r="BG740" s="149"/>
      <c r="BH740" s="149"/>
      <c r="BI740" s="149"/>
      <c r="BJ740" s="149"/>
      <c r="BK740" s="149"/>
      <c r="BL740" s="149"/>
      <c r="BM740" s="149"/>
      <c r="BN740" s="149"/>
      <c r="BO740" s="149"/>
      <c r="BP740" s="149"/>
      <c r="BQ740" s="149"/>
      <c r="BR740" s="149"/>
    </row>
    <row r="741" ht="34" customHeight="1" spans="1:70">
      <c r="A741" s="208">
        <v>747</v>
      </c>
      <c r="B741" s="149"/>
      <c r="C741" s="149"/>
      <c r="D741" s="149"/>
      <c r="E741" s="149"/>
      <c r="F741" s="149"/>
      <c r="G741" s="149"/>
      <c r="H741" s="149"/>
      <c r="I741" s="149"/>
      <c r="J741" s="149"/>
      <c r="K741" s="149"/>
      <c r="L741" s="149"/>
      <c r="M741" s="149"/>
      <c r="N741" s="149"/>
      <c r="O741" s="149"/>
      <c r="P741" s="149"/>
      <c r="Q741" s="149"/>
      <c r="R741" s="149"/>
      <c r="S741" s="149"/>
      <c r="T741" s="149"/>
      <c r="U741" s="149"/>
      <c r="V741" s="149"/>
      <c r="W741" s="149"/>
      <c r="X741" s="149"/>
      <c r="Y741" s="149"/>
      <c r="Z741" s="149"/>
      <c r="AA741" s="149"/>
      <c r="AB741" s="149"/>
      <c r="AC741" s="149"/>
      <c r="AD741" s="149"/>
      <c r="AE741" s="149"/>
      <c r="AF741" s="149"/>
      <c r="AG741" s="149"/>
      <c r="AH741" s="149"/>
      <c r="AI741" s="149"/>
      <c r="AJ741" s="149"/>
      <c r="AK741" s="149"/>
      <c r="AL741" s="149"/>
      <c r="AM741" s="149"/>
      <c r="AN741" s="149"/>
      <c r="AO741" s="149"/>
      <c r="AP741" s="149"/>
      <c r="AR741" s="149"/>
      <c r="AS741" s="149"/>
      <c r="AT741" s="149"/>
      <c r="AU741" s="149"/>
      <c r="AV741" s="149"/>
      <c r="AW741" s="149"/>
      <c r="AX741" s="149"/>
      <c r="AY741" s="149"/>
      <c r="AZ741" s="149"/>
      <c r="BA741" s="149"/>
      <c r="BB741" s="149"/>
      <c r="BC741" s="149"/>
      <c r="BD741" s="149"/>
      <c r="BE741" s="149"/>
      <c r="BF741" s="149"/>
      <c r="BG741" s="149"/>
      <c r="BH741" s="149"/>
      <c r="BI741" s="149"/>
      <c r="BJ741" s="149"/>
      <c r="BK741" s="149"/>
      <c r="BL741" s="149"/>
      <c r="BM741" s="149"/>
      <c r="BN741" s="149"/>
      <c r="BO741" s="149"/>
      <c r="BP741" s="149"/>
      <c r="BQ741" s="149"/>
      <c r="BR741" s="149"/>
    </row>
    <row r="742" ht="34" customHeight="1" spans="1:70">
      <c r="A742" s="208">
        <v>748</v>
      </c>
      <c r="B742" s="149"/>
      <c r="C742" s="149"/>
      <c r="D742" s="149"/>
      <c r="E742" s="149"/>
      <c r="F742" s="149"/>
      <c r="G742" s="149"/>
      <c r="H742" s="149"/>
      <c r="I742" s="149"/>
      <c r="J742" s="149"/>
      <c r="K742" s="149"/>
      <c r="L742" s="149"/>
      <c r="M742" s="149"/>
      <c r="N742" s="149"/>
      <c r="O742" s="149"/>
      <c r="P742" s="149"/>
      <c r="Q742" s="149"/>
      <c r="R742" s="149"/>
      <c r="S742" s="149"/>
      <c r="T742" s="149"/>
      <c r="U742" s="149"/>
      <c r="V742" s="149"/>
      <c r="W742" s="149"/>
      <c r="X742" s="149"/>
      <c r="Y742" s="149"/>
      <c r="Z742" s="149"/>
      <c r="AA742" s="149"/>
      <c r="AB742" s="149"/>
      <c r="AC742" s="149"/>
      <c r="AD742" s="149"/>
      <c r="AE742" s="149"/>
      <c r="AF742" s="149"/>
      <c r="AG742" s="149"/>
      <c r="AH742" s="149"/>
      <c r="AI742" s="149"/>
      <c r="AJ742" s="149"/>
      <c r="AK742" s="149"/>
      <c r="AL742" s="149"/>
      <c r="AM742" s="149"/>
      <c r="AN742" s="149"/>
      <c r="AO742" s="149"/>
      <c r="AP742" s="149"/>
      <c r="AR742" s="149"/>
      <c r="AS742" s="149"/>
      <c r="AT742" s="149"/>
      <c r="AU742" s="149"/>
      <c r="AV742" s="149"/>
      <c r="AW742" s="149"/>
      <c r="AX742" s="149"/>
      <c r="AY742" s="149"/>
      <c r="AZ742" s="149"/>
      <c r="BA742" s="149"/>
      <c r="BB742" s="149"/>
      <c r="BC742" s="149"/>
      <c r="BD742" s="149"/>
      <c r="BE742" s="149"/>
      <c r="BF742" s="149"/>
      <c r="BG742" s="149"/>
      <c r="BH742" s="149"/>
      <c r="BI742" s="149"/>
      <c r="BJ742" s="149"/>
      <c r="BK742" s="149"/>
      <c r="BL742" s="149"/>
      <c r="BM742" s="149"/>
      <c r="BN742" s="149"/>
      <c r="BO742" s="149"/>
      <c r="BP742" s="149"/>
      <c r="BQ742" s="149"/>
      <c r="BR742" s="149"/>
    </row>
    <row r="743" ht="34" customHeight="1" spans="1:70">
      <c r="A743" s="208">
        <v>749</v>
      </c>
      <c r="B743" s="149"/>
      <c r="C743" s="149"/>
      <c r="D743" s="149"/>
      <c r="E743" s="149"/>
      <c r="F743" s="149"/>
      <c r="G743" s="149"/>
      <c r="H743" s="149"/>
      <c r="I743" s="149"/>
      <c r="J743" s="149"/>
      <c r="K743" s="149"/>
      <c r="L743" s="149"/>
      <c r="M743" s="149"/>
      <c r="N743" s="149"/>
      <c r="O743" s="149"/>
      <c r="P743" s="149"/>
      <c r="Q743" s="149"/>
      <c r="R743" s="149"/>
      <c r="S743" s="149"/>
      <c r="T743" s="149"/>
      <c r="U743" s="149"/>
      <c r="V743" s="149"/>
      <c r="W743" s="149"/>
      <c r="X743" s="149"/>
      <c r="Y743" s="149"/>
      <c r="Z743" s="149"/>
      <c r="AA743" s="149"/>
      <c r="AB743" s="149"/>
      <c r="AC743" s="149"/>
      <c r="AD743" s="149"/>
      <c r="AE743" s="149"/>
      <c r="AF743" s="149"/>
      <c r="AG743" s="149"/>
      <c r="AH743" s="149"/>
      <c r="AI743" s="149"/>
      <c r="AJ743" s="149"/>
      <c r="AK743" s="149"/>
      <c r="AL743" s="149"/>
      <c r="AM743" s="149"/>
      <c r="AN743" s="149"/>
      <c r="AO743" s="149"/>
      <c r="AP743" s="149"/>
      <c r="AR743" s="149"/>
      <c r="AS743" s="149"/>
      <c r="AT743" s="149"/>
      <c r="AU743" s="149"/>
      <c r="AV743" s="149"/>
      <c r="AW743" s="149"/>
      <c r="AX743" s="149"/>
      <c r="AY743" s="149"/>
      <c r="AZ743" s="149"/>
      <c r="BA743" s="149"/>
      <c r="BB743" s="149"/>
      <c r="BC743" s="149"/>
      <c r="BD743" s="149"/>
      <c r="BE743" s="149"/>
      <c r="BF743" s="149"/>
      <c r="BG743" s="149"/>
      <c r="BH743" s="149"/>
      <c r="BI743" s="149"/>
      <c r="BJ743" s="149"/>
      <c r="BK743" s="149"/>
      <c r="BL743" s="149"/>
      <c r="BM743" s="149"/>
      <c r="BN743" s="149"/>
      <c r="BO743" s="149"/>
      <c r="BP743" s="149"/>
      <c r="BQ743" s="149"/>
      <c r="BR743" s="149"/>
    </row>
    <row r="744" ht="34" customHeight="1" spans="1:70">
      <c r="A744" s="208">
        <v>750</v>
      </c>
      <c r="B744" s="149"/>
      <c r="C744" s="149"/>
      <c r="D744" s="149"/>
      <c r="E744" s="149"/>
      <c r="F744" s="149"/>
      <c r="G744" s="149"/>
      <c r="H744" s="149"/>
      <c r="I744" s="149"/>
      <c r="J744" s="149"/>
      <c r="K744" s="149"/>
      <c r="L744" s="149"/>
      <c r="M744" s="149"/>
      <c r="N744" s="149"/>
      <c r="O744" s="149"/>
      <c r="P744" s="149"/>
      <c r="Q744" s="149"/>
      <c r="R744" s="149"/>
      <c r="S744" s="149"/>
      <c r="T744" s="149"/>
      <c r="U744" s="149"/>
      <c r="V744" s="149"/>
      <c r="W744" s="149"/>
      <c r="X744" s="149"/>
      <c r="Y744" s="149"/>
      <c r="Z744" s="149"/>
      <c r="AA744" s="149"/>
      <c r="AB744" s="149"/>
      <c r="AC744" s="149"/>
      <c r="AD744" s="149"/>
      <c r="AE744" s="149"/>
      <c r="AF744" s="149"/>
      <c r="AG744" s="149"/>
      <c r="AH744" s="149"/>
      <c r="AI744" s="149"/>
      <c r="AJ744" s="149"/>
      <c r="AK744" s="149"/>
      <c r="AL744" s="149"/>
      <c r="AM744" s="149"/>
      <c r="AN744" s="149"/>
      <c r="AO744" s="149"/>
      <c r="AP744" s="149"/>
      <c r="AR744" s="149"/>
      <c r="AS744" s="149"/>
      <c r="AT744" s="149"/>
      <c r="AU744" s="149"/>
      <c r="AV744" s="149"/>
      <c r="AW744" s="149"/>
      <c r="AX744" s="149"/>
      <c r="AY744" s="149"/>
      <c r="AZ744" s="149"/>
      <c r="BA744" s="149"/>
      <c r="BB744" s="149"/>
      <c r="BC744" s="149"/>
      <c r="BD744" s="149"/>
      <c r="BE744" s="149"/>
      <c r="BF744" s="149"/>
      <c r="BG744" s="149"/>
      <c r="BH744" s="149"/>
      <c r="BI744" s="149"/>
      <c r="BJ744" s="149"/>
      <c r="BK744" s="149"/>
      <c r="BL744" s="149"/>
      <c r="BM744" s="149"/>
      <c r="BN744" s="149"/>
      <c r="BO744" s="149"/>
      <c r="BP744" s="149"/>
      <c r="BQ744" s="149"/>
      <c r="BR744" s="149"/>
    </row>
    <row r="745" ht="34" customHeight="1" spans="1:70">
      <c r="A745" s="208">
        <v>751</v>
      </c>
      <c r="B745" s="149"/>
      <c r="C745" s="149"/>
      <c r="D745" s="149"/>
      <c r="E745" s="149"/>
      <c r="F745" s="149"/>
      <c r="G745" s="149"/>
      <c r="H745" s="149"/>
      <c r="I745" s="149"/>
      <c r="J745" s="149"/>
      <c r="K745" s="149"/>
      <c r="L745" s="149"/>
      <c r="M745" s="149"/>
      <c r="N745" s="149"/>
      <c r="O745" s="149"/>
      <c r="P745" s="149"/>
      <c r="Q745" s="149"/>
      <c r="R745" s="149"/>
      <c r="S745" s="149"/>
      <c r="T745" s="149"/>
      <c r="U745" s="149"/>
      <c r="V745" s="149"/>
      <c r="W745" s="149"/>
      <c r="X745" s="149"/>
      <c r="Y745" s="149"/>
      <c r="Z745" s="149"/>
      <c r="AA745" s="149"/>
      <c r="AB745" s="149"/>
      <c r="AC745" s="149"/>
      <c r="AD745" s="149"/>
      <c r="AE745" s="149"/>
      <c r="AF745" s="149"/>
      <c r="AG745" s="149"/>
      <c r="AH745" s="149"/>
      <c r="AI745" s="149"/>
      <c r="AJ745" s="149"/>
      <c r="AK745" s="149"/>
      <c r="AL745" s="149"/>
      <c r="AM745" s="149"/>
      <c r="AN745" s="149"/>
      <c r="AO745" s="149"/>
      <c r="AP745" s="149"/>
      <c r="AR745" s="149"/>
      <c r="AS745" s="149"/>
      <c r="AT745" s="149"/>
      <c r="AU745" s="149"/>
      <c r="AV745" s="149"/>
      <c r="AW745" s="149"/>
      <c r="AX745" s="149"/>
      <c r="AY745" s="149"/>
      <c r="AZ745" s="149"/>
      <c r="BA745" s="149"/>
      <c r="BB745" s="149"/>
      <c r="BC745" s="149"/>
      <c r="BD745" s="149"/>
      <c r="BE745" s="149"/>
      <c r="BF745" s="149"/>
      <c r="BG745" s="149"/>
      <c r="BH745" s="149"/>
      <c r="BI745" s="149"/>
      <c r="BJ745" s="149"/>
      <c r="BK745" s="149"/>
      <c r="BL745" s="149"/>
      <c r="BM745" s="149"/>
      <c r="BN745" s="149"/>
      <c r="BO745" s="149"/>
      <c r="BP745" s="149"/>
      <c r="BQ745" s="149"/>
      <c r="BR745" s="149"/>
    </row>
    <row r="746" ht="34" customHeight="1" spans="1:70">
      <c r="A746" s="208">
        <v>752</v>
      </c>
      <c r="B746" s="149"/>
      <c r="C746" s="149"/>
      <c r="D746" s="149"/>
      <c r="E746" s="149"/>
      <c r="F746" s="149"/>
      <c r="G746" s="149"/>
      <c r="H746" s="149"/>
      <c r="I746" s="149"/>
      <c r="J746" s="149"/>
      <c r="K746" s="149"/>
      <c r="L746" s="149"/>
      <c r="M746" s="149"/>
      <c r="N746" s="149"/>
      <c r="O746" s="149"/>
      <c r="P746" s="149"/>
      <c r="Q746" s="149"/>
      <c r="R746" s="149"/>
      <c r="S746" s="149"/>
      <c r="T746" s="149"/>
      <c r="U746" s="149"/>
      <c r="V746" s="149"/>
      <c r="W746" s="149"/>
      <c r="X746" s="149"/>
      <c r="Y746" s="149"/>
      <c r="Z746" s="149"/>
      <c r="AA746" s="149"/>
      <c r="AB746" s="149"/>
      <c r="AC746" s="149"/>
      <c r="AD746" s="149"/>
      <c r="AE746" s="149"/>
      <c r="AF746" s="149"/>
      <c r="AG746" s="149"/>
      <c r="AH746" s="149"/>
      <c r="AI746" s="149"/>
      <c r="AJ746" s="149"/>
      <c r="AK746" s="149"/>
      <c r="AL746" s="149"/>
      <c r="AM746" s="149"/>
      <c r="AN746" s="149"/>
      <c r="AO746" s="149"/>
      <c r="AP746" s="149"/>
      <c r="AR746" s="149"/>
      <c r="AS746" s="149"/>
      <c r="AT746" s="149"/>
      <c r="AU746" s="149"/>
      <c r="AV746" s="149"/>
      <c r="AW746" s="149"/>
      <c r="AX746" s="149"/>
      <c r="AY746" s="149"/>
      <c r="AZ746" s="149"/>
      <c r="BA746" s="149"/>
      <c r="BB746" s="149"/>
      <c r="BC746" s="149"/>
      <c r="BD746" s="149"/>
      <c r="BE746" s="149"/>
      <c r="BF746" s="149"/>
      <c r="BG746" s="149"/>
      <c r="BH746" s="149"/>
      <c r="BI746" s="149"/>
      <c r="BJ746" s="149"/>
      <c r="BK746" s="149"/>
      <c r="BL746" s="149"/>
      <c r="BM746" s="149"/>
      <c r="BN746" s="149"/>
      <c r="BO746" s="149"/>
      <c r="BP746" s="149"/>
      <c r="BQ746" s="149"/>
      <c r="BR746" s="149"/>
    </row>
    <row r="747" ht="34" customHeight="1" spans="1:70">
      <c r="A747" s="208">
        <v>753</v>
      </c>
      <c r="B747" s="149"/>
      <c r="C747" s="149"/>
      <c r="D747" s="149"/>
      <c r="E747" s="149"/>
      <c r="F747" s="149"/>
      <c r="G747" s="149"/>
      <c r="H747" s="149"/>
      <c r="I747" s="149"/>
      <c r="J747" s="149"/>
      <c r="K747" s="149"/>
      <c r="L747" s="149"/>
      <c r="M747" s="149"/>
      <c r="N747" s="149"/>
      <c r="O747" s="149"/>
      <c r="P747" s="149"/>
      <c r="Q747" s="149"/>
      <c r="R747" s="149"/>
      <c r="S747" s="149"/>
      <c r="T747" s="149"/>
      <c r="U747" s="149"/>
      <c r="V747" s="149"/>
      <c r="W747" s="149"/>
      <c r="X747" s="149"/>
      <c r="Y747" s="149"/>
      <c r="Z747" s="149"/>
      <c r="AA747" s="149"/>
      <c r="AB747" s="149"/>
      <c r="AC747" s="149"/>
      <c r="AD747" s="149"/>
      <c r="AE747" s="149"/>
      <c r="AF747" s="149"/>
      <c r="AG747" s="149"/>
      <c r="AH747" s="149"/>
      <c r="AI747" s="149"/>
      <c r="AJ747" s="149"/>
      <c r="AK747" s="149"/>
      <c r="AL747" s="149"/>
      <c r="AM747" s="149"/>
      <c r="AN747" s="149"/>
      <c r="AO747" s="149"/>
      <c r="AP747" s="149"/>
      <c r="AR747" s="149"/>
      <c r="AS747" s="149"/>
      <c r="AT747" s="149"/>
      <c r="AU747" s="149"/>
      <c r="AV747" s="149"/>
      <c r="AW747" s="149"/>
      <c r="AX747" s="149"/>
      <c r="AY747" s="149"/>
      <c r="AZ747" s="149"/>
      <c r="BA747" s="149"/>
      <c r="BB747" s="149"/>
      <c r="BC747" s="149"/>
      <c r="BD747" s="149"/>
      <c r="BE747" s="149"/>
      <c r="BF747" s="149"/>
      <c r="BG747" s="149"/>
      <c r="BH747" s="149"/>
      <c r="BI747" s="149"/>
      <c r="BJ747" s="149"/>
      <c r="BK747" s="149"/>
      <c r="BL747" s="149"/>
      <c r="BM747" s="149"/>
      <c r="BN747" s="149"/>
      <c r="BO747" s="149"/>
      <c r="BP747" s="149"/>
      <c r="BQ747" s="149"/>
      <c r="BR747" s="149"/>
    </row>
    <row r="748" ht="34" customHeight="1" spans="1:70">
      <c r="A748" s="208">
        <v>754</v>
      </c>
      <c r="B748" s="149"/>
      <c r="C748" s="149"/>
      <c r="D748" s="149"/>
      <c r="E748" s="149"/>
      <c r="F748" s="149"/>
      <c r="G748" s="149"/>
      <c r="H748" s="149"/>
      <c r="I748" s="149"/>
      <c r="J748" s="149"/>
      <c r="K748" s="149"/>
      <c r="L748" s="149"/>
      <c r="M748" s="149"/>
      <c r="N748" s="149"/>
      <c r="O748" s="149"/>
      <c r="P748" s="149"/>
      <c r="Q748" s="149"/>
      <c r="R748" s="149"/>
      <c r="S748" s="149"/>
      <c r="T748" s="149"/>
      <c r="U748" s="149"/>
      <c r="V748" s="149"/>
      <c r="W748" s="149"/>
      <c r="X748" s="149"/>
      <c r="Y748" s="149"/>
      <c r="Z748" s="149"/>
      <c r="AA748" s="149"/>
      <c r="AB748" s="149"/>
      <c r="AC748" s="149"/>
      <c r="AD748" s="149"/>
      <c r="AE748" s="149"/>
      <c r="AF748" s="149"/>
      <c r="AG748" s="149"/>
      <c r="AH748" s="149"/>
      <c r="AI748" s="149"/>
      <c r="AJ748" s="149"/>
      <c r="AK748" s="149"/>
      <c r="AL748" s="149"/>
      <c r="AM748" s="149"/>
      <c r="AN748" s="149"/>
      <c r="AO748" s="149"/>
      <c r="AP748" s="149"/>
      <c r="AR748" s="149"/>
      <c r="AS748" s="149"/>
      <c r="AT748" s="149"/>
      <c r="AU748" s="149"/>
      <c r="AV748" s="149"/>
      <c r="AW748" s="149"/>
      <c r="AX748" s="149"/>
      <c r="AY748" s="149"/>
      <c r="AZ748" s="149"/>
      <c r="BA748" s="149"/>
      <c r="BB748" s="149"/>
      <c r="BC748" s="149"/>
      <c r="BD748" s="149"/>
      <c r="BE748" s="149"/>
      <c r="BF748" s="149"/>
      <c r="BG748" s="149"/>
      <c r="BH748" s="149"/>
      <c r="BI748" s="149"/>
      <c r="BJ748" s="149"/>
      <c r="BK748" s="149"/>
      <c r="BL748" s="149"/>
      <c r="BM748" s="149"/>
      <c r="BN748" s="149"/>
      <c r="BO748" s="149"/>
      <c r="BP748" s="149"/>
      <c r="BQ748" s="149"/>
      <c r="BR748" s="149"/>
    </row>
    <row r="749" ht="34" customHeight="1" spans="1:70">
      <c r="A749" s="208">
        <v>755</v>
      </c>
      <c r="B749" s="149"/>
      <c r="C749" s="149"/>
      <c r="D749" s="149"/>
      <c r="E749" s="149"/>
      <c r="F749" s="149"/>
      <c r="G749" s="149"/>
      <c r="H749" s="149"/>
      <c r="I749" s="149"/>
      <c r="J749" s="149"/>
      <c r="K749" s="149"/>
      <c r="L749" s="149"/>
      <c r="M749" s="149"/>
      <c r="N749" s="149"/>
      <c r="O749" s="149"/>
      <c r="P749" s="149"/>
      <c r="Q749" s="149"/>
      <c r="R749" s="149"/>
      <c r="S749" s="149"/>
      <c r="T749" s="149"/>
      <c r="U749" s="149"/>
      <c r="V749" s="149"/>
      <c r="W749" s="149"/>
      <c r="X749" s="149"/>
      <c r="Y749" s="149"/>
      <c r="Z749" s="149"/>
      <c r="AA749" s="149"/>
      <c r="AB749" s="149"/>
      <c r="AC749" s="149"/>
      <c r="AD749" s="149"/>
      <c r="AE749" s="149"/>
      <c r="AF749" s="149"/>
      <c r="AG749" s="149"/>
      <c r="AH749" s="149"/>
      <c r="AI749" s="149"/>
      <c r="AJ749" s="149"/>
      <c r="AK749" s="149"/>
      <c r="AL749" s="149"/>
      <c r="AM749" s="149"/>
      <c r="AN749" s="149"/>
      <c r="AO749" s="149"/>
      <c r="AP749" s="149"/>
      <c r="AR749" s="149"/>
      <c r="AS749" s="149"/>
      <c r="AT749" s="149"/>
      <c r="AU749" s="149"/>
      <c r="AV749" s="149"/>
      <c r="AW749" s="149"/>
      <c r="AX749" s="149"/>
      <c r="AY749" s="149"/>
      <c r="AZ749" s="149"/>
      <c r="BA749" s="149"/>
      <c r="BB749" s="149"/>
      <c r="BC749" s="149"/>
      <c r="BD749" s="149"/>
      <c r="BE749" s="149"/>
      <c r="BF749" s="149"/>
      <c r="BG749" s="149"/>
      <c r="BH749" s="149"/>
      <c r="BI749" s="149"/>
      <c r="BJ749" s="149"/>
      <c r="BK749" s="149"/>
      <c r="BL749" s="149"/>
      <c r="BM749" s="149"/>
      <c r="BN749" s="149"/>
      <c r="BO749" s="149"/>
      <c r="BP749" s="149"/>
      <c r="BQ749" s="149"/>
      <c r="BR749" s="149"/>
    </row>
    <row r="750" ht="34" customHeight="1" spans="1:70">
      <c r="A750" s="208">
        <v>756</v>
      </c>
      <c r="B750" s="149"/>
      <c r="C750" s="149"/>
      <c r="D750" s="149"/>
      <c r="E750" s="149"/>
      <c r="F750" s="149"/>
      <c r="G750" s="149"/>
      <c r="H750" s="149"/>
      <c r="I750" s="149"/>
      <c r="J750" s="149"/>
      <c r="K750" s="149"/>
      <c r="L750" s="149"/>
      <c r="M750" s="149"/>
      <c r="N750" s="149"/>
      <c r="O750" s="149"/>
      <c r="P750" s="149"/>
      <c r="Q750" s="149"/>
      <c r="R750" s="149"/>
      <c r="S750" s="149"/>
      <c r="T750" s="149"/>
      <c r="U750" s="149"/>
      <c r="V750" s="149"/>
      <c r="W750" s="149"/>
      <c r="X750" s="149"/>
      <c r="Y750" s="149"/>
      <c r="Z750" s="149"/>
      <c r="AA750" s="149"/>
      <c r="AB750" s="149"/>
      <c r="AC750" s="149"/>
      <c r="AD750" s="149"/>
      <c r="AE750" s="149"/>
      <c r="AF750" s="149"/>
      <c r="AG750" s="149"/>
      <c r="AH750" s="149"/>
      <c r="AI750" s="149"/>
      <c r="AJ750" s="149"/>
      <c r="AK750" s="149"/>
      <c r="AL750" s="149"/>
      <c r="AM750" s="149"/>
      <c r="AN750" s="149"/>
      <c r="AO750" s="149"/>
      <c r="AP750" s="149"/>
      <c r="AR750" s="149"/>
      <c r="AS750" s="149"/>
      <c r="AT750" s="149"/>
      <c r="AU750" s="149"/>
      <c r="AV750" s="149"/>
      <c r="AW750" s="149"/>
      <c r="AX750" s="149"/>
      <c r="AY750" s="149"/>
      <c r="AZ750" s="149"/>
      <c r="BA750" s="149"/>
      <c r="BB750" s="149"/>
      <c r="BC750" s="149"/>
      <c r="BD750" s="149"/>
      <c r="BE750" s="149"/>
      <c r="BF750" s="149"/>
      <c r="BG750" s="149"/>
      <c r="BH750" s="149"/>
      <c r="BI750" s="149"/>
      <c r="BJ750" s="149"/>
      <c r="BK750" s="149"/>
      <c r="BL750" s="149"/>
      <c r="BM750" s="149"/>
      <c r="BN750" s="149"/>
      <c r="BO750" s="149"/>
      <c r="BP750" s="149"/>
      <c r="BQ750" s="149"/>
      <c r="BR750" s="149"/>
    </row>
    <row r="751" ht="34" customHeight="1" spans="1:70">
      <c r="A751" s="208">
        <v>757</v>
      </c>
      <c r="B751" s="149"/>
      <c r="C751" s="149"/>
      <c r="D751" s="149"/>
      <c r="E751" s="149"/>
      <c r="F751" s="149"/>
      <c r="G751" s="149"/>
      <c r="H751" s="149"/>
      <c r="I751" s="149"/>
      <c r="J751" s="149"/>
      <c r="K751" s="149"/>
      <c r="L751" s="149"/>
      <c r="M751" s="149"/>
      <c r="N751" s="149"/>
      <c r="O751" s="149"/>
      <c r="P751" s="149"/>
      <c r="Q751" s="149"/>
      <c r="R751" s="149"/>
      <c r="S751" s="149"/>
      <c r="T751" s="149"/>
      <c r="U751" s="149"/>
      <c r="V751" s="149"/>
      <c r="W751" s="149"/>
      <c r="X751" s="149"/>
      <c r="Y751" s="149"/>
      <c r="Z751" s="149"/>
      <c r="AA751" s="149"/>
      <c r="AB751" s="149"/>
      <c r="AC751" s="149"/>
      <c r="AD751" s="149"/>
      <c r="AE751" s="149"/>
      <c r="AF751" s="149"/>
      <c r="AG751" s="149"/>
      <c r="AH751" s="149"/>
      <c r="AI751" s="149"/>
      <c r="AJ751" s="149"/>
      <c r="AK751" s="149"/>
      <c r="AL751" s="149"/>
      <c r="AM751" s="149"/>
      <c r="AN751" s="149"/>
      <c r="AO751" s="149"/>
      <c r="AP751" s="149"/>
      <c r="AR751" s="149"/>
      <c r="AS751" s="149"/>
      <c r="AT751" s="149"/>
      <c r="AU751" s="149"/>
      <c r="AV751" s="149"/>
      <c r="AW751" s="149"/>
      <c r="AX751" s="149"/>
      <c r="AY751" s="149"/>
      <c r="AZ751" s="149"/>
      <c r="BA751" s="149"/>
      <c r="BB751" s="149"/>
      <c r="BC751" s="149"/>
      <c r="BD751" s="149"/>
      <c r="BE751" s="149"/>
      <c r="BF751" s="149"/>
      <c r="BG751" s="149"/>
      <c r="BH751" s="149"/>
      <c r="BI751" s="149"/>
      <c r="BJ751" s="149"/>
      <c r="BK751" s="149"/>
      <c r="BL751" s="149"/>
      <c r="BM751" s="149"/>
      <c r="BN751" s="149"/>
      <c r="BO751" s="149"/>
      <c r="BP751" s="149"/>
      <c r="BQ751" s="149"/>
      <c r="BR751" s="149"/>
    </row>
    <row r="752" ht="34" customHeight="1" spans="1:70">
      <c r="A752" s="208">
        <v>758</v>
      </c>
      <c r="B752" s="149"/>
      <c r="C752" s="149"/>
      <c r="D752" s="149"/>
      <c r="E752" s="149"/>
      <c r="F752" s="149"/>
      <c r="G752" s="149"/>
      <c r="H752" s="149"/>
      <c r="I752" s="149"/>
      <c r="J752" s="149"/>
      <c r="K752" s="149"/>
      <c r="L752" s="149"/>
      <c r="M752" s="149"/>
      <c r="N752" s="149"/>
      <c r="O752" s="149"/>
      <c r="P752" s="149"/>
      <c r="Q752" s="149"/>
      <c r="R752" s="149"/>
      <c r="S752" s="149"/>
      <c r="T752" s="149"/>
      <c r="U752" s="149"/>
      <c r="V752" s="149"/>
      <c r="W752" s="149"/>
      <c r="X752" s="149"/>
      <c r="Y752" s="149"/>
      <c r="Z752" s="149"/>
      <c r="AA752" s="149"/>
      <c r="AB752" s="149"/>
      <c r="AC752" s="149"/>
      <c r="AD752" s="149"/>
      <c r="AE752" s="149"/>
      <c r="AF752" s="149"/>
      <c r="AG752" s="149"/>
      <c r="AH752" s="149"/>
      <c r="AI752" s="149"/>
      <c r="AJ752" s="149"/>
      <c r="AK752" s="149"/>
      <c r="AL752" s="149"/>
      <c r="AM752" s="149"/>
      <c r="AN752" s="149"/>
      <c r="AO752" s="149"/>
      <c r="AP752" s="149"/>
      <c r="AR752" s="149"/>
      <c r="AS752" s="149"/>
      <c r="AT752" s="149"/>
      <c r="AU752" s="149"/>
      <c r="AV752" s="149"/>
      <c r="AW752" s="149"/>
      <c r="AX752" s="149"/>
      <c r="AY752" s="149"/>
      <c r="AZ752" s="149"/>
      <c r="BA752" s="149"/>
      <c r="BB752" s="149"/>
      <c r="BC752" s="149"/>
      <c r="BD752" s="149"/>
      <c r="BE752" s="149"/>
      <c r="BF752" s="149"/>
      <c r="BG752" s="149"/>
      <c r="BH752" s="149"/>
      <c r="BI752" s="149"/>
      <c r="BJ752" s="149"/>
      <c r="BK752" s="149"/>
      <c r="BL752" s="149"/>
      <c r="BM752" s="149"/>
      <c r="BN752" s="149"/>
      <c r="BO752" s="149"/>
      <c r="BP752" s="149"/>
      <c r="BQ752" s="149"/>
      <c r="BR752" s="149"/>
    </row>
    <row r="753" ht="34" customHeight="1" spans="1:70">
      <c r="A753" s="208">
        <v>759</v>
      </c>
      <c r="B753" s="149"/>
      <c r="C753" s="149"/>
      <c r="D753" s="149"/>
      <c r="E753" s="149"/>
      <c r="F753" s="149"/>
      <c r="G753" s="149"/>
      <c r="H753" s="149"/>
      <c r="I753" s="149"/>
      <c r="J753" s="149"/>
      <c r="K753" s="149"/>
      <c r="L753" s="149"/>
      <c r="M753" s="149"/>
      <c r="N753" s="149"/>
      <c r="O753" s="149"/>
      <c r="P753" s="149"/>
      <c r="Q753" s="149"/>
      <c r="R753" s="149"/>
      <c r="S753" s="149"/>
      <c r="T753" s="149"/>
      <c r="U753" s="149"/>
      <c r="V753" s="149"/>
      <c r="W753" s="149"/>
      <c r="X753" s="149"/>
      <c r="Y753" s="149"/>
      <c r="Z753" s="149"/>
      <c r="AA753" s="149"/>
      <c r="AB753" s="149"/>
      <c r="AC753" s="149"/>
      <c r="AD753" s="149"/>
      <c r="AE753" s="149"/>
      <c r="AF753" s="149"/>
      <c r="AG753" s="149"/>
      <c r="AH753" s="149"/>
      <c r="AI753" s="149"/>
      <c r="AJ753" s="149"/>
      <c r="AK753" s="149"/>
      <c r="AL753" s="149"/>
      <c r="AM753" s="149"/>
      <c r="AN753" s="149"/>
      <c r="AO753" s="149"/>
      <c r="AP753" s="149"/>
      <c r="AR753" s="149"/>
      <c r="AS753" s="149"/>
      <c r="AT753" s="149"/>
      <c r="AU753" s="149"/>
      <c r="AV753" s="149"/>
      <c r="AW753" s="149"/>
      <c r="AX753" s="149"/>
      <c r="AY753" s="149"/>
      <c r="AZ753" s="149"/>
      <c r="BA753" s="149"/>
      <c r="BB753" s="149"/>
      <c r="BC753" s="149"/>
      <c r="BD753" s="149"/>
      <c r="BE753" s="149"/>
      <c r="BF753" s="149"/>
      <c r="BG753" s="149"/>
      <c r="BH753" s="149"/>
      <c r="BI753" s="149"/>
      <c r="BJ753" s="149"/>
      <c r="BK753" s="149"/>
      <c r="BL753" s="149"/>
      <c r="BM753" s="149"/>
      <c r="BN753" s="149"/>
      <c r="BO753" s="149"/>
      <c r="BP753" s="149"/>
      <c r="BQ753" s="149"/>
      <c r="BR753" s="149"/>
    </row>
    <row r="754" ht="34" customHeight="1" spans="1:70">
      <c r="A754" s="208">
        <v>760</v>
      </c>
      <c r="B754" s="149"/>
      <c r="C754" s="149"/>
      <c r="D754" s="149"/>
      <c r="E754" s="149"/>
      <c r="F754" s="149"/>
      <c r="G754" s="149"/>
      <c r="H754" s="149"/>
      <c r="I754" s="149"/>
      <c r="J754" s="149"/>
      <c r="K754" s="149"/>
      <c r="L754" s="149"/>
      <c r="M754" s="149"/>
      <c r="N754" s="149"/>
      <c r="O754" s="149"/>
      <c r="P754" s="149"/>
      <c r="Q754" s="149"/>
      <c r="R754" s="149"/>
      <c r="S754" s="149"/>
      <c r="T754" s="149"/>
      <c r="U754" s="149"/>
      <c r="V754" s="149"/>
      <c r="W754" s="149"/>
      <c r="X754" s="149"/>
      <c r="Y754" s="149"/>
      <c r="Z754" s="149"/>
      <c r="AA754" s="149"/>
      <c r="AB754" s="149"/>
      <c r="AC754" s="149"/>
      <c r="AD754" s="149"/>
      <c r="AE754" s="149"/>
      <c r="AF754" s="149"/>
      <c r="AG754" s="149"/>
      <c r="AH754" s="149"/>
      <c r="AI754" s="149"/>
      <c r="AJ754" s="149"/>
      <c r="AK754" s="149"/>
      <c r="AL754" s="149"/>
      <c r="AM754" s="149"/>
      <c r="AN754" s="149"/>
      <c r="AO754" s="149"/>
      <c r="AP754" s="149"/>
      <c r="AR754" s="149"/>
      <c r="AS754" s="149"/>
      <c r="AT754" s="149"/>
      <c r="AU754" s="149"/>
      <c r="AV754" s="149"/>
      <c r="AW754" s="149"/>
      <c r="AX754" s="149"/>
      <c r="AY754" s="149"/>
      <c r="AZ754" s="149"/>
      <c r="BA754" s="149"/>
      <c r="BB754" s="149"/>
      <c r="BC754" s="149"/>
      <c r="BD754" s="149"/>
      <c r="BE754" s="149"/>
      <c r="BF754" s="149"/>
      <c r="BG754" s="149"/>
      <c r="BH754" s="149"/>
      <c r="BI754" s="149"/>
      <c r="BJ754" s="149"/>
      <c r="BK754" s="149"/>
      <c r="BL754" s="149"/>
      <c r="BM754" s="149"/>
      <c r="BN754" s="149"/>
      <c r="BO754" s="149"/>
      <c r="BP754" s="149"/>
      <c r="BQ754" s="149"/>
      <c r="BR754" s="149"/>
    </row>
    <row r="755" ht="34" customHeight="1" spans="1:70">
      <c r="A755" s="208">
        <v>761</v>
      </c>
      <c r="B755" s="149"/>
      <c r="C755" s="149"/>
      <c r="D755" s="149"/>
      <c r="E755" s="149"/>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ht="34" customHeight="1" spans="1:70">
      <c r="A756" s="208">
        <v>762</v>
      </c>
      <c r="B756" s="149"/>
      <c r="C756" s="149"/>
      <c r="D756" s="149"/>
      <c r="E756" s="149"/>
      <c r="F756" s="149"/>
      <c r="G756" s="149"/>
      <c r="H756" s="149"/>
      <c r="I756" s="149"/>
      <c r="J756" s="149"/>
      <c r="K756" s="149"/>
      <c r="L756" s="149"/>
      <c r="M756" s="149"/>
      <c r="N756" s="149"/>
      <c r="O756" s="149"/>
      <c r="P756" s="149"/>
      <c r="Q756" s="149"/>
      <c r="R756" s="149"/>
      <c r="S756" s="149"/>
      <c r="T756" s="149"/>
      <c r="U756" s="149"/>
      <c r="V756" s="149"/>
      <c r="W756" s="149"/>
      <c r="X756" s="149"/>
      <c r="Y756" s="149"/>
      <c r="Z756" s="149"/>
      <c r="AA756" s="149"/>
      <c r="AB756" s="149"/>
      <c r="AC756" s="149"/>
      <c r="AD756" s="149"/>
      <c r="AE756" s="149"/>
      <c r="AF756" s="149"/>
      <c r="AG756" s="149"/>
      <c r="AH756" s="149"/>
      <c r="AI756" s="149"/>
      <c r="AJ756" s="149"/>
      <c r="AK756" s="149"/>
      <c r="AL756" s="149"/>
      <c r="AM756" s="149"/>
      <c r="AN756" s="149"/>
      <c r="AO756" s="149"/>
      <c r="AP756" s="149"/>
      <c r="AR756" s="149"/>
      <c r="AS756" s="149"/>
      <c r="AT756" s="149"/>
      <c r="AU756" s="149"/>
      <c r="AV756" s="149"/>
      <c r="AW756" s="149"/>
      <c r="AX756" s="149"/>
      <c r="AY756" s="149"/>
      <c r="AZ756" s="149"/>
      <c r="BA756" s="149"/>
      <c r="BB756" s="149"/>
      <c r="BC756" s="149"/>
      <c r="BD756" s="149"/>
      <c r="BE756" s="149"/>
      <c r="BF756" s="149"/>
      <c r="BG756" s="149"/>
      <c r="BH756" s="149"/>
      <c r="BI756" s="149"/>
      <c r="BJ756" s="149"/>
      <c r="BK756" s="149"/>
      <c r="BL756" s="149"/>
      <c r="BM756" s="149"/>
      <c r="BN756" s="149"/>
      <c r="BO756" s="149"/>
      <c r="BP756" s="149"/>
      <c r="BQ756" s="149"/>
      <c r="BR756" s="149"/>
    </row>
    <row r="757" ht="34" customHeight="1" spans="1:70">
      <c r="A757" s="208">
        <v>763</v>
      </c>
      <c r="B757" s="149"/>
      <c r="C757" s="149"/>
      <c r="D757" s="149"/>
      <c r="E757" s="149"/>
      <c r="F757" s="149"/>
      <c r="G757" s="149"/>
      <c r="H757" s="149"/>
      <c r="I757" s="149"/>
      <c r="J757" s="149"/>
      <c r="K757" s="149"/>
      <c r="L757" s="149"/>
      <c r="M757" s="149"/>
      <c r="N757" s="149"/>
      <c r="O757" s="149"/>
      <c r="P757" s="149"/>
      <c r="Q757" s="149"/>
      <c r="R757" s="149"/>
      <c r="S757" s="149"/>
      <c r="T757" s="149"/>
      <c r="U757" s="149"/>
      <c r="V757" s="149"/>
      <c r="W757" s="149"/>
      <c r="X757" s="149"/>
      <c r="Y757" s="149"/>
      <c r="Z757" s="149"/>
      <c r="AA757" s="149"/>
      <c r="AB757" s="149"/>
      <c r="AC757" s="149"/>
      <c r="AD757" s="149"/>
      <c r="AE757" s="149"/>
      <c r="AF757" s="149"/>
      <c r="AG757" s="149"/>
      <c r="AH757" s="149"/>
      <c r="AI757" s="149"/>
      <c r="AJ757" s="149"/>
      <c r="AK757" s="149"/>
      <c r="AL757" s="149"/>
      <c r="AM757" s="149"/>
      <c r="AN757" s="149"/>
      <c r="AO757" s="149"/>
      <c r="AP757" s="149"/>
      <c r="AR757" s="149"/>
      <c r="AS757" s="149"/>
      <c r="AT757" s="149"/>
      <c r="AU757" s="149"/>
      <c r="AV757" s="149"/>
      <c r="AW757" s="149"/>
      <c r="AX757" s="149"/>
      <c r="AY757" s="149"/>
      <c r="AZ757" s="149"/>
      <c r="BA757" s="149"/>
      <c r="BB757" s="149"/>
      <c r="BC757" s="149"/>
      <c r="BD757" s="149"/>
      <c r="BE757" s="149"/>
      <c r="BF757" s="149"/>
      <c r="BG757" s="149"/>
      <c r="BH757" s="149"/>
      <c r="BI757" s="149"/>
      <c r="BJ757" s="149"/>
      <c r="BK757" s="149"/>
      <c r="BL757" s="149"/>
      <c r="BM757" s="149"/>
      <c r="BN757" s="149"/>
      <c r="BO757" s="149"/>
      <c r="BP757" s="149"/>
      <c r="BQ757" s="149"/>
      <c r="BR757" s="149"/>
    </row>
    <row r="758" ht="34" customHeight="1" spans="1:70">
      <c r="A758" s="208">
        <v>764</v>
      </c>
      <c r="B758" s="149"/>
      <c r="C758" s="149"/>
      <c r="D758" s="149"/>
      <c r="E758" s="149"/>
      <c r="F758" s="149"/>
      <c r="G758" s="149"/>
      <c r="H758" s="149"/>
      <c r="I758" s="149"/>
      <c r="J758" s="149"/>
      <c r="K758" s="149"/>
      <c r="L758" s="149"/>
      <c r="M758" s="149"/>
      <c r="N758" s="149"/>
      <c r="O758" s="149"/>
      <c r="P758" s="149"/>
      <c r="Q758" s="149"/>
      <c r="R758" s="149"/>
      <c r="S758" s="149"/>
      <c r="T758" s="149"/>
      <c r="U758" s="149"/>
      <c r="V758" s="149"/>
      <c r="W758" s="149"/>
      <c r="X758" s="149"/>
      <c r="Y758" s="149"/>
      <c r="Z758" s="149"/>
      <c r="AA758" s="149"/>
      <c r="AB758" s="149"/>
      <c r="AC758" s="149"/>
      <c r="AD758" s="149"/>
      <c r="AE758" s="149"/>
      <c r="AF758" s="149"/>
      <c r="AG758" s="149"/>
      <c r="AH758" s="149"/>
      <c r="AI758" s="149"/>
      <c r="AJ758" s="149"/>
      <c r="AK758" s="149"/>
      <c r="AL758" s="149"/>
      <c r="AM758" s="149"/>
      <c r="AN758" s="149"/>
      <c r="AO758" s="149"/>
      <c r="AP758" s="149"/>
      <c r="AR758" s="149"/>
      <c r="AS758" s="149"/>
      <c r="AT758" s="149"/>
      <c r="AU758" s="149"/>
      <c r="AV758" s="149"/>
      <c r="AW758" s="149"/>
      <c r="AX758" s="149"/>
      <c r="AY758" s="149"/>
      <c r="AZ758" s="149"/>
      <c r="BA758" s="149"/>
      <c r="BB758" s="149"/>
      <c r="BC758" s="149"/>
      <c r="BD758" s="149"/>
      <c r="BE758" s="149"/>
      <c r="BF758" s="149"/>
      <c r="BG758" s="149"/>
      <c r="BH758" s="149"/>
      <c r="BI758" s="149"/>
      <c r="BJ758" s="149"/>
      <c r="BK758" s="149"/>
      <c r="BL758" s="149"/>
      <c r="BM758" s="149"/>
      <c r="BN758" s="149"/>
      <c r="BO758" s="149"/>
      <c r="BP758" s="149"/>
      <c r="BQ758" s="149"/>
      <c r="BR758" s="149"/>
    </row>
    <row r="759" ht="34" customHeight="1" spans="1:70">
      <c r="A759" s="208">
        <v>765</v>
      </c>
      <c r="B759" s="149"/>
      <c r="C759" s="149"/>
      <c r="D759" s="149"/>
      <c r="E759" s="149"/>
      <c r="F759" s="149"/>
      <c r="G759" s="149"/>
      <c r="H759" s="149"/>
      <c r="I759" s="149"/>
      <c r="J759" s="149"/>
      <c r="K759" s="149"/>
      <c r="L759" s="149"/>
      <c r="M759" s="149"/>
      <c r="N759" s="149"/>
      <c r="O759" s="149"/>
      <c r="P759" s="149"/>
      <c r="Q759" s="149"/>
      <c r="R759" s="149"/>
      <c r="S759" s="149"/>
      <c r="T759" s="149"/>
      <c r="U759" s="149"/>
      <c r="V759" s="149"/>
      <c r="W759" s="149"/>
      <c r="X759" s="149"/>
      <c r="Y759" s="149"/>
      <c r="Z759" s="149"/>
      <c r="AA759" s="149"/>
      <c r="AB759" s="149"/>
      <c r="AC759" s="149"/>
      <c r="AD759" s="149"/>
      <c r="AE759" s="149"/>
      <c r="AF759" s="149"/>
      <c r="AG759" s="149"/>
      <c r="AH759" s="149"/>
      <c r="AI759" s="149"/>
      <c r="AJ759" s="149"/>
      <c r="AK759" s="149"/>
      <c r="AL759" s="149"/>
      <c r="AM759" s="149"/>
      <c r="AN759" s="149"/>
      <c r="AO759" s="149"/>
      <c r="AP759" s="149"/>
      <c r="AR759" s="149"/>
      <c r="AS759" s="149"/>
      <c r="AT759" s="149"/>
      <c r="AU759" s="149"/>
      <c r="AV759" s="149"/>
      <c r="AW759" s="149"/>
      <c r="AX759" s="149"/>
      <c r="AY759" s="149"/>
      <c r="AZ759" s="149"/>
      <c r="BA759" s="149"/>
      <c r="BB759" s="149"/>
      <c r="BC759" s="149"/>
      <c r="BD759" s="149"/>
      <c r="BE759" s="149"/>
      <c r="BF759" s="149"/>
      <c r="BG759" s="149"/>
      <c r="BH759" s="149"/>
      <c r="BI759" s="149"/>
      <c r="BJ759" s="149"/>
      <c r="BK759" s="149"/>
      <c r="BL759" s="149"/>
      <c r="BM759" s="149"/>
      <c r="BN759" s="149"/>
      <c r="BO759" s="149"/>
      <c r="BP759" s="149"/>
      <c r="BQ759" s="149"/>
      <c r="BR759" s="149"/>
    </row>
    <row r="760" ht="34" customHeight="1" spans="1:70">
      <c r="A760" s="208">
        <v>766</v>
      </c>
      <c r="B760" s="149"/>
      <c r="C760" s="149"/>
      <c r="D760" s="149"/>
      <c r="E760" s="149"/>
      <c r="F760" s="149"/>
      <c r="G760" s="149"/>
      <c r="H760" s="149"/>
      <c r="I760" s="149"/>
      <c r="J760" s="149"/>
      <c r="K760" s="149"/>
      <c r="L760" s="149"/>
      <c r="M760" s="149"/>
      <c r="N760" s="149"/>
      <c r="O760" s="149"/>
      <c r="P760" s="149"/>
      <c r="Q760" s="149"/>
      <c r="R760" s="149"/>
      <c r="S760" s="149"/>
      <c r="T760" s="149"/>
      <c r="U760" s="149"/>
      <c r="V760" s="149"/>
      <c r="W760" s="149"/>
      <c r="X760" s="149"/>
      <c r="Y760" s="149"/>
      <c r="Z760" s="149"/>
      <c r="AA760" s="149"/>
      <c r="AB760" s="149"/>
      <c r="AC760" s="149"/>
      <c r="AD760" s="149"/>
      <c r="AE760" s="149"/>
      <c r="AF760" s="149"/>
      <c r="AG760" s="149"/>
      <c r="AH760" s="149"/>
      <c r="AI760" s="149"/>
      <c r="AJ760" s="149"/>
      <c r="AK760" s="149"/>
      <c r="AL760" s="149"/>
      <c r="AM760" s="149"/>
      <c r="AN760" s="149"/>
      <c r="AO760" s="149"/>
      <c r="AP760" s="149"/>
      <c r="AR760" s="149"/>
      <c r="AS760" s="149"/>
      <c r="AT760" s="149"/>
      <c r="AU760" s="149"/>
      <c r="AV760" s="149"/>
      <c r="AW760" s="149"/>
      <c r="AX760" s="149"/>
      <c r="AY760" s="149"/>
      <c r="AZ760" s="149"/>
      <c r="BA760" s="149"/>
      <c r="BB760" s="149"/>
      <c r="BC760" s="149"/>
      <c r="BD760" s="149"/>
      <c r="BE760" s="149"/>
      <c r="BF760" s="149"/>
      <c r="BG760" s="149"/>
      <c r="BH760" s="149"/>
      <c r="BI760" s="149"/>
      <c r="BJ760" s="149"/>
      <c r="BK760" s="149"/>
      <c r="BL760" s="149"/>
      <c r="BM760" s="149"/>
      <c r="BN760" s="149"/>
      <c r="BO760" s="149"/>
      <c r="BP760" s="149"/>
      <c r="BQ760" s="149"/>
      <c r="BR760" s="149"/>
    </row>
    <row r="761" ht="34" customHeight="1" spans="1:70">
      <c r="A761" s="208">
        <v>767</v>
      </c>
      <c r="B761" s="149"/>
      <c r="C761" s="149"/>
      <c r="D761" s="149"/>
      <c r="E761" s="149"/>
      <c r="F761" s="149"/>
      <c r="G761" s="149"/>
      <c r="H761" s="149"/>
      <c r="I761" s="149"/>
      <c r="J761" s="149"/>
      <c r="K761" s="149"/>
      <c r="L761" s="149"/>
      <c r="M761" s="149"/>
      <c r="N761" s="149"/>
      <c r="O761" s="149"/>
      <c r="P761" s="149"/>
      <c r="Q761" s="149"/>
      <c r="R761" s="149"/>
      <c r="S761" s="149"/>
      <c r="T761" s="149"/>
      <c r="U761" s="149"/>
      <c r="V761" s="149"/>
      <c r="W761" s="149"/>
      <c r="X761" s="149"/>
      <c r="Y761" s="149"/>
      <c r="Z761" s="149"/>
      <c r="AA761" s="149"/>
      <c r="AB761" s="149"/>
      <c r="AC761" s="149"/>
      <c r="AD761" s="149"/>
      <c r="AE761" s="149"/>
      <c r="AF761" s="149"/>
      <c r="AG761" s="149"/>
      <c r="AH761" s="149"/>
      <c r="AI761" s="149"/>
      <c r="AJ761" s="149"/>
      <c r="AK761" s="149"/>
      <c r="AL761" s="149"/>
      <c r="AM761" s="149"/>
      <c r="AN761" s="149"/>
      <c r="AO761" s="149"/>
      <c r="AP761" s="149"/>
      <c r="AR761" s="149"/>
      <c r="AS761" s="149"/>
      <c r="AT761" s="149"/>
      <c r="AU761" s="149"/>
      <c r="AV761" s="149"/>
      <c r="AW761" s="149"/>
      <c r="AX761" s="149"/>
      <c r="AY761" s="149"/>
      <c r="AZ761" s="149"/>
      <c r="BA761" s="149"/>
      <c r="BB761" s="149"/>
      <c r="BC761" s="149"/>
      <c r="BD761" s="149"/>
      <c r="BE761" s="149"/>
      <c r="BF761" s="149"/>
      <c r="BG761" s="149"/>
      <c r="BH761" s="149"/>
      <c r="BI761" s="149"/>
      <c r="BJ761" s="149"/>
      <c r="BK761" s="149"/>
      <c r="BL761" s="149"/>
      <c r="BM761" s="149"/>
      <c r="BN761" s="149"/>
      <c r="BO761" s="149"/>
      <c r="BP761" s="149"/>
      <c r="BQ761" s="149"/>
      <c r="BR761" s="149"/>
    </row>
    <row r="762" ht="34" customHeight="1" spans="1:70">
      <c r="A762" s="208">
        <v>768</v>
      </c>
      <c r="B762" s="149"/>
      <c r="C762" s="149"/>
      <c r="D762" s="149"/>
      <c r="E762" s="149"/>
      <c r="F762" s="149"/>
      <c r="G762" s="149"/>
      <c r="H762" s="149"/>
      <c r="I762" s="149"/>
      <c r="J762" s="149"/>
      <c r="K762" s="149"/>
      <c r="L762" s="149"/>
      <c r="M762" s="149"/>
      <c r="N762" s="149"/>
      <c r="O762" s="149"/>
      <c r="P762" s="149"/>
      <c r="Q762" s="149"/>
      <c r="R762" s="149"/>
      <c r="S762" s="149"/>
      <c r="T762" s="149"/>
      <c r="U762" s="149"/>
      <c r="V762" s="149"/>
      <c r="W762" s="149"/>
      <c r="X762" s="149"/>
      <c r="Y762" s="149"/>
      <c r="Z762" s="149"/>
      <c r="AA762" s="149"/>
      <c r="AB762" s="149"/>
      <c r="AC762" s="149"/>
      <c r="AD762" s="149"/>
      <c r="AE762" s="149"/>
      <c r="AF762" s="149"/>
      <c r="AG762" s="149"/>
      <c r="AH762" s="149"/>
      <c r="AI762" s="149"/>
      <c r="AJ762" s="149"/>
      <c r="AK762" s="149"/>
      <c r="AL762" s="149"/>
      <c r="AM762" s="149"/>
      <c r="AN762" s="149"/>
      <c r="AO762" s="149"/>
      <c r="AP762" s="149"/>
      <c r="AR762" s="149"/>
      <c r="AS762" s="149"/>
      <c r="AT762" s="149"/>
      <c r="AU762" s="149"/>
      <c r="AV762" s="149"/>
      <c r="AW762" s="149"/>
      <c r="AX762" s="149"/>
      <c r="AY762" s="149"/>
      <c r="AZ762" s="149"/>
      <c r="BA762" s="149"/>
      <c r="BB762" s="149"/>
      <c r="BC762" s="149"/>
      <c r="BD762" s="149"/>
      <c r="BE762" s="149"/>
      <c r="BF762" s="149"/>
      <c r="BG762" s="149"/>
      <c r="BH762" s="149"/>
      <c r="BI762" s="149"/>
      <c r="BJ762" s="149"/>
      <c r="BK762" s="149"/>
      <c r="BL762" s="149"/>
      <c r="BM762" s="149"/>
      <c r="BN762" s="149"/>
      <c r="BO762" s="149"/>
      <c r="BP762" s="149"/>
      <c r="BQ762" s="149"/>
      <c r="BR762" s="149"/>
    </row>
    <row r="763" ht="34" customHeight="1" spans="1:70">
      <c r="A763" s="208">
        <v>769</v>
      </c>
      <c r="B763" s="149"/>
      <c r="C763" s="149"/>
      <c r="D763" s="149"/>
      <c r="E763" s="149"/>
      <c r="F763" s="149"/>
      <c r="G763" s="149"/>
      <c r="H763" s="149"/>
      <c r="I763" s="149"/>
      <c r="J763" s="149"/>
      <c r="K763" s="149"/>
      <c r="L763" s="149"/>
      <c r="M763" s="149"/>
      <c r="N763" s="149"/>
      <c r="O763" s="149"/>
      <c r="P763" s="149"/>
      <c r="Q763" s="149"/>
      <c r="R763" s="149"/>
      <c r="S763" s="149"/>
      <c r="T763" s="149"/>
      <c r="U763" s="149"/>
      <c r="V763" s="149"/>
      <c r="W763" s="149"/>
      <c r="X763" s="149"/>
      <c r="Y763" s="149"/>
      <c r="Z763" s="149"/>
      <c r="AA763" s="149"/>
      <c r="AB763" s="149"/>
      <c r="AC763" s="149"/>
      <c r="AD763" s="149"/>
      <c r="AE763" s="149"/>
      <c r="AF763" s="149"/>
      <c r="AG763" s="149"/>
      <c r="AH763" s="149"/>
      <c r="AI763" s="149"/>
      <c r="AJ763" s="149"/>
      <c r="AK763" s="149"/>
      <c r="AL763" s="149"/>
      <c r="AM763" s="149"/>
      <c r="AN763" s="149"/>
      <c r="AO763" s="149"/>
      <c r="AP763" s="149"/>
      <c r="AR763" s="149"/>
      <c r="AS763" s="149"/>
      <c r="AT763" s="149"/>
      <c r="AU763" s="149"/>
      <c r="AV763" s="149"/>
      <c r="AW763" s="149"/>
      <c r="AX763" s="149"/>
      <c r="AY763" s="149"/>
      <c r="AZ763" s="149"/>
      <c r="BA763" s="149"/>
      <c r="BB763" s="149"/>
      <c r="BC763" s="149"/>
      <c r="BD763" s="149"/>
      <c r="BE763" s="149"/>
      <c r="BF763" s="149"/>
      <c r="BG763" s="149"/>
      <c r="BH763" s="149"/>
      <c r="BI763" s="149"/>
      <c r="BJ763" s="149"/>
      <c r="BK763" s="149"/>
      <c r="BL763" s="149"/>
      <c r="BM763" s="149"/>
      <c r="BN763" s="149"/>
      <c r="BO763" s="149"/>
      <c r="BP763" s="149"/>
      <c r="BQ763" s="149"/>
      <c r="BR763" s="149"/>
    </row>
    <row r="764" ht="34" customHeight="1" spans="1:70">
      <c r="A764" s="208">
        <v>770</v>
      </c>
      <c r="B764" s="149"/>
      <c r="C764" s="149"/>
      <c r="D764" s="149"/>
      <c r="E764" s="149"/>
      <c r="F764" s="149"/>
      <c r="G764" s="149"/>
      <c r="H764" s="149"/>
      <c r="I764" s="149"/>
      <c r="J764" s="149"/>
      <c r="K764" s="149"/>
      <c r="L764" s="149"/>
      <c r="M764" s="149"/>
      <c r="N764" s="149"/>
      <c r="O764" s="149"/>
      <c r="P764" s="149"/>
      <c r="Q764" s="149"/>
      <c r="R764" s="149"/>
      <c r="S764" s="149"/>
      <c r="T764" s="149"/>
      <c r="U764" s="149"/>
      <c r="V764" s="149"/>
      <c r="W764" s="149"/>
      <c r="X764" s="149"/>
      <c r="Y764" s="149"/>
      <c r="Z764" s="149"/>
      <c r="AA764" s="149"/>
      <c r="AB764" s="149"/>
      <c r="AC764" s="149"/>
      <c r="AD764" s="149"/>
      <c r="AE764" s="149"/>
      <c r="AF764" s="149"/>
      <c r="AG764" s="149"/>
      <c r="AH764" s="149"/>
      <c r="AI764" s="149"/>
      <c r="AJ764" s="149"/>
      <c r="AK764" s="149"/>
      <c r="AL764" s="149"/>
      <c r="AM764" s="149"/>
      <c r="AN764" s="149"/>
      <c r="AO764" s="149"/>
      <c r="AP764" s="149"/>
      <c r="AR764" s="149"/>
      <c r="AS764" s="149"/>
      <c r="AT764" s="149"/>
      <c r="AU764" s="149"/>
      <c r="AV764" s="149"/>
      <c r="AW764" s="149"/>
      <c r="AX764" s="149"/>
      <c r="AY764" s="149"/>
      <c r="AZ764" s="149"/>
      <c r="BA764" s="149"/>
      <c r="BB764" s="149"/>
      <c r="BC764" s="149"/>
      <c r="BD764" s="149"/>
      <c r="BE764" s="149"/>
      <c r="BF764" s="149"/>
      <c r="BG764" s="149"/>
      <c r="BH764" s="149"/>
      <c r="BI764" s="149"/>
      <c r="BJ764" s="149"/>
      <c r="BK764" s="149"/>
      <c r="BL764" s="149"/>
      <c r="BM764" s="149"/>
      <c r="BN764" s="149"/>
      <c r="BO764" s="149"/>
      <c r="BP764" s="149"/>
      <c r="BQ764" s="149"/>
      <c r="BR764" s="149"/>
    </row>
    <row r="765" ht="34" customHeight="1" spans="1:70">
      <c r="A765" s="208">
        <v>771</v>
      </c>
      <c r="B765" s="149"/>
      <c r="C765" s="149"/>
      <c r="D765" s="149"/>
      <c r="E765" s="149"/>
      <c r="F765" s="149"/>
      <c r="G765" s="149"/>
      <c r="H765" s="149"/>
      <c r="I765" s="149"/>
      <c r="J765" s="149"/>
      <c r="K765" s="149"/>
      <c r="L765" s="149"/>
      <c r="M765" s="149"/>
      <c r="N765" s="149"/>
      <c r="O765" s="149"/>
      <c r="P765" s="149"/>
      <c r="Q765" s="149"/>
      <c r="R765" s="149"/>
      <c r="S765" s="149"/>
      <c r="T765" s="149"/>
      <c r="U765" s="149"/>
      <c r="V765" s="149"/>
      <c r="W765" s="149"/>
      <c r="X765" s="149"/>
      <c r="Y765" s="149"/>
      <c r="Z765" s="149"/>
      <c r="AA765" s="149"/>
      <c r="AB765" s="149"/>
      <c r="AC765" s="149"/>
      <c r="AD765" s="149"/>
      <c r="AE765" s="149"/>
      <c r="AF765" s="149"/>
      <c r="AG765" s="149"/>
      <c r="AH765" s="149"/>
      <c r="AI765" s="149"/>
      <c r="AJ765" s="149"/>
      <c r="AK765" s="149"/>
      <c r="AL765" s="149"/>
      <c r="AM765" s="149"/>
      <c r="AN765" s="149"/>
      <c r="AO765" s="149"/>
      <c r="AP765" s="149"/>
      <c r="AR765" s="149"/>
      <c r="AS765" s="149"/>
      <c r="AT765" s="149"/>
      <c r="AU765" s="149"/>
      <c r="AV765" s="149"/>
      <c r="AW765" s="149"/>
      <c r="AX765" s="149"/>
      <c r="AY765" s="149"/>
      <c r="AZ765" s="149"/>
      <c r="BA765" s="149"/>
      <c r="BB765" s="149"/>
      <c r="BC765" s="149"/>
      <c r="BD765" s="149"/>
      <c r="BE765" s="149"/>
      <c r="BF765" s="149"/>
      <c r="BG765" s="149"/>
      <c r="BH765" s="149"/>
      <c r="BI765" s="149"/>
      <c r="BJ765" s="149"/>
      <c r="BK765" s="149"/>
      <c r="BL765" s="149"/>
      <c r="BM765" s="149"/>
      <c r="BN765" s="149"/>
      <c r="BO765" s="149"/>
      <c r="BP765" s="149"/>
      <c r="BQ765" s="149"/>
      <c r="BR765" s="149"/>
    </row>
    <row r="766" ht="34" customHeight="1" spans="1:70">
      <c r="A766" s="208">
        <v>772</v>
      </c>
      <c r="B766" s="149"/>
      <c r="C766" s="149"/>
      <c r="D766" s="149"/>
      <c r="E766" s="149"/>
      <c r="F766" s="149"/>
      <c r="G766" s="149"/>
      <c r="H766" s="149"/>
      <c r="I766" s="149"/>
      <c r="J766" s="149"/>
      <c r="K766" s="149"/>
      <c r="L766" s="149"/>
      <c r="M766" s="149"/>
      <c r="N766" s="149"/>
      <c r="O766" s="149"/>
      <c r="P766" s="149"/>
      <c r="Q766" s="149"/>
      <c r="R766" s="149"/>
      <c r="S766" s="149"/>
      <c r="T766" s="149"/>
      <c r="U766" s="149"/>
      <c r="V766" s="149"/>
      <c r="W766" s="149"/>
      <c r="X766" s="149"/>
      <c r="Y766" s="149"/>
      <c r="Z766" s="149"/>
      <c r="AA766" s="149"/>
      <c r="AB766" s="149"/>
      <c r="AC766" s="149"/>
      <c r="AD766" s="149"/>
      <c r="AE766" s="149"/>
      <c r="AF766" s="149"/>
      <c r="AG766" s="149"/>
      <c r="AH766" s="149"/>
      <c r="AI766" s="149"/>
      <c r="AJ766" s="149"/>
      <c r="AK766" s="149"/>
      <c r="AL766" s="149"/>
      <c r="AM766" s="149"/>
      <c r="AN766" s="149"/>
      <c r="AO766" s="149"/>
      <c r="AP766" s="149"/>
      <c r="AR766" s="149"/>
      <c r="AS766" s="149"/>
      <c r="AT766" s="149"/>
      <c r="AU766" s="149"/>
      <c r="AV766" s="149"/>
      <c r="AW766" s="149"/>
      <c r="AX766" s="149"/>
      <c r="AY766" s="149"/>
      <c r="AZ766" s="149"/>
      <c r="BA766" s="149"/>
      <c r="BB766" s="149"/>
      <c r="BC766" s="149"/>
      <c r="BD766" s="149"/>
      <c r="BE766" s="149"/>
      <c r="BF766" s="149"/>
      <c r="BG766" s="149"/>
      <c r="BH766" s="149"/>
      <c r="BI766" s="149"/>
      <c r="BJ766" s="149"/>
      <c r="BK766" s="149"/>
      <c r="BL766" s="149"/>
      <c r="BM766" s="149"/>
      <c r="BN766" s="149"/>
      <c r="BO766" s="149"/>
      <c r="BP766" s="149"/>
      <c r="BQ766" s="149"/>
      <c r="BR766" s="149"/>
    </row>
    <row r="767" ht="34" customHeight="1" spans="1:70">
      <c r="A767" s="208">
        <v>773</v>
      </c>
      <c r="B767" s="149"/>
      <c r="C767" s="149"/>
      <c r="D767" s="149"/>
      <c r="E767" s="149"/>
      <c r="F767" s="149"/>
      <c r="G767" s="149"/>
      <c r="H767" s="149"/>
      <c r="I767" s="149"/>
      <c r="J767" s="149"/>
      <c r="K767" s="149"/>
      <c r="L767" s="149"/>
      <c r="M767" s="149"/>
      <c r="N767" s="149"/>
      <c r="O767" s="149"/>
      <c r="P767" s="149"/>
      <c r="Q767" s="149"/>
      <c r="R767" s="149"/>
      <c r="S767" s="149"/>
      <c r="T767" s="149"/>
      <c r="U767" s="149"/>
      <c r="V767" s="149"/>
      <c r="W767" s="149"/>
      <c r="X767" s="149"/>
      <c r="Y767" s="149"/>
      <c r="Z767" s="149"/>
      <c r="AA767" s="149"/>
      <c r="AB767" s="149"/>
      <c r="AC767" s="149"/>
      <c r="AD767" s="149"/>
      <c r="AE767" s="149"/>
      <c r="AF767" s="149"/>
      <c r="AG767" s="149"/>
      <c r="AH767" s="149"/>
      <c r="AI767" s="149"/>
      <c r="AJ767" s="149"/>
      <c r="AK767" s="149"/>
      <c r="AL767" s="149"/>
      <c r="AM767" s="149"/>
      <c r="AN767" s="149"/>
      <c r="AO767" s="149"/>
      <c r="AP767" s="149"/>
      <c r="AR767" s="149"/>
      <c r="AS767" s="149"/>
      <c r="AT767" s="149"/>
      <c r="AU767" s="149"/>
      <c r="AV767" s="149"/>
      <c r="AW767" s="149"/>
      <c r="AX767" s="149"/>
      <c r="AY767" s="149"/>
      <c r="AZ767" s="149"/>
      <c r="BA767" s="149"/>
      <c r="BB767" s="149"/>
      <c r="BC767" s="149"/>
      <c r="BD767" s="149"/>
      <c r="BE767" s="149"/>
      <c r="BF767" s="149"/>
      <c r="BG767" s="149"/>
      <c r="BH767" s="149"/>
      <c r="BI767" s="149"/>
      <c r="BJ767" s="149"/>
      <c r="BK767" s="149"/>
      <c r="BL767" s="149"/>
      <c r="BM767" s="149"/>
      <c r="BN767" s="149"/>
      <c r="BO767" s="149"/>
      <c r="BP767" s="149"/>
      <c r="BQ767" s="149"/>
      <c r="BR767" s="149"/>
    </row>
    <row r="768" ht="34" customHeight="1" spans="1:70">
      <c r="A768" s="208">
        <v>774</v>
      </c>
      <c r="B768" s="149"/>
      <c r="C768" s="149"/>
      <c r="D768" s="149"/>
      <c r="E768" s="149"/>
      <c r="F768" s="149"/>
      <c r="G768" s="149"/>
      <c r="H768" s="149"/>
      <c r="I768" s="149"/>
      <c r="J768" s="149"/>
      <c r="K768" s="149"/>
      <c r="L768" s="149"/>
      <c r="M768" s="149"/>
      <c r="N768" s="149"/>
      <c r="O768" s="149"/>
      <c r="P768" s="149"/>
      <c r="Q768" s="149"/>
      <c r="R768" s="149"/>
      <c r="S768" s="149"/>
      <c r="T768" s="149"/>
      <c r="U768" s="149"/>
      <c r="V768" s="149"/>
      <c r="W768" s="149"/>
      <c r="X768" s="149"/>
      <c r="Y768" s="149"/>
      <c r="Z768" s="149"/>
      <c r="AA768" s="149"/>
      <c r="AB768" s="149"/>
      <c r="AC768" s="149"/>
      <c r="AD768" s="149"/>
      <c r="AE768" s="149"/>
      <c r="AF768" s="149"/>
      <c r="AG768" s="149"/>
      <c r="AH768" s="149"/>
      <c r="AI768" s="149"/>
      <c r="AJ768" s="149"/>
      <c r="AK768" s="149"/>
      <c r="AL768" s="149"/>
      <c r="AM768" s="149"/>
      <c r="AN768" s="149"/>
      <c r="AO768" s="149"/>
      <c r="AP768" s="149"/>
      <c r="AR768" s="149"/>
      <c r="AS768" s="149"/>
      <c r="AT768" s="149"/>
      <c r="AU768" s="149"/>
      <c r="AV768" s="149"/>
      <c r="AW768" s="149"/>
      <c r="AX768" s="149"/>
      <c r="AY768" s="149"/>
      <c r="AZ768" s="149"/>
      <c r="BA768" s="149"/>
      <c r="BB768" s="149"/>
      <c r="BC768" s="149"/>
      <c r="BD768" s="149"/>
      <c r="BE768" s="149"/>
      <c r="BF768" s="149"/>
      <c r="BG768" s="149"/>
      <c r="BH768" s="149"/>
      <c r="BI768" s="149"/>
      <c r="BJ768" s="149"/>
      <c r="BK768" s="149"/>
      <c r="BL768" s="149"/>
      <c r="BM768" s="149"/>
      <c r="BN768" s="149"/>
      <c r="BO768" s="149"/>
      <c r="BP768" s="149"/>
      <c r="BQ768" s="149"/>
      <c r="BR768" s="149"/>
    </row>
    <row r="769" ht="34" customHeight="1" spans="1:70">
      <c r="A769" s="208">
        <v>775</v>
      </c>
      <c r="B769" s="149"/>
      <c r="C769" s="149"/>
      <c r="D769" s="149"/>
      <c r="E769" s="149"/>
      <c r="F769" s="149"/>
      <c r="G769" s="149"/>
      <c r="H769" s="149"/>
      <c r="I769" s="149"/>
      <c r="J769" s="149"/>
      <c r="K769" s="149"/>
      <c r="L769" s="149"/>
      <c r="M769" s="149"/>
      <c r="N769" s="149"/>
      <c r="O769" s="149"/>
      <c r="P769" s="149"/>
      <c r="Q769" s="149"/>
      <c r="R769" s="149"/>
      <c r="S769" s="149"/>
      <c r="T769" s="149"/>
      <c r="U769" s="149"/>
      <c r="V769" s="149"/>
      <c r="W769" s="149"/>
      <c r="X769" s="149"/>
      <c r="Y769" s="149"/>
      <c r="Z769" s="149"/>
      <c r="AA769" s="149"/>
      <c r="AB769" s="149"/>
      <c r="AC769" s="149"/>
      <c r="AD769" s="149"/>
      <c r="AE769" s="149"/>
      <c r="AF769" s="149"/>
      <c r="AG769" s="149"/>
      <c r="AH769" s="149"/>
      <c r="AI769" s="149"/>
      <c r="AJ769" s="149"/>
      <c r="AK769" s="149"/>
      <c r="AL769" s="149"/>
      <c r="AM769" s="149"/>
      <c r="AN769" s="149"/>
      <c r="AO769" s="149"/>
      <c r="AP769" s="149"/>
      <c r="AR769" s="149"/>
      <c r="AS769" s="149"/>
      <c r="AT769" s="149"/>
      <c r="AU769" s="149"/>
      <c r="AV769" s="149"/>
      <c r="AW769" s="149"/>
      <c r="AX769" s="149"/>
      <c r="AY769" s="149"/>
      <c r="AZ769" s="149"/>
      <c r="BA769" s="149"/>
      <c r="BB769" s="149"/>
      <c r="BC769" s="149"/>
      <c r="BD769" s="149"/>
      <c r="BE769" s="149"/>
      <c r="BF769" s="149"/>
      <c r="BG769" s="149"/>
      <c r="BH769" s="149"/>
      <c r="BI769" s="149"/>
      <c r="BJ769" s="149"/>
      <c r="BK769" s="149"/>
      <c r="BL769" s="149"/>
      <c r="BM769" s="149"/>
      <c r="BN769" s="149"/>
      <c r="BO769" s="149"/>
      <c r="BP769" s="149"/>
      <c r="BQ769" s="149"/>
      <c r="BR769" s="149"/>
    </row>
    <row r="770" ht="34" customHeight="1" spans="1:70">
      <c r="A770" s="208">
        <v>776</v>
      </c>
      <c r="B770" s="149"/>
      <c r="C770" s="149"/>
      <c r="D770" s="149"/>
      <c r="E770" s="149"/>
      <c r="F770" s="149"/>
      <c r="G770" s="149"/>
      <c r="H770" s="149"/>
      <c r="I770" s="149"/>
      <c r="J770" s="149"/>
      <c r="K770" s="149"/>
      <c r="L770" s="149"/>
      <c r="M770" s="149"/>
      <c r="N770" s="149"/>
      <c r="O770" s="149"/>
      <c r="P770" s="149"/>
      <c r="Q770" s="149"/>
      <c r="R770" s="149"/>
      <c r="S770" s="149"/>
      <c r="T770" s="149"/>
      <c r="U770" s="149"/>
      <c r="V770" s="149"/>
      <c r="W770" s="149"/>
      <c r="X770" s="149"/>
      <c r="Y770" s="149"/>
      <c r="Z770" s="149"/>
      <c r="AA770" s="149"/>
      <c r="AB770" s="149"/>
      <c r="AC770" s="149"/>
      <c r="AD770" s="149"/>
      <c r="AE770" s="149"/>
      <c r="AF770" s="149"/>
      <c r="AG770" s="149"/>
      <c r="AH770" s="149"/>
      <c r="AI770" s="149"/>
      <c r="AJ770" s="149"/>
      <c r="AK770" s="149"/>
      <c r="AL770" s="149"/>
      <c r="AM770" s="149"/>
      <c r="AN770" s="149"/>
      <c r="AO770" s="149"/>
      <c r="AP770" s="149"/>
      <c r="AR770" s="149"/>
      <c r="AS770" s="149"/>
      <c r="AT770" s="149"/>
      <c r="AU770" s="149"/>
      <c r="AV770" s="149"/>
      <c r="AW770" s="149"/>
      <c r="AX770" s="149"/>
      <c r="AY770" s="149"/>
      <c r="AZ770" s="149"/>
      <c r="BA770" s="149"/>
      <c r="BB770" s="149"/>
      <c r="BC770" s="149"/>
      <c r="BD770" s="149"/>
      <c r="BE770" s="149"/>
      <c r="BF770" s="149"/>
      <c r="BG770" s="149"/>
      <c r="BH770" s="149"/>
      <c r="BI770" s="149"/>
      <c r="BJ770" s="149"/>
      <c r="BK770" s="149"/>
      <c r="BL770" s="149"/>
      <c r="BM770" s="149"/>
      <c r="BN770" s="149"/>
      <c r="BO770" s="149"/>
      <c r="BP770" s="149"/>
      <c r="BQ770" s="149"/>
      <c r="BR770" s="149"/>
    </row>
    <row r="771" ht="34" customHeight="1" spans="1:70">
      <c r="A771" s="208">
        <v>777</v>
      </c>
      <c r="B771" s="149"/>
      <c r="C771" s="149"/>
      <c r="D771" s="149"/>
      <c r="E771" s="149"/>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ht="34" customHeight="1" spans="1:70">
      <c r="A772" s="208">
        <v>778</v>
      </c>
      <c r="B772" s="149"/>
      <c r="C772" s="149"/>
      <c r="D772" s="149"/>
      <c r="E772" s="149"/>
      <c r="F772" s="149"/>
      <c r="G772" s="149"/>
      <c r="H772" s="149"/>
      <c r="I772" s="149"/>
      <c r="J772" s="149"/>
      <c r="K772" s="149"/>
      <c r="L772" s="149"/>
      <c r="M772" s="149"/>
      <c r="N772" s="149"/>
      <c r="O772" s="149"/>
      <c r="P772" s="149"/>
      <c r="Q772" s="149"/>
      <c r="R772" s="149"/>
      <c r="S772" s="149"/>
      <c r="T772" s="149"/>
      <c r="U772" s="149"/>
      <c r="V772" s="149"/>
      <c r="W772" s="149"/>
      <c r="X772" s="149"/>
      <c r="Y772" s="149"/>
      <c r="Z772" s="149"/>
      <c r="AA772" s="149"/>
      <c r="AB772" s="149"/>
      <c r="AC772" s="149"/>
      <c r="AD772" s="149"/>
      <c r="AE772" s="149"/>
      <c r="AF772" s="149"/>
      <c r="AG772" s="149"/>
      <c r="AH772" s="149"/>
      <c r="AI772" s="149"/>
      <c r="AJ772" s="149"/>
      <c r="AK772" s="149"/>
      <c r="AL772" s="149"/>
      <c r="AM772" s="149"/>
      <c r="AN772" s="149"/>
      <c r="AO772" s="149"/>
      <c r="AP772" s="149"/>
      <c r="AR772" s="149"/>
      <c r="AS772" s="149"/>
      <c r="AT772" s="149"/>
      <c r="AU772" s="149"/>
      <c r="AV772" s="149"/>
      <c r="AW772" s="149"/>
      <c r="AX772" s="149"/>
      <c r="AY772" s="149"/>
      <c r="AZ772" s="149"/>
      <c r="BA772" s="149"/>
      <c r="BB772" s="149"/>
      <c r="BC772" s="149"/>
      <c r="BD772" s="149"/>
      <c r="BE772" s="149"/>
      <c r="BF772" s="149"/>
      <c r="BG772" s="149"/>
      <c r="BH772" s="149"/>
      <c r="BI772" s="149"/>
      <c r="BJ772" s="149"/>
      <c r="BK772" s="149"/>
      <c r="BL772" s="149"/>
      <c r="BM772" s="149"/>
      <c r="BN772" s="149"/>
      <c r="BO772" s="149"/>
      <c r="BP772" s="149"/>
      <c r="BQ772" s="149"/>
      <c r="BR772" s="149"/>
    </row>
    <row r="773" ht="34" customHeight="1" spans="1:70">
      <c r="A773" s="208">
        <v>779</v>
      </c>
      <c r="B773" s="149"/>
      <c r="C773" s="149"/>
      <c r="D773" s="149"/>
      <c r="E773" s="149"/>
      <c r="F773" s="149"/>
      <c r="G773" s="149"/>
      <c r="H773" s="149"/>
      <c r="I773" s="149"/>
      <c r="J773" s="149"/>
      <c r="K773" s="149"/>
      <c r="L773" s="149"/>
      <c r="M773" s="149"/>
      <c r="N773" s="149"/>
      <c r="O773" s="149"/>
      <c r="P773" s="149"/>
      <c r="Q773" s="149"/>
      <c r="R773" s="149"/>
      <c r="S773" s="149"/>
      <c r="T773" s="149"/>
      <c r="U773" s="149"/>
      <c r="V773" s="149"/>
      <c r="W773" s="149"/>
      <c r="X773" s="149"/>
      <c r="Y773" s="149"/>
      <c r="Z773" s="149"/>
      <c r="AA773" s="149"/>
      <c r="AB773" s="149"/>
      <c r="AC773" s="149"/>
      <c r="AD773" s="149"/>
      <c r="AE773" s="149"/>
      <c r="AF773" s="149"/>
      <c r="AG773" s="149"/>
      <c r="AH773" s="149"/>
      <c r="AI773" s="149"/>
      <c r="AJ773" s="149"/>
      <c r="AK773" s="149"/>
      <c r="AL773" s="149"/>
      <c r="AM773" s="149"/>
      <c r="AN773" s="149"/>
      <c r="AO773" s="149"/>
      <c r="AP773" s="149"/>
      <c r="AR773" s="149"/>
      <c r="AS773" s="149"/>
      <c r="AT773" s="149"/>
      <c r="AU773" s="149"/>
      <c r="AV773" s="149"/>
      <c r="AW773" s="149"/>
      <c r="AX773" s="149"/>
      <c r="AY773" s="149"/>
      <c r="AZ773" s="149"/>
      <c r="BA773" s="149"/>
      <c r="BB773" s="149"/>
      <c r="BC773" s="149"/>
      <c r="BD773" s="149"/>
      <c r="BE773" s="149"/>
      <c r="BF773" s="149"/>
      <c r="BG773" s="149"/>
      <c r="BH773" s="149"/>
      <c r="BI773" s="149"/>
      <c r="BJ773" s="149"/>
      <c r="BK773" s="149"/>
      <c r="BL773" s="149"/>
      <c r="BM773" s="149"/>
      <c r="BN773" s="149"/>
      <c r="BO773" s="149"/>
      <c r="BP773" s="149"/>
      <c r="BQ773" s="149"/>
      <c r="BR773" s="149"/>
    </row>
    <row r="774" ht="34" customHeight="1" spans="1:70">
      <c r="A774" s="208">
        <v>780</v>
      </c>
      <c r="B774" s="149"/>
      <c r="C774" s="149"/>
      <c r="D774" s="149"/>
      <c r="E774" s="149"/>
      <c r="F774" s="149"/>
      <c r="G774" s="149"/>
      <c r="H774" s="149"/>
      <c r="I774" s="149"/>
      <c r="J774" s="149"/>
      <c r="K774" s="149"/>
      <c r="L774" s="149"/>
      <c r="M774" s="149"/>
      <c r="N774" s="149"/>
      <c r="O774" s="149"/>
      <c r="P774" s="149"/>
      <c r="Q774" s="149"/>
      <c r="R774" s="149"/>
      <c r="S774" s="149"/>
      <c r="T774" s="149"/>
      <c r="U774" s="149"/>
      <c r="V774" s="149"/>
      <c r="W774" s="149"/>
      <c r="X774" s="149"/>
      <c r="Y774" s="149"/>
      <c r="Z774" s="149"/>
      <c r="AA774" s="149"/>
      <c r="AB774" s="149"/>
      <c r="AC774" s="149"/>
      <c r="AD774" s="149"/>
      <c r="AE774" s="149"/>
      <c r="AF774" s="149"/>
      <c r="AG774" s="149"/>
      <c r="AH774" s="149"/>
      <c r="AI774" s="149"/>
      <c r="AJ774" s="149"/>
      <c r="AK774" s="149"/>
      <c r="AL774" s="149"/>
      <c r="AM774" s="149"/>
      <c r="AN774" s="149"/>
      <c r="AO774" s="149"/>
      <c r="AP774" s="149"/>
      <c r="AR774" s="149"/>
      <c r="AS774" s="149"/>
      <c r="AT774" s="149"/>
      <c r="AU774" s="149"/>
      <c r="AV774" s="149"/>
      <c r="AW774" s="149"/>
      <c r="AX774" s="149"/>
      <c r="AY774" s="149"/>
      <c r="AZ774" s="149"/>
      <c r="BA774" s="149"/>
      <c r="BB774" s="149"/>
      <c r="BC774" s="149"/>
      <c r="BD774" s="149"/>
      <c r="BE774" s="149"/>
      <c r="BF774" s="149"/>
      <c r="BG774" s="149"/>
      <c r="BH774" s="149"/>
      <c r="BI774" s="149"/>
      <c r="BJ774" s="149"/>
      <c r="BK774" s="149"/>
      <c r="BL774" s="149"/>
      <c r="BM774" s="149"/>
      <c r="BN774" s="149"/>
      <c r="BO774" s="149"/>
      <c r="BP774" s="149"/>
      <c r="BQ774" s="149"/>
      <c r="BR774" s="149"/>
    </row>
    <row r="775" ht="34" customHeight="1" spans="1:70">
      <c r="A775" s="208">
        <v>781</v>
      </c>
      <c r="B775" s="149"/>
      <c r="C775" s="149"/>
      <c r="D775" s="149"/>
      <c r="E775" s="149"/>
      <c r="F775" s="149"/>
      <c r="G775" s="149"/>
      <c r="H775" s="149"/>
      <c r="I775" s="149"/>
      <c r="J775" s="149"/>
      <c r="K775" s="149"/>
      <c r="L775" s="149"/>
      <c r="M775" s="149"/>
      <c r="N775" s="149"/>
      <c r="O775" s="149"/>
      <c r="P775" s="149"/>
      <c r="Q775" s="149"/>
      <c r="R775" s="149"/>
      <c r="S775" s="149"/>
      <c r="T775" s="149"/>
      <c r="U775" s="149"/>
      <c r="V775" s="149"/>
      <c r="W775" s="149"/>
      <c r="X775" s="149"/>
      <c r="Y775" s="149"/>
      <c r="Z775" s="149"/>
      <c r="AA775" s="149"/>
      <c r="AB775" s="149"/>
      <c r="AC775" s="149"/>
      <c r="AD775" s="149"/>
      <c r="AE775" s="149"/>
      <c r="AF775" s="149"/>
      <c r="AG775" s="149"/>
      <c r="AH775" s="149"/>
      <c r="AI775" s="149"/>
      <c r="AJ775" s="149"/>
      <c r="AK775" s="149"/>
      <c r="AL775" s="149"/>
      <c r="AM775" s="149"/>
      <c r="AN775" s="149"/>
      <c r="AO775" s="149"/>
      <c r="AP775" s="149"/>
      <c r="AR775" s="149"/>
      <c r="AS775" s="149"/>
      <c r="AT775" s="149"/>
      <c r="AU775" s="149"/>
      <c r="AV775" s="149"/>
      <c r="AW775" s="149"/>
      <c r="AX775" s="149"/>
      <c r="AY775" s="149"/>
      <c r="AZ775" s="149"/>
      <c r="BA775" s="149"/>
      <c r="BB775" s="149"/>
      <c r="BC775" s="149"/>
      <c r="BD775" s="149"/>
      <c r="BE775" s="149"/>
      <c r="BF775" s="149"/>
      <c r="BG775" s="149"/>
      <c r="BH775" s="149"/>
      <c r="BI775" s="149"/>
      <c r="BJ775" s="149"/>
      <c r="BK775" s="149"/>
      <c r="BL775" s="149"/>
      <c r="BM775" s="149"/>
      <c r="BN775" s="149"/>
      <c r="BO775" s="149"/>
      <c r="BP775" s="149"/>
      <c r="BQ775" s="149"/>
      <c r="BR775" s="149"/>
    </row>
    <row r="776" ht="34" customHeight="1" spans="1:70">
      <c r="A776" s="208">
        <v>782</v>
      </c>
      <c r="B776" s="149"/>
      <c r="C776" s="149"/>
      <c r="D776" s="149"/>
      <c r="E776" s="149"/>
      <c r="F776" s="149"/>
      <c r="G776" s="149"/>
      <c r="H776" s="149"/>
      <c r="I776" s="149"/>
      <c r="J776" s="149"/>
      <c r="K776" s="149"/>
      <c r="L776" s="149"/>
      <c r="M776" s="149"/>
      <c r="N776" s="149"/>
      <c r="O776" s="149"/>
      <c r="P776" s="149"/>
      <c r="Q776" s="149"/>
      <c r="R776" s="149"/>
      <c r="S776" s="149"/>
      <c r="T776" s="149"/>
      <c r="U776" s="149"/>
      <c r="V776" s="149"/>
      <c r="W776" s="149"/>
      <c r="X776" s="149"/>
      <c r="Y776" s="149"/>
      <c r="Z776" s="149"/>
      <c r="AA776" s="149"/>
      <c r="AB776" s="149"/>
      <c r="AC776" s="149"/>
      <c r="AD776" s="149"/>
      <c r="AE776" s="149"/>
      <c r="AF776" s="149"/>
      <c r="AG776" s="149"/>
      <c r="AH776" s="149"/>
      <c r="AI776" s="149"/>
      <c r="AJ776" s="149"/>
      <c r="AK776" s="149"/>
      <c r="AL776" s="149"/>
      <c r="AM776" s="149"/>
      <c r="AN776" s="149"/>
      <c r="AO776" s="149"/>
      <c r="AP776" s="149"/>
      <c r="AR776" s="149"/>
      <c r="AS776" s="149"/>
      <c r="AT776" s="149"/>
      <c r="AU776" s="149"/>
      <c r="AV776" s="149"/>
      <c r="AW776" s="149"/>
      <c r="AX776" s="149"/>
      <c r="AY776" s="149"/>
      <c r="AZ776" s="149"/>
      <c r="BA776" s="149"/>
      <c r="BB776" s="149"/>
      <c r="BC776" s="149"/>
      <c r="BD776" s="149"/>
      <c r="BE776" s="149"/>
      <c r="BF776" s="149"/>
      <c r="BG776" s="149"/>
      <c r="BH776" s="149"/>
      <c r="BI776" s="149"/>
      <c r="BJ776" s="149"/>
      <c r="BK776" s="149"/>
      <c r="BL776" s="149"/>
      <c r="BM776" s="149"/>
      <c r="BN776" s="149"/>
      <c r="BO776" s="149"/>
      <c r="BP776" s="149"/>
      <c r="BQ776" s="149"/>
      <c r="BR776" s="149"/>
    </row>
    <row r="777" ht="34" customHeight="1" spans="1:70">
      <c r="A777" s="208">
        <v>783</v>
      </c>
      <c r="B777" s="149"/>
      <c r="C777" s="149"/>
      <c r="D777" s="149"/>
      <c r="E777" s="149"/>
      <c r="F777" s="149"/>
      <c r="G777" s="149"/>
      <c r="H777" s="149"/>
      <c r="I777" s="149"/>
      <c r="J777" s="149"/>
      <c r="K777" s="149"/>
      <c r="L777" s="149"/>
      <c r="M777" s="149"/>
      <c r="N777" s="149"/>
      <c r="O777" s="149"/>
      <c r="P777" s="149"/>
      <c r="Q777" s="149"/>
      <c r="R777" s="149"/>
      <c r="S777" s="149"/>
      <c r="T777" s="149"/>
      <c r="U777" s="149"/>
      <c r="V777" s="149"/>
      <c r="W777" s="149"/>
      <c r="X777" s="149"/>
      <c r="Y777" s="149"/>
      <c r="Z777" s="149"/>
      <c r="AA777" s="149"/>
      <c r="AB777" s="149"/>
      <c r="AC777" s="149"/>
      <c r="AD777" s="149"/>
      <c r="AE777" s="149"/>
      <c r="AF777" s="149"/>
      <c r="AG777" s="149"/>
      <c r="AH777" s="149"/>
      <c r="AI777" s="149"/>
      <c r="AJ777" s="149"/>
      <c r="AK777" s="149"/>
      <c r="AL777" s="149"/>
      <c r="AM777" s="149"/>
      <c r="AN777" s="149"/>
      <c r="AO777" s="149"/>
      <c r="AP777" s="149"/>
      <c r="AR777" s="149"/>
      <c r="AS777" s="149"/>
      <c r="AT777" s="149"/>
      <c r="AU777" s="149"/>
      <c r="AV777" s="149"/>
      <c r="AW777" s="149"/>
      <c r="AX777" s="149"/>
      <c r="AY777" s="149"/>
      <c r="AZ777" s="149"/>
      <c r="BA777" s="149"/>
      <c r="BB777" s="149"/>
      <c r="BC777" s="149"/>
      <c r="BD777" s="149"/>
      <c r="BE777" s="149"/>
      <c r="BF777" s="149"/>
      <c r="BG777" s="149"/>
      <c r="BH777" s="149"/>
      <c r="BI777" s="149"/>
      <c r="BJ777" s="149"/>
      <c r="BK777" s="149"/>
      <c r="BL777" s="149"/>
      <c r="BM777" s="149"/>
      <c r="BN777" s="149"/>
      <c r="BO777" s="149"/>
      <c r="BP777" s="149"/>
      <c r="BQ777" s="149"/>
      <c r="BR777" s="149"/>
    </row>
    <row r="778" ht="34" customHeight="1" spans="1:70">
      <c r="A778" s="208">
        <v>784</v>
      </c>
      <c r="B778" s="149"/>
      <c r="C778" s="149"/>
      <c r="D778" s="149"/>
      <c r="E778" s="149"/>
      <c r="F778" s="149"/>
      <c r="G778" s="149"/>
      <c r="H778" s="149"/>
      <c r="I778" s="149"/>
      <c r="J778" s="149"/>
      <c r="K778" s="149"/>
      <c r="L778" s="149"/>
      <c r="M778" s="149"/>
      <c r="N778" s="149"/>
      <c r="O778" s="149"/>
      <c r="P778" s="149"/>
      <c r="Q778" s="149"/>
      <c r="R778" s="149"/>
      <c r="S778" s="149"/>
      <c r="T778" s="149"/>
      <c r="U778" s="149"/>
      <c r="V778" s="149"/>
      <c r="W778" s="149"/>
      <c r="X778" s="149"/>
      <c r="Y778" s="149"/>
      <c r="Z778" s="149"/>
      <c r="AA778" s="149"/>
      <c r="AB778" s="149"/>
      <c r="AC778" s="149"/>
      <c r="AD778" s="149"/>
      <c r="AE778" s="149"/>
      <c r="AF778" s="149"/>
      <c r="AG778" s="149"/>
      <c r="AH778" s="149"/>
      <c r="AI778" s="149"/>
      <c r="AJ778" s="149"/>
      <c r="AK778" s="149"/>
      <c r="AL778" s="149"/>
      <c r="AM778" s="149"/>
      <c r="AN778" s="149"/>
      <c r="AO778" s="149"/>
      <c r="AP778" s="149"/>
      <c r="AR778" s="149"/>
      <c r="AS778" s="149"/>
      <c r="AT778" s="149"/>
      <c r="AU778" s="149"/>
      <c r="AV778" s="149"/>
      <c r="AW778" s="149"/>
      <c r="AX778" s="149"/>
      <c r="AY778" s="149"/>
      <c r="AZ778" s="149"/>
      <c r="BA778" s="149"/>
      <c r="BB778" s="149"/>
      <c r="BC778" s="149"/>
      <c r="BD778" s="149"/>
      <c r="BE778" s="149"/>
      <c r="BF778" s="149"/>
      <c r="BG778" s="149"/>
      <c r="BH778" s="149"/>
      <c r="BI778" s="149"/>
      <c r="BJ778" s="149"/>
      <c r="BK778" s="149"/>
      <c r="BL778" s="149"/>
      <c r="BM778" s="149"/>
      <c r="BN778" s="149"/>
      <c r="BO778" s="149"/>
      <c r="BP778" s="149"/>
      <c r="BQ778" s="149"/>
      <c r="BR778" s="149"/>
    </row>
    <row r="779" ht="34" customHeight="1" spans="1:70">
      <c r="A779" s="208">
        <v>785</v>
      </c>
      <c r="B779" s="149"/>
      <c r="C779" s="149"/>
      <c r="D779" s="149"/>
      <c r="E779" s="149"/>
      <c r="F779" s="149"/>
      <c r="G779" s="149"/>
      <c r="H779" s="149"/>
      <c r="I779" s="149"/>
      <c r="J779" s="149"/>
      <c r="K779" s="149"/>
      <c r="L779" s="149"/>
      <c r="M779" s="149"/>
      <c r="N779" s="149"/>
      <c r="O779" s="149"/>
      <c r="P779" s="149"/>
      <c r="Q779" s="149"/>
      <c r="R779" s="149"/>
      <c r="S779" s="149"/>
      <c r="T779" s="149"/>
      <c r="U779" s="149"/>
      <c r="V779" s="149"/>
      <c r="W779" s="149"/>
      <c r="X779" s="149"/>
      <c r="Y779" s="149"/>
      <c r="Z779" s="149"/>
      <c r="AA779" s="149"/>
      <c r="AB779" s="149"/>
      <c r="AC779" s="149"/>
      <c r="AD779" s="149"/>
      <c r="AE779" s="149"/>
      <c r="AF779" s="149"/>
      <c r="AG779" s="149"/>
      <c r="AH779" s="149"/>
      <c r="AI779" s="149"/>
      <c r="AJ779" s="149"/>
      <c r="AK779" s="149"/>
      <c r="AL779" s="149"/>
      <c r="AM779" s="149"/>
      <c r="AN779" s="149"/>
      <c r="AO779" s="149"/>
      <c r="AP779" s="149"/>
      <c r="AR779" s="149"/>
      <c r="AS779" s="149"/>
      <c r="AT779" s="149"/>
      <c r="AU779" s="149"/>
      <c r="AV779" s="149"/>
      <c r="AW779" s="149"/>
      <c r="AX779" s="149"/>
      <c r="AY779" s="149"/>
      <c r="AZ779" s="149"/>
      <c r="BA779" s="149"/>
      <c r="BB779" s="149"/>
      <c r="BC779" s="149"/>
      <c r="BD779" s="149"/>
      <c r="BE779" s="149"/>
      <c r="BF779" s="149"/>
      <c r="BG779" s="149"/>
      <c r="BH779" s="149"/>
      <c r="BI779" s="149"/>
      <c r="BJ779" s="149"/>
      <c r="BK779" s="149"/>
      <c r="BL779" s="149"/>
      <c r="BM779" s="149"/>
      <c r="BN779" s="149"/>
      <c r="BO779" s="149"/>
      <c r="BP779" s="149"/>
      <c r="BQ779" s="149"/>
      <c r="BR779" s="149"/>
    </row>
    <row r="780" ht="34" customHeight="1" spans="1:70">
      <c r="A780" s="208">
        <v>786</v>
      </c>
      <c r="B780" s="149"/>
      <c r="C780" s="149"/>
      <c r="D780" s="149"/>
      <c r="E780" s="149"/>
      <c r="F780" s="149"/>
      <c r="G780" s="149"/>
      <c r="H780" s="149"/>
      <c r="I780" s="149"/>
      <c r="J780" s="149"/>
      <c r="K780" s="149"/>
      <c r="L780" s="149"/>
      <c r="M780" s="149"/>
      <c r="N780" s="149"/>
      <c r="O780" s="149"/>
      <c r="P780" s="149"/>
      <c r="Q780" s="149"/>
      <c r="R780" s="149"/>
      <c r="S780" s="149"/>
      <c r="T780" s="149"/>
      <c r="U780" s="149"/>
      <c r="V780" s="149"/>
      <c r="W780" s="149"/>
      <c r="X780" s="149"/>
      <c r="Y780" s="149"/>
      <c r="Z780" s="149"/>
      <c r="AA780" s="149"/>
      <c r="AB780" s="149"/>
      <c r="AC780" s="149"/>
      <c r="AD780" s="149"/>
      <c r="AE780" s="149"/>
      <c r="AF780" s="149"/>
      <c r="AG780" s="149"/>
      <c r="AH780" s="149"/>
      <c r="AI780" s="149"/>
      <c r="AJ780" s="149"/>
      <c r="AK780" s="149"/>
      <c r="AL780" s="149"/>
      <c r="AM780" s="149"/>
      <c r="AN780" s="149"/>
      <c r="AO780" s="149"/>
      <c r="AP780" s="149"/>
      <c r="AR780" s="149"/>
      <c r="AS780" s="149"/>
      <c r="AT780" s="149"/>
      <c r="AU780" s="149"/>
      <c r="AV780" s="149"/>
      <c r="AW780" s="149"/>
      <c r="AX780" s="149"/>
      <c r="AY780" s="149"/>
      <c r="AZ780" s="149"/>
      <c r="BA780" s="149"/>
      <c r="BB780" s="149"/>
      <c r="BC780" s="149"/>
      <c r="BD780" s="149"/>
      <c r="BE780" s="149"/>
      <c r="BF780" s="149"/>
      <c r="BG780" s="149"/>
      <c r="BH780" s="149"/>
      <c r="BI780" s="149"/>
      <c r="BJ780" s="149"/>
      <c r="BK780" s="149"/>
      <c r="BL780" s="149"/>
      <c r="BM780" s="149"/>
      <c r="BN780" s="149"/>
      <c r="BO780" s="149"/>
      <c r="BP780" s="149"/>
      <c r="BQ780" s="149"/>
      <c r="BR780" s="149"/>
    </row>
    <row r="781" ht="34" customHeight="1" spans="1:70">
      <c r="A781" s="208">
        <v>787</v>
      </c>
      <c r="B781" s="149"/>
      <c r="C781" s="149"/>
      <c r="D781" s="149"/>
      <c r="E781" s="149"/>
      <c r="F781" s="149"/>
      <c r="G781" s="149"/>
      <c r="H781" s="149"/>
      <c r="I781" s="149"/>
      <c r="J781" s="149"/>
      <c r="K781" s="149"/>
      <c r="L781" s="149"/>
      <c r="M781" s="149"/>
      <c r="N781" s="149"/>
      <c r="O781" s="149"/>
      <c r="P781" s="149"/>
      <c r="Q781" s="149"/>
      <c r="R781" s="149"/>
      <c r="S781" s="149"/>
      <c r="T781" s="149"/>
      <c r="U781" s="149"/>
      <c r="V781" s="149"/>
      <c r="W781" s="149"/>
      <c r="X781" s="149"/>
      <c r="Y781" s="149"/>
      <c r="Z781" s="149"/>
      <c r="AA781" s="149"/>
      <c r="AB781" s="149"/>
      <c r="AC781" s="149"/>
      <c r="AD781" s="149"/>
      <c r="AE781" s="149"/>
      <c r="AF781" s="149"/>
      <c r="AG781" s="149"/>
      <c r="AH781" s="149"/>
      <c r="AI781" s="149"/>
      <c r="AJ781" s="149"/>
      <c r="AK781" s="149"/>
      <c r="AL781" s="149"/>
      <c r="AM781" s="149"/>
      <c r="AN781" s="149"/>
      <c r="AO781" s="149"/>
      <c r="AP781" s="149"/>
      <c r="AR781" s="149"/>
      <c r="AS781" s="149"/>
      <c r="AT781" s="149"/>
      <c r="AU781" s="149"/>
      <c r="AV781" s="149"/>
      <c r="AW781" s="149"/>
      <c r="AX781" s="149"/>
      <c r="AY781" s="149"/>
      <c r="AZ781" s="149"/>
      <c r="BA781" s="149"/>
      <c r="BB781" s="149"/>
      <c r="BC781" s="149"/>
      <c r="BD781" s="149"/>
      <c r="BE781" s="149"/>
      <c r="BF781" s="149"/>
      <c r="BG781" s="149"/>
      <c r="BH781" s="149"/>
      <c r="BI781" s="149"/>
      <c r="BJ781" s="149"/>
      <c r="BK781" s="149"/>
      <c r="BL781" s="149"/>
      <c r="BM781" s="149"/>
      <c r="BN781" s="149"/>
      <c r="BO781" s="149"/>
      <c r="BP781" s="149"/>
      <c r="BQ781" s="149"/>
      <c r="BR781" s="149"/>
    </row>
    <row r="782" ht="34" customHeight="1" spans="1:70">
      <c r="A782" s="208">
        <v>788</v>
      </c>
      <c r="B782" s="149"/>
      <c r="C782" s="149"/>
      <c r="D782" s="149"/>
      <c r="E782" s="149"/>
      <c r="F782" s="149"/>
      <c r="G782" s="149"/>
      <c r="H782" s="149"/>
      <c r="I782" s="149"/>
      <c r="J782" s="149"/>
      <c r="K782" s="149"/>
      <c r="L782" s="149"/>
      <c r="M782" s="149"/>
      <c r="N782" s="149"/>
      <c r="O782" s="149"/>
      <c r="P782" s="149"/>
      <c r="Q782" s="149"/>
      <c r="R782" s="149"/>
      <c r="S782" s="149"/>
      <c r="T782" s="149"/>
      <c r="U782" s="149"/>
      <c r="V782" s="149"/>
      <c r="W782" s="149"/>
      <c r="X782" s="149"/>
      <c r="Y782" s="149"/>
      <c r="Z782" s="149"/>
      <c r="AA782" s="149"/>
      <c r="AB782" s="149"/>
      <c r="AC782" s="149"/>
      <c r="AD782" s="149"/>
      <c r="AE782" s="149"/>
      <c r="AF782" s="149"/>
      <c r="AG782" s="149"/>
      <c r="AH782" s="149"/>
      <c r="AI782" s="149"/>
      <c r="AJ782" s="149"/>
      <c r="AK782" s="149"/>
      <c r="AL782" s="149"/>
      <c r="AM782" s="149"/>
      <c r="AN782" s="149"/>
      <c r="AO782" s="149"/>
      <c r="AP782" s="149"/>
      <c r="AR782" s="149"/>
      <c r="AS782" s="149"/>
      <c r="AT782" s="149"/>
      <c r="AU782" s="149"/>
      <c r="AV782" s="149"/>
      <c r="AW782" s="149"/>
      <c r="AX782" s="149"/>
      <c r="AY782" s="149"/>
      <c r="AZ782" s="149"/>
      <c r="BA782" s="149"/>
      <c r="BB782" s="149"/>
      <c r="BC782" s="149"/>
      <c r="BD782" s="149"/>
      <c r="BE782" s="149"/>
      <c r="BF782" s="149"/>
      <c r="BG782" s="149"/>
      <c r="BH782" s="149"/>
      <c r="BI782" s="149"/>
      <c r="BJ782" s="149"/>
      <c r="BK782" s="149"/>
      <c r="BL782" s="149"/>
      <c r="BM782" s="149"/>
      <c r="BN782" s="149"/>
      <c r="BO782" s="149"/>
      <c r="BP782" s="149"/>
      <c r="BQ782" s="149"/>
      <c r="BR782" s="149"/>
    </row>
    <row r="783" ht="34" customHeight="1" spans="1:70">
      <c r="A783" s="208">
        <v>789</v>
      </c>
      <c r="B783" s="149"/>
      <c r="C783" s="149"/>
      <c r="D783" s="149"/>
      <c r="E783" s="149"/>
      <c r="F783" s="149"/>
      <c r="G783" s="149"/>
      <c r="H783" s="149"/>
      <c r="I783" s="149"/>
      <c r="J783" s="149"/>
      <c r="K783" s="149"/>
      <c r="L783" s="149"/>
      <c r="M783" s="149"/>
      <c r="N783" s="149"/>
      <c r="O783" s="149"/>
      <c r="P783" s="149"/>
      <c r="Q783" s="149"/>
      <c r="R783" s="149"/>
      <c r="S783" s="149"/>
      <c r="T783" s="149"/>
      <c r="U783" s="149"/>
      <c r="V783" s="149"/>
      <c r="W783" s="149"/>
      <c r="X783" s="149"/>
      <c r="Y783" s="149"/>
      <c r="Z783" s="149"/>
      <c r="AA783" s="149"/>
      <c r="AB783" s="149"/>
      <c r="AC783" s="149"/>
      <c r="AD783" s="149"/>
      <c r="AE783" s="149"/>
      <c r="AF783" s="149"/>
      <c r="AG783" s="149"/>
      <c r="AH783" s="149"/>
      <c r="AI783" s="149"/>
      <c r="AJ783" s="149"/>
      <c r="AK783" s="149"/>
      <c r="AL783" s="149"/>
      <c r="AM783" s="149"/>
      <c r="AN783" s="149"/>
      <c r="AO783" s="149"/>
      <c r="AP783" s="149"/>
      <c r="AR783" s="149"/>
      <c r="AS783" s="149"/>
      <c r="AT783" s="149"/>
      <c r="AU783" s="149"/>
      <c r="AV783" s="149"/>
      <c r="AW783" s="149"/>
      <c r="AX783" s="149"/>
      <c r="AY783" s="149"/>
      <c r="AZ783" s="149"/>
      <c r="BA783" s="149"/>
      <c r="BB783" s="149"/>
      <c r="BC783" s="149"/>
      <c r="BD783" s="149"/>
      <c r="BE783" s="149"/>
      <c r="BF783" s="149"/>
      <c r="BG783" s="149"/>
      <c r="BH783" s="149"/>
      <c r="BI783" s="149"/>
      <c r="BJ783" s="149"/>
      <c r="BK783" s="149"/>
      <c r="BL783" s="149"/>
      <c r="BM783" s="149"/>
      <c r="BN783" s="149"/>
      <c r="BO783" s="149"/>
      <c r="BP783" s="149"/>
      <c r="BQ783" s="149"/>
      <c r="BR783" s="149"/>
    </row>
    <row r="784" ht="34" customHeight="1" spans="1:70">
      <c r="A784" s="208">
        <v>790</v>
      </c>
      <c r="B784" s="149"/>
      <c r="C784" s="149"/>
      <c r="D784" s="149"/>
      <c r="E784" s="149"/>
      <c r="F784" s="149"/>
      <c r="G784" s="149"/>
      <c r="H784" s="149"/>
      <c r="I784" s="149"/>
      <c r="J784" s="149"/>
      <c r="K784" s="149"/>
      <c r="L784" s="149"/>
      <c r="M784" s="149"/>
      <c r="N784" s="149"/>
      <c r="O784" s="149"/>
      <c r="P784" s="149"/>
      <c r="Q784" s="149"/>
      <c r="R784" s="149"/>
      <c r="S784" s="149"/>
      <c r="T784" s="149"/>
      <c r="U784" s="149"/>
      <c r="V784" s="149"/>
      <c r="W784" s="149"/>
      <c r="X784" s="149"/>
      <c r="Y784" s="149"/>
      <c r="Z784" s="149"/>
      <c r="AA784" s="149"/>
      <c r="AB784" s="149"/>
      <c r="AC784" s="149"/>
      <c r="AD784" s="149"/>
      <c r="AE784" s="149"/>
      <c r="AF784" s="149"/>
      <c r="AG784" s="149"/>
      <c r="AH784" s="149"/>
      <c r="AI784" s="149"/>
      <c r="AJ784" s="149"/>
      <c r="AK784" s="149"/>
      <c r="AL784" s="149"/>
      <c r="AM784" s="149"/>
      <c r="AN784" s="149"/>
      <c r="AO784" s="149"/>
      <c r="AP784" s="149"/>
      <c r="AR784" s="149"/>
      <c r="AS784" s="149"/>
      <c r="AT784" s="149"/>
      <c r="AU784" s="149"/>
      <c r="AV784" s="149"/>
      <c r="AW784" s="149"/>
      <c r="AX784" s="149"/>
      <c r="AY784" s="149"/>
      <c r="AZ784" s="149"/>
      <c r="BA784" s="149"/>
      <c r="BB784" s="149"/>
      <c r="BC784" s="149"/>
      <c r="BD784" s="149"/>
      <c r="BE784" s="149"/>
      <c r="BF784" s="149"/>
      <c r="BG784" s="149"/>
      <c r="BH784" s="149"/>
      <c r="BI784" s="149"/>
      <c r="BJ784" s="149"/>
      <c r="BK784" s="149"/>
      <c r="BL784" s="149"/>
      <c r="BM784" s="149"/>
      <c r="BN784" s="149"/>
      <c r="BO784" s="149"/>
      <c r="BP784" s="149"/>
      <c r="BQ784" s="149"/>
      <c r="BR784" s="149"/>
    </row>
    <row r="785" ht="34" customHeight="1" spans="1:70">
      <c r="A785" s="208">
        <v>791</v>
      </c>
      <c r="B785" s="149"/>
      <c r="C785" s="149"/>
      <c r="D785" s="149"/>
      <c r="E785" s="149"/>
      <c r="F785" s="149"/>
      <c r="G785" s="149"/>
      <c r="H785" s="149"/>
      <c r="I785" s="149"/>
      <c r="J785" s="149"/>
      <c r="K785" s="149"/>
      <c r="L785" s="149"/>
      <c r="M785" s="149"/>
      <c r="N785" s="149"/>
      <c r="O785" s="149"/>
      <c r="P785" s="149"/>
      <c r="Q785" s="149"/>
      <c r="R785" s="149"/>
      <c r="S785" s="149"/>
      <c r="T785" s="149"/>
      <c r="U785" s="149"/>
      <c r="V785" s="149"/>
      <c r="W785" s="149"/>
      <c r="X785" s="149"/>
      <c r="Y785" s="149"/>
      <c r="Z785" s="149"/>
      <c r="AA785" s="149"/>
      <c r="AB785" s="149"/>
      <c r="AC785" s="149"/>
      <c r="AD785" s="149"/>
      <c r="AE785" s="149"/>
      <c r="AF785" s="149"/>
      <c r="AG785" s="149"/>
      <c r="AH785" s="149"/>
      <c r="AI785" s="149"/>
      <c r="AJ785" s="149"/>
      <c r="AK785" s="149"/>
      <c r="AL785" s="149"/>
      <c r="AM785" s="149"/>
      <c r="AN785" s="149"/>
      <c r="AO785" s="149"/>
      <c r="AP785" s="149"/>
      <c r="AR785" s="149"/>
      <c r="AS785" s="149"/>
      <c r="AT785" s="149"/>
      <c r="AU785" s="149"/>
      <c r="AV785" s="149"/>
      <c r="AW785" s="149"/>
      <c r="AX785" s="149"/>
      <c r="AY785" s="149"/>
      <c r="AZ785" s="149"/>
      <c r="BA785" s="149"/>
      <c r="BB785" s="149"/>
      <c r="BC785" s="149"/>
      <c r="BD785" s="149"/>
      <c r="BE785" s="149"/>
      <c r="BF785" s="149"/>
      <c r="BG785" s="149"/>
      <c r="BH785" s="149"/>
      <c r="BI785" s="149"/>
      <c r="BJ785" s="149"/>
      <c r="BK785" s="149"/>
      <c r="BL785" s="149"/>
      <c r="BM785" s="149"/>
      <c r="BN785" s="149"/>
      <c r="BO785" s="149"/>
      <c r="BP785" s="149"/>
      <c r="BQ785" s="149"/>
      <c r="BR785" s="149"/>
    </row>
    <row r="786" ht="34" customHeight="1" spans="1:70">
      <c r="A786" s="208">
        <v>792</v>
      </c>
      <c r="B786" s="149"/>
      <c r="C786" s="149"/>
      <c r="D786" s="149"/>
      <c r="E786" s="149"/>
      <c r="F786" s="149"/>
      <c r="G786" s="149"/>
      <c r="H786" s="149"/>
      <c r="I786" s="149"/>
      <c r="J786" s="149"/>
      <c r="K786" s="149"/>
      <c r="L786" s="149"/>
      <c r="M786" s="149"/>
      <c r="N786" s="149"/>
      <c r="O786" s="149"/>
      <c r="P786" s="149"/>
      <c r="Q786" s="149"/>
      <c r="R786" s="149"/>
      <c r="S786" s="149"/>
      <c r="T786" s="149"/>
      <c r="U786" s="149"/>
      <c r="V786" s="149"/>
      <c r="W786" s="149"/>
      <c r="X786" s="149"/>
      <c r="Y786" s="149"/>
      <c r="Z786" s="149"/>
      <c r="AA786" s="149"/>
      <c r="AB786" s="149"/>
      <c r="AC786" s="149"/>
      <c r="AD786" s="149"/>
      <c r="AE786" s="149"/>
      <c r="AF786" s="149"/>
      <c r="AG786" s="149"/>
      <c r="AH786" s="149"/>
      <c r="AI786" s="149"/>
      <c r="AJ786" s="149"/>
      <c r="AK786" s="149"/>
      <c r="AL786" s="149"/>
      <c r="AM786" s="149"/>
      <c r="AN786" s="149"/>
      <c r="AO786" s="149"/>
      <c r="AP786" s="149"/>
      <c r="AR786" s="149"/>
      <c r="AS786" s="149"/>
      <c r="AT786" s="149"/>
      <c r="AU786" s="149"/>
      <c r="AV786" s="149"/>
      <c r="AW786" s="149"/>
      <c r="AX786" s="149"/>
      <c r="AY786" s="149"/>
      <c r="AZ786" s="149"/>
      <c r="BA786" s="149"/>
      <c r="BB786" s="149"/>
      <c r="BC786" s="149"/>
      <c r="BD786" s="149"/>
      <c r="BE786" s="149"/>
      <c r="BF786" s="149"/>
      <c r="BG786" s="149"/>
      <c r="BH786" s="149"/>
      <c r="BI786" s="149"/>
      <c r="BJ786" s="149"/>
      <c r="BK786" s="149"/>
      <c r="BL786" s="149"/>
      <c r="BM786" s="149"/>
      <c r="BN786" s="149"/>
      <c r="BO786" s="149"/>
      <c r="BP786" s="149"/>
      <c r="BQ786" s="149"/>
      <c r="BR786" s="149"/>
    </row>
    <row r="787" ht="34" customHeight="1" spans="1:70">
      <c r="A787" s="208">
        <v>793</v>
      </c>
      <c r="B787" s="149"/>
      <c r="C787" s="149"/>
      <c r="D787" s="149"/>
      <c r="E787" s="149"/>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ht="34" customHeight="1" spans="1:70">
      <c r="A788" s="208">
        <v>794</v>
      </c>
      <c r="B788" s="149"/>
      <c r="C788" s="149"/>
      <c r="D788" s="149"/>
      <c r="E788" s="149"/>
      <c r="F788" s="149"/>
      <c r="G788" s="149"/>
      <c r="H788" s="149"/>
      <c r="I788" s="149"/>
      <c r="J788" s="149"/>
      <c r="K788" s="149"/>
      <c r="L788" s="149"/>
      <c r="M788" s="149"/>
      <c r="N788" s="149"/>
      <c r="O788" s="149"/>
      <c r="P788" s="149"/>
      <c r="Q788" s="149"/>
      <c r="R788" s="149"/>
      <c r="S788" s="149"/>
      <c r="T788" s="149"/>
      <c r="U788" s="149"/>
      <c r="V788" s="149"/>
      <c r="W788" s="149"/>
      <c r="X788" s="149"/>
      <c r="Y788" s="149"/>
      <c r="Z788" s="149"/>
      <c r="AA788" s="149"/>
      <c r="AB788" s="149"/>
      <c r="AC788" s="149"/>
      <c r="AD788" s="149"/>
      <c r="AE788" s="149"/>
      <c r="AF788" s="149"/>
      <c r="AG788" s="149"/>
      <c r="AH788" s="149"/>
      <c r="AI788" s="149"/>
      <c r="AJ788" s="149"/>
      <c r="AK788" s="149"/>
      <c r="AL788" s="149"/>
      <c r="AM788" s="149"/>
      <c r="AN788" s="149"/>
      <c r="AO788" s="149"/>
      <c r="AP788" s="149"/>
      <c r="AR788" s="149"/>
      <c r="AS788" s="149"/>
      <c r="AT788" s="149"/>
      <c r="AU788" s="149"/>
      <c r="AV788" s="149"/>
      <c r="AW788" s="149"/>
      <c r="AX788" s="149"/>
      <c r="AY788" s="149"/>
      <c r="AZ788" s="149"/>
      <c r="BA788" s="149"/>
      <c r="BB788" s="149"/>
      <c r="BC788" s="149"/>
      <c r="BD788" s="149"/>
      <c r="BE788" s="149"/>
      <c r="BF788" s="149"/>
      <c r="BG788" s="149"/>
      <c r="BH788" s="149"/>
      <c r="BI788" s="149"/>
      <c r="BJ788" s="149"/>
      <c r="BK788" s="149"/>
      <c r="BL788" s="149"/>
      <c r="BM788" s="149"/>
      <c r="BN788" s="149"/>
      <c r="BO788" s="149"/>
      <c r="BP788" s="149"/>
      <c r="BQ788" s="149"/>
      <c r="BR788" s="149"/>
    </row>
    <row r="789" ht="34" customHeight="1" spans="1:70">
      <c r="A789" s="208">
        <v>795</v>
      </c>
      <c r="B789" s="149"/>
      <c r="C789" s="149"/>
      <c r="D789" s="149"/>
      <c r="E789" s="149"/>
      <c r="F789" s="149"/>
      <c r="G789" s="149"/>
      <c r="H789" s="149"/>
      <c r="I789" s="149"/>
      <c r="J789" s="149"/>
      <c r="K789" s="149"/>
      <c r="L789" s="149"/>
      <c r="M789" s="149"/>
      <c r="N789" s="149"/>
      <c r="O789" s="149"/>
      <c r="P789" s="149"/>
      <c r="Q789" s="149"/>
      <c r="R789" s="149"/>
      <c r="S789" s="149"/>
      <c r="T789" s="149"/>
      <c r="U789" s="149"/>
      <c r="V789" s="149"/>
      <c r="W789" s="149"/>
      <c r="X789" s="149"/>
      <c r="Y789" s="149"/>
      <c r="Z789" s="149"/>
      <c r="AA789" s="149"/>
      <c r="AB789" s="149"/>
      <c r="AC789" s="149"/>
      <c r="AD789" s="149"/>
      <c r="AE789" s="149"/>
      <c r="AF789" s="149"/>
      <c r="AG789" s="149"/>
      <c r="AH789" s="149"/>
      <c r="AI789" s="149"/>
      <c r="AJ789" s="149"/>
      <c r="AK789" s="149"/>
      <c r="AL789" s="149"/>
      <c r="AM789" s="149"/>
      <c r="AN789" s="149"/>
      <c r="AO789" s="149"/>
      <c r="AP789" s="149"/>
      <c r="AR789" s="149"/>
      <c r="AS789" s="149"/>
      <c r="AT789" s="149"/>
      <c r="AU789" s="149"/>
      <c r="AV789" s="149"/>
      <c r="AW789" s="149"/>
      <c r="AX789" s="149"/>
      <c r="AY789" s="149"/>
      <c r="AZ789" s="149"/>
      <c r="BA789" s="149"/>
      <c r="BB789" s="149"/>
      <c r="BC789" s="149"/>
      <c r="BD789" s="149"/>
      <c r="BE789" s="149"/>
      <c r="BF789" s="149"/>
      <c r="BG789" s="149"/>
      <c r="BH789" s="149"/>
      <c r="BI789" s="149"/>
      <c r="BJ789" s="149"/>
      <c r="BK789" s="149"/>
      <c r="BL789" s="149"/>
      <c r="BM789" s="149"/>
      <c r="BN789" s="149"/>
      <c r="BO789" s="149"/>
      <c r="BP789" s="149"/>
      <c r="BQ789" s="149"/>
      <c r="BR789" s="149"/>
    </row>
    <row r="790" ht="34" customHeight="1" spans="1:70">
      <c r="A790" s="208">
        <v>796</v>
      </c>
      <c r="B790" s="149"/>
      <c r="C790" s="149"/>
      <c r="D790" s="149"/>
      <c r="E790" s="149"/>
      <c r="F790" s="149"/>
      <c r="G790" s="149"/>
      <c r="H790" s="149"/>
      <c r="I790" s="149"/>
      <c r="J790" s="149"/>
      <c r="K790" s="149"/>
      <c r="L790" s="149"/>
      <c r="M790" s="149"/>
      <c r="N790" s="149"/>
      <c r="O790" s="149"/>
      <c r="P790" s="149"/>
      <c r="Q790" s="149"/>
      <c r="R790" s="149"/>
      <c r="S790" s="149"/>
      <c r="T790" s="149"/>
      <c r="U790" s="149"/>
      <c r="V790" s="149"/>
      <c r="W790" s="149"/>
      <c r="X790" s="149"/>
      <c r="Y790" s="149"/>
      <c r="Z790" s="149"/>
      <c r="AA790" s="149"/>
      <c r="AB790" s="149"/>
      <c r="AC790" s="149"/>
      <c r="AD790" s="149"/>
      <c r="AE790" s="149"/>
      <c r="AF790" s="149"/>
      <c r="AG790" s="149"/>
      <c r="AH790" s="149"/>
      <c r="AI790" s="149"/>
      <c r="AJ790" s="149"/>
      <c r="AK790" s="149"/>
      <c r="AL790" s="149"/>
      <c r="AM790" s="149"/>
      <c r="AN790" s="149"/>
      <c r="AO790" s="149"/>
      <c r="AP790" s="149"/>
      <c r="AR790" s="149"/>
      <c r="AS790" s="149"/>
      <c r="AT790" s="149"/>
      <c r="AU790" s="149"/>
      <c r="AV790" s="149"/>
      <c r="AW790" s="149"/>
      <c r="AX790" s="149"/>
      <c r="AY790" s="149"/>
      <c r="AZ790" s="149"/>
      <c r="BA790" s="149"/>
      <c r="BB790" s="149"/>
      <c r="BC790" s="149"/>
      <c r="BD790" s="149"/>
      <c r="BE790" s="149"/>
      <c r="BF790" s="149"/>
      <c r="BG790" s="149"/>
      <c r="BH790" s="149"/>
      <c r="BI790" s="149"/>
      <c r="BJ790" s="149"/>
      <c r="BK790" s="149"/>
      <c r="BL790" s="149"/>
      <c r="BM790" s="149"/>
      <c r="BN790" s="149"/>
      <c r="BO790" s="149"/>
      <c r="BP790" s="149"/>
      <c r="BQ790" s="149"/>
      <c r="BR790" s="149"/>
    </row>
    <row r="791" ht="34" customHeight="1" spans="1:70">
      <c r="A791" s="208">
        <v>797</v>
      </c>
      <c r="B791" s="149"/>
      <c r="C791" s="149"/>
      <c r="D791" s="149"/>
      <c r="E791" s="149"/>
      <c r="F791" s="149"/>
      <c r="G791" s="149"/>
      <c r="H791" s="149"/>
      <c r="I791" s="149"/>
      <c r="J791" s="149"/>
      <c r="K791" s="149"/>
      <c r="L791" s="149"/>
      <c r="M791" s="149"/>
      <c r="N791" s="149"/>
      <c r="O791" s="149"/>
      <c r="P791" s="149"/>
      <c r="Q791" s="149"/>
      <c r="R791" s="149"/>
      <c r="S791" s="149"/>
      <c r="T791" s="149"/>
      <c r="U791" s="149"/>
      <c r="V791" s="149"/>
      <c r="W791" s="149"/>
      <c r="X791" s="149"/>
      <c r="Y791" s="149"/>
      <c r="Z791" s="149"/>
      <c r="AA791" s="149"/>
      <c r="AB791" s="149"/>
      <c r="AC791" s="149"/>
      <c r="AD791" s="149"/>
      <c r="AE791" s="149"/>
      <c r="AF791" s="149"/>
      <c r="AG791" s="149"/>
      <c r="AH791" s="149"/>
      <c r="AI791" s="149"/>
      <c r="AJ791" s="149"/>
      <c r="AK791" s="149"/>
      <c r="AL791" s="149"/>
      <c r="AM791" s="149"/>
      <c r="AN791" s="149"/>
      <c r="AO791" s="149"/>
      <c r="AP791" s="149"/>
      <c r="AR791" s="149"/>
      <c r="AS791" s="149"/>
      <c r="AT791" s="149"/>
      <c r="AU791" s="149"/>
      <c r="AV791" s="149"/>
      <c r="AW791" s="149"/>
      <c r="AX791" s="149"/>
      <c r="AY791" s="149"/>
      <c r="AZ791" s="149"/>
      <c r="BA791" s="149"/>
      <c r="BB791" s="149"/>
      <c r="BC791" s="149"/>
      <c r="BD791" s="149"/>
      <c r="BE791" s="149"/>
      <c r="BF791" s="149"/>
      <c r="BG791" s="149"/>
      <c r="BH791" s="149"/>
      <c r="BI791" s="149"/>
      <c r="BJ791" s="149"/>
      <c r="BK791" s="149"/>
      <c r="BL791" s="149"/>
      <c r="BM791" s="149"/>
      <c r="BN791" s="149"/>
      <c r="BO791" s="149"/>
      <c r="BP791" s="149"/>
      <c r="BQ791" s="149"/>
      <c r="BR791" s="149"/>
    </row>
    <row r="792" ht="34" customHeight="1" spans="1:70">
      <c r="A792" s="208">
        <v>798</v>
      </c>
      <c r="B792" s="149"/>
      <c r="C792" s="149"/>
      <c r="D792" s="149"/>
      <c r="E792" s="149"/>
      <c r="F792" s="149"/>
      <c r="G792" s="149"/>
      <c r="H792" s="149"/>
      <c r="I792" s="149"/>
      <c r="J792" s="149"/>
      <c r="K792" s="149"/>
      <c r="L792" s="149"/>
      <c r="M792" s="149"/>
      <c r="N792" s="149"/>
      <c r="O792" s="149"/>
      <c r="P792" s="149"/>
      <c r="Q792" s="149"/>
      <c r="R792" s="149"/>
      <c r="S792" s="149"/>
      <c r="T792" s="149"/>
      <c r="U792" s="149"/>
      <c r="V792" s="149"/>
      <c r="W792" s="149"/>
      <c r="X792" s="149"/>
      <c r="Y792" s="149"/>
      <c r="Z792" s="149"/>
      <c r="AA792" s="149"/>
      <c r="AB792" s="149"/>
      <c r="AC792" s="149"/>
      <c r="AD792" s="149"/>
      <c r="AE792" s="149"/>
      <c r="AF792" s="149"/>
      <c r="AG792" s="149"/>
      <c r="AH792" s="149"/>
      <c r="AI792" s="149"/>
      <c r="AJ792" s="149"/>
      <c r="AK792" s="149"/>
      <c r="AL792" s="149"/>
      <c r="AM792" s="149"/>
      <c r="AN792" s="149"/>
      <c r="AO792" s="149"/>
      <c r="AP792" s="149"/>
      <c r="AR792" s="149"/>
      <c r="AS792" s="149"/>
      <c r="AT792" s="149"/>
      <c r="AU792" s="149"/>
      <c r="AV792" s="149"/>
      <c r="AW792" s="149"/>
      <c r="AX792" s="149"/>
      <c r="AY792" s="149"/>
      <c r="AZ792" s="149"/>
      <c r="BA792" s="149"/>
      <c r="BB792" s="149"/>
      <c r="BC792" s="149"/>
      <c r="BD792" s="149"/>
      <c r="BE792" s="149"/>
      <c r="BF792" s="149"/>
      <c r="BG792" s="149"/>
      <c r="BH792" s="149"/>
      <c r="BI792" s="149"/>
      <c r="BJ792" s="149"/>
      <c r="BK792" s="149"/>
      <c r="BL792" s="149"/>
      <c r="BM792" s="149"/>
      <c r="BN792" s="149"/>
      <c r="BO792" s="149"/>
      <c r="BP792" s="149"/>
      <c r="BQ792" s="149"/>
      <c r="BR792" s="149"/>
    </row>
    <row r="793" ht="34" customHeight="1" spans="1:70">
      <c r="A793" s="208">
        <v>799</v>
      </c>
      <c r="B793" s="149"/>
      <c r="C793" s="149"/>
      <c r="D793" s="149"/>
      <c r="E793" s="149"/>
      <c r="F793" s="149"/>
      <c r="G793" s="149"/>
      <c r="H793" s="149"/>
      <c r="I793" s="149"/>
      <c r="J793" s="149"/>
      <c r="K793" s="149"/>
      <c r="L793" s="149"/>
      <c r="M793" s="149"/>
      <c r="N793" s="149"/>
      <c r="O793" s="149"/>
      <c r="P793" s="149"/>
      <c r="Q793" s="149"/>
      <c r="R793" s="149"/>
      <c r="S793" s="149"/>
      <c r="T793" s="149"/>
      <c r="U793" s="149"/>
      <c r="V793" s="149"/>
      <c r="W793" s="149"/>
      <c r="X793" s="149"/>
      <c r="Y793" s="149"/>
      <c r="Z793" s="149"/>
      <c r="AA793" s="149"/>
      <c r="AB793" s="149"/>
      <c r="AC793" s="149"/>
      <c r="AD793" s="149"/>
      <c r="AE793" s="149"/>
      <c r="AF793" s="149"/>
      <c r="AG793" s="149"/>
      <c r="AH793" s="149"/>
      <c r="AI793" s="149"/>
      <c r="AJ793" s="149"/>
      <c r="AK793" s="149"/>
      <c r="AL793" s="149"/>
      <c r="AM793" s="149"/>
      <c r="AN793" s="149"/>
      <c r="AO793" s="149"/>
      <c r="AP793" s="149"/>
      <c r="AR793" s="149"/>
      <c r="AS793" s="149"/>
      <c r="AT793" s="149"/>
      <c r="AU793" s="149"/>
      <c r="AV793" s="149"/>
      <c r="AW793" s="149"/>
      <c r="AX793" s="149"/>
      <c r="AY793" s="149"/>
      <c r="AZ793" s="149"/>
      <c r="BA793" s="149"/>
      <c r="BB793" s="149"/>
      <c r="BC793" s="149"/>
      <c r="BD793" s="149"/>
      <c r="BE793" s="149"/>
      <c r="BF793" s="149"/>
      <c r="BG793" s="149"/>
      <c r="BH793" s="149"/>
      <c r="BI793" s="149"/>
      <c r="BJ793" s="149"/>
      <c r="BK793" s="149"/>
      <c r="BL793" s="149"/>
      <c r="BM793" s="149"/>
      <c r="BN793" s="149"/>
      <c r="BO793" s="149"/>
      <c r="BP793" s="149"/>
      <c r="BQ793" s="149"/>
      <c r="BR793" s="149"/>
    </row>
    <row r="794" ht="34" customHeight="1" spans="1:70">
      <c r="A794" s="208">
        <v>800</v>
      </c>
      <c r="B794" s="149"/>
      <c r="C794" s="149"/>
      <c r="D794" s="149"/>
      <c r="E794" s="149"/>
      <c r="F794" s="149"/>
      <c r="G794" s="149"/>
      <c r="H794" s="149"/>
      <c r="I794" s="149"/>
      <c r="J794" s="149"/>
      <c r="K794" s="149"/>
      <c r="L794" s="149"/>
      <c r="M794" s="149"/>
      <c r="N794" s="149"/>
      <c r="O794" s="149"/>
      <c r="P794" s="149"/>
      <c r="Q794" s="149"/>
      <c r="R794" s="149"/>
      <c r="S794" s="149"/>
      <c r="T794" s="149"/>
      <c r="U794" s="149"/>
      <c r="V794" s="149"/>
      <c r="W794" s="149"/>
      <c r="X794" s="149"/>
      <c r="Y794" s="149"/>
      <c r="Z794" s="149"/>
      <c r="AA794" s="149"/>
      <c r="AB794" s="149"/>
      <c r="AC794" s="149"/>
      <c r="AD794" s="149"/>
      <c r="AE794" s="149"/>
      <c r="AF794" s="149"/>
      <c r="AG794" s="149"/>
      <c r="AH794" s="149"/>
      <c r="AI794" s="149"/>
      <c r="AJ794" s="149"/>
      <c r="AK794" s="149"/>
      <c r="AL794" s="149"/>
      <c r="AM794" s="149"/>
      <c r="AN794" s="149"/>
      <c r="AO794" s="149"/>
      <c r="AP794" s="149"/>
      <c r="AR794" s="149"/>
      <c r="AS794" s="149"/>
      <c r="AT794" s="149"/>
      <c r="AU794" s="149"/>
      <c r="AV794" s="149"/>
      <c r="AW794" s="149"/>
      <c r="AX794" s="149"/>
      <c r="AY794" s="149"/>
      <c r="AZ794" s="149"/>
      <c r="BA794" s="149"/>
      <c r="BB794" s="149"/>
      <c r="BC794" s="149"/>
      <c r="BD794" s="149"/>
      <c r="BE794" s="149"/>
      <c r="BF794" s="149"/>
      <c r="BG794" s="149"/>
      <c r="BH794" s="149"/>
      <c r="BI794" s="149"/>
      <c r="BJ794" s="149"/>
      <c r="BK794" s="149"/>
      <c r="BL794" s="149"/>
      <c r="BM794" s="149"/>
      <c r="BN794" s="149"/>
      <c r="BO794" s="149"/>
      <c r="BP794" s="149"/>
      <c r="BQ794" s="149"/>
      <c r="BR794" s="149"/>
    </row>
    <row r="795" ht="34" customHeight="1" spans="1:70">
      <c r="A795" s="208">
        <v>801</v>
      </c>
      <c r="B795" s="149"/>
      <c r="C795" s="149"/>
      <c r="D795" s="149"/>
      <c r="E795" s="149"/>
      <c r="F795" s="149"/>
      <c r="G795" s="149"/>
      <c r="H795" s="149"/>
      <c r="I795" s="149"/>
      <c r="J795" s="149"/>
      <c r="K795" s="149"/>
      <c r="L795" s="149"/>
      <c r="M795" s="149"/>
      <c r="N795" s="149"/>
      <c r="O795" s="149"/>
      <c r="P795" s="149"/>
      <c r="Q795" s="149"/>
      <c r="R795" s="149"/>
      <c r="S795" s="149"/>
      <c r="T795" s="149"/>
      <c r="U795" s="149"/>
      <c r="V795" s="149"/>
      <c r="W795" s="149"/>
      <c r="X795" s="149"/>
      <c r="Y795" s="149"/>
      <c r="Z795" s="149"/>
      <c r="AA795" s="149"/>
      <c r="AB795" s="149"/>
      <c r="AC795" s="149"/>
      <c r="AD795" s="149"/>
      <c r="AE795" s="149"/>
      <c r="AF795" s="149"/>
      <c r="AG795" s="149"/>
      <c r="AH795" s="149"/>
      <c r="AI795" s="149"/>
      <c r="AJ795" s="149"/>
      <c r="AK795" s="149"/>
      <c r="AL795" s="149"/>
      <c r="AM795" s="149"/>
      <c r="AN795" s="149"/>
      <c r="AO795" s="149"/>
      <c r="AP795" s="149"/>
      <c r="AR795" s="149"/>
      <c r="AS795" s="149"/>
      <c r="AT795" s="149"/>
      <c r="AU795" s="149"/>
      <c r="AV795" s="149"/>
      <c r="AW795" s="149"/>
      <c r="AX795" s="149"/>
      <c r="AY795" s="149"/>
      <c r="AZ795" s="149"/>
      <c r="BA795" s="149"/>
      <c r="BB795" s="149"/>
      <c r="BC795" s="149"/>
      <c r="BD795" s="149"/>
      <c r="BE795" s="149"/>
      <c r="BF795" s="149"/>
      <c r="BG795" s="149"/>
      <c r="BH795" s="149"/>
      <c r="BI795" s="149"/>
      <c r="BJ795" s="149"/>
      <c r="BK795" s="149"/>
      <c r="BL795" s="149"/>
      <c r="BM795" s="149"/>
      <c r="BN795" s="149"/>
      <c r="BO795" s="149"/>
      <c r="BP795" s="149"/>
      <c r="BQ795" s="149"/>
      <c r="BR795" s="149"/>
    </row>
    <row r="796" ht="34" customHeight="1" spans="1:70">
      <c r="A796" s="208">
        <v>802</v>
      </c>
      <c r="B796" s="149"/>
      <c r="C796" s="149"/>
      <c r="D796" s="149"/>
      <c r="E796" s="149"/>
      <c r="F796" s="149"/>
      <c r="G796" s="149"/>
      <c r="H796" s="149"/>
      <c r="I796" s="149"/>
      <c r="J796" s="149"/>
      <c r="K796" s="149"/>
      <c r="L796" s="149"/>
      <c r="M796" s="149"/>
      <c r="N796" s="149"/>
      <c r="O796" s="149"/>
      <c r="P796" s="149"/>
      <c r="Q796" s="149"/>
      <c r="R796" s="149"/>
      <c r="S796" s="149"/>
      <c r="T796" s="149"/>
      <c r="U796" s="149"/>
      <c r="V796" s="149"/>
      <c r="W796" s="149"/>
      <c r="X796" s="149"/>
      <c r="Y796" s="149"/>
      <c r="Z796" s="149"/>
      <c r="AA796" s="149"/>
      <c r="AB796" s="149"/>
      <c r="AC796" s="149"/>
      <c r="AD796" s="149"/>
      <c r="AE796" s="149"/>
      <c r="AF796" s="149"/>
      <c r="AG796" s="149"/>
      <c r="AH796" s="149"/>
      <c r="AI796" s="149"/>
      <c r="AJ796" s="149"/>
      <c r="AK796" s="149"/>
      <c r="AL796" s="149"/>
      <c r="AM796" s="149"/>
      <c r="AN796" s="149"/>
      <c r="AO796" s="149"/>
      <c r="AP796" s="149"/>
      <c r="AR796" s="149"/>
      <c r="AS796" s="149"/>
      <c r="AT796" s="149"/>
      <c r="AU796" s="149"/>
      <c r="AV796" s="149"/>
      <c r="AW796" s="149"/>
      <c r="AX796" s="149"/>
      <c r="AY796" s="149"/>
      <c r="AZ796" s="149"/>
      <c r="BA796" s="149"/>
      <c r="BB796" s="149"/>
      <c r="BC796" s="149"/>
      <c r="BD796" s="149"/>
      <c r="BE796" s="149"/>
      <c r="BF796" s="149"/>
      <c r="BG796" s="149"/>
      <c r="BH796" s="149"/>
      <c r="BI796" s="149"/>
      <c r="BJ796" s="149"/>
      <c r="BK796" s="149"/>
      <c r="BL796" s="149"/>
      <c r="BM796" s="149"/>
      <c r="BN796" s="149"/>
      <c r="BO796" s="149"/>
      <c r="BP796" s="149"/>
      <c r="BQ796" s="149"/>
      <c r="BR796" s="149"/>
    </row>
    <row r="797" ht="34" customHeight="1" spans="1:70">
      <c r="A797" s="208">
        <v>803</v>
      </c>
      <c r="B797" s="149"/>
      <c r="C797" s="149"/>
      <c r="D797" s="149"/>
      <c r="E797" s="149"/>
      <c r="F797" s="149"/>
      <c r="G797" s="149"/>
      <c r="H797" s="149"/>
      <c r="I797" s="149"/>
      <c r="J797" s="149"/>
      <c r="K797" s="149"/>
      <c r="L797" s="149"/>
      <c r="M797" s="149"/>
      <c r="N797" s="149"/>
      <c r="O797" s="149"/>
      <c r="P797" s="149"/>
      <c r="Q797" s="149"/>
      <c r="R797" s="149"/>
      <c r="S797" s="149"/>
      <c r="T797" s="149"/>
      <c r="U797" s="149"/>
      <c r="V797" s="149"/>
      <c r="W797" s="149"/>
      <c r="X797" s="149"/>
      <c r="Y797" s="149"/>
      <c r="Z797" s="149"/>
      <c r="AA797" s="149"/>
      <c r="AB797" s="149"/>
      <c r="AC797" s="149"/>
      <c r="AD797" s="149"/>
      <c r="AE797" s="149"/>
      <c r="AF797" s="149"/>
      <c r="AG797" s="149"/>
      <c r="AH797" s="149"/>
      <c r="AI797" s="149"/>
      <c r="AJ797" s="149"/>
      <c r="AK797" s="149"/>
      <c r="AL797" s="149"/>
      <c r="AM797" s="149"/>
      <c r="AN797" s="149"/>
      <c r="AO797" s="149"/>
      <c r="AP797" s="149"/>
      <c r="AR797" s="149"/>
      <c r="AS797" s="149"/>
      <c r="AT797" s="149"/>
      <c r="AU797" s="149"/>
      <c r="AV797" s="149"/>
      <c r="AW797" s="149"/>
      <c r="AX797" s="149"/>
      <c r="AY797" s="149"/>
      <c r="AZ797" s="149"/>
      <c r="BA797" s="149"/>
      <c r="BB797" s="149"/>
      <c r="BC797" s="149"/>
      <c r="BD797" s="149"/>
      <c r="BE797" s="149"/>
      <c r="BF797" s="149"/>
      <c r="BG797" s="149"/>
      <c r="BH797" s="149"/>
      <c r="BI797" s="149"/>
      <c r="BJ797" s="149"/>
      <c r="BK797" s="149"/>
      <c r="BL797" s="149"/>
      <c r="BM797" s="149"/>
      <c r="BN797" s="149"/>
      <c r="BO797" s="149"/>
      <c r="BP797" s="149"/>
      <c r="BQ797" s="149"/>
      <c r="BR797" s="149"/>
    </row>
    <row r="798" ht="34" customHeight="1" spans="1:70">
      <c r="A798" s="208">
        <v>804</v>
      </c>
      <c r="B798" s="149"/>
      <c r="C798" s="149"/>
      <c r="D798" s="149"/>
      <c r="E798" s="149"/>
      <c r="F798" s="149"/>
      <c r="G798" s="149"/>
      <c r="H798" s="149"/>
      <c r="I798" s="149"/>
      <c r="J798" s="149"/>
      <c r="K798" s="149"/>
      <c r="L798" s="149"/>
      <c r="M798" s="149"/>
      <c r="N798" s="149"/>
      <c r="O798" s="149"/>
      <c r="P798" s="149"/>
      <c r="Q798" s="149"/>
      <c r="R798" s="149"/>
      <c r="S798" s="149"/>
      <c r="T798" s="149"/>
      <c r="U798" s="149"/>
      <c r="V798" s="149"/>
      <c r="W798" s="149"/>
      <c r="X798" s="149"/>
      <c r="Y798" s="149"/>
      <c r="Z798" s="149"/>
      <c r="AA798" s="149"/>
      <c r="AB798" s="149"/>
      <c r="AC798" s="149"/>
      <c r="AD798" s="149"/>
      <c r="AE798" s="149"/>
      <c r="AF798" s="149"/>
      <c r="AG798" s="149"/>
      <c r="AH798" s="149"/>
      <c r="AI798" s="149"/>
      <c r="AJ798" s="149"/>
      <c r="AK798" s="149"/>
      <c r="AL798" s="149"/>
      <c r="AM798" s="149"/>
      <c r="AN798" s="149"/>
      <c r="AO798" s="149"/>
      <c r="AP798" s="149"/>
      <c r="AR798" s="149"/>
      <c r="AS798" s="149"/>
      <c r="AT798" s="149"/>
      <c r="AU798" s="149"/>
      <c r="AV798" s="149"/>
      <c r="AW798" s="149"/>
      <c r="AX798" s="149"/>
      <c r="AY798" s="149"/>
      <c r="AZ798" s="149"/>
      <c r="BA798" s="149"/>
      <c r="BB798" s="149"/>
      <c r="BC798" s="149"/>
      <c r="BD798" s="149"/>
      <c r="BE798" s="149"/>
      <c r="BF798" s="149"/>
      <c r="BG798" s="149"/>
      <c r="BH798" s="149"/>
      <c r="BI798" s="149"/>
      <c r="BJ798" s="149"/>
      <c r="BK798" s="149"/>
      <c r="BL798" s="149"/>
      <c r="BM798" s="149"/>
      <c r="BN798" s="149"/>
      <c r="BO798" s="149"/>
      <c r="BP798" s="149"/>
      <c r="BQ798" s="149"/>
      <c r="BR798" s="149"/>
    </row>
    <row r="799" ht="34" customHeight="1" spans="1:70">
      <c r="A799" s="208">
        <v>805</v>
      </c>
      <c r="B799" s="149"/>
      <c r="C799" s="149"/>
      <c r="D799" s="149"/>
      <c r="E799" s="149"/>
      <c r="F799" s="149"/>
      <c r="G799" s="149"/>
      <c r="H799" s="149"/>
      <c r="I799" s="149"/>
      <c r="J799" s="149"/>
      <c r="K799" s="149"/>
      <c r="L799" s="149"/>
      <c r="M799" s="149"/>
      <c r="N799" s="149"/>
      <c r="O799" s="149"/>
      <c r="P799" s="149"/>
      <c r="Q799" s="149"/>
      <c r="R799" s="149"/>
      <c r="S799" s="149"/>
      <c r="T799" s="149"/>
      <c r="U799" s="149"/>
      <c r="V799" s="149"/>
      <c r="W799" s="149"/>
      <c r="X799" s="149"/>
      <c r="Y799" s="149"/>
      <c r="Z799" s="149"/>
      <c r="AA799" s="149"/>
      <c r="AB799" s="149"/>
      <c r="AC799" s="149"/>
      <c r="AD799" s="149"/>
      <c r="AE799" s="149"/>
      <c r="AF799" s="149"/>
      <c r="AG799" s="149"/>
      <c r="AH799" s="149"/>
      <c r="AI799" s="149"/>
      <c r="AJ799" s="149"/>
      <c r="AK799" s="149"/>
      <c r="AL799" s="149"/>
      <c r="AM799" s="149"/>
      <c r="AN799" s="149"/>
      <c r="AO799" s="149"/>
      <c r="AP799" s="149"/>
      <c r="AR799" s="149"/>
      <c r="AS799" s="149"/>
      <c r="AT799" s="149"/>
      <c r="AU799" s="149"/>
      <c r="AV799" s="149"/>
      <c r="AW799" s="149"/>
      <c r="AX799" s="149"/>
      <c r="AY799" s="149"/>
      <c r="AZ799" s="149"/>
      <c r="BA799" s="149"/>
      <c r="BB799" s="149"/>
      <c r="BC799" s="149"/>
      <c r="BD799" s="149"/>
      <c r="BE799" s="149"/>
      <c r="BF799" s="149"/>
      <c r="BG799" s="149"/>
      <c r="BH799" s="149"/>
      <c r="BI799" s="149"/>
      <c r="BJ799" s="149"/>
      <c r="BK799" s="149"/>
      <c r="BL799" s="149"/>
      <c r="BM799" s="149"/>
      <c r="BN799" s="149"/>
      <c r="BO799" s="149"/>
      <c r="BP799" s="149"/>
      <c r="BQ799" s="149"/>
      <c r="BR799" s="149"/>
    </row>
    <row r="800" ht="34" customHeight="1" spans="1:70">
      <c r="A800" s="208">
        <v>806</v>
      </c>
      <c r="B800" s="149"/>
      <c r="C800" s="149"/>
      <c r="D800" s="149"/>
      <c r="E800" s="149"/>
      <c r="F800" s="149"/>
      <c r="G800" s="149"/>
      <c r="H800" s="149"/>
      <c r="I800" s="149"/>
      <c r="J800" s="149"/>
      <c r="K800" s="149"/>
      <c r="L800" s="149"/>
      <c r="M800" s="149"/>
      <c r="N800" s="149"/>
      <c r="O800" s="149"/>
      <c r="P800" s="149"/>
      <c r="Q800" s="149"/>
      <c r="R800" s="149"/>
      <c r="S800" s="149"/>
      <c r="T800" s="149"/>
      <c r="U800" s="149"/>
      <c r="V800" s="149"/>
      <c r="W800" s="149"/>
      <c r="X800" s="149"/>
      <c r="Y800" s="149"/>
      <c r="Z800" s="149"/>
      <c r="AA800" s="149"/>
      <c r="AB800" s="149"/>
      <c r="AC800" s="149"/>
      <c r="AD800" s="149"/>
      <c r="AE800" s="149"/>
      <c r="AF800" s="149"/>
      <c r="AG800" s="149"/>
      <c r="AH800" s="149"/>
      <c r="AI800" s="149"/>
      <c r="AJ800" s="149"/>
      <c r="AK800" s="149"/>
      <c r="AL800" s="149"/>
      <c r="AM800" s="149"/>
      <c r="AN800" s="149"/>
      <c r="AO800" s="149"/>
      <c r="AP800" s="149"/>
      <c r="AR800" s="149"/>
      <c r="AS800" s="149"/>
      <c r="AT800" s="149"/>
      <c r="AU800" s="149"/>
      <c r="AV800" s="149"/>
      <c r="AW800" s="149"/>
      <c r="AX800" s="149"/>
      <c r="AY800" s="149"/>
      <c r="AZ800" s="149"/>
      <c r="BA800" s="149"/>
      <c r="BB800" s="149"/>
      <c r="BC800" s="149"/>
      <c r="BD800" s="149"/>
      <c r="BE800" s="149"/>
      <c r="BF800" s="149"/>
      <c r="BG800" s="149"/>
      <c r="BH800" s="149"/>
      <c r="BI800" s="149"/>
      <c r="BJ800" s="149"/>
      <c r="BK800" s="149"/>
      <c r="BL800" s="149"/>
      <c r="BM800" s="149"/>
      <c r="BN800" s="149"/>
      <c r="BO800" s="149"/>
      <c r="BP800" s="149"/>
      <c r="BQ800" s="149"/>
      <c r="BR800" s="149"/>
    </row>
    <row r="801" ht="34" customHeight="1" spans="1:70">
      <c r="A801" s="208">
        <v>807</v>
      </c>
      <c r="B801" s="149"/>
      <c r="C801" s="149"/>
      <c r="D801" s="149"/>
      <c r="E801" s="149"/>
      <c r="F801" s="149"/>
      <c r="G801" s="149"/>
      <c r="H801" s="149"/>
      <c r="I801" s="149"/>
      <c r="J801" s="149"/>
      <c r="K801" s="149"/>
      <c r="L801" s="149"/>
      <c r="M801" s="149"/>
      <c r="N801" s="149"/>
      <c r="O801" s="149"/>
      <c r="P801" s="149"/>
      <c r="Q801" s="149"/>
      <c r="R801" s="149"/>
      <c r="S801" s="149"/>
      <c r="T801" s="149"/>
      <c r="U801" s="149"/>
      <c r="V801" s="149"/>
      <c r="W801" s="149"/>
      <c r="X801" s="149"/>
      <c r="Y801" s="149"/>
      <c r="Z801" s="149"/>
      <c r="AA801" s="149"/>
      <c r="AB801" s="149"/>
      <c r="AC801" s="149"/>
      <c r="AD801" s="149"/>
      <c r="AE801" s="149"/>
      <c r="AF801" s="149"/>
      <c r="AG801" s="149"/>
      <c r="AH801" s="149"/>
      <c r="AI801" s="149"/>
      <c r="AJ801" s="149"/>
      <c r="AK801" s="149"/>
      <c r="AL801" s="149"/>
      <c r="AM801" s="149"/>
      <c r="AN801" s="149"/>
      <c r="AO801" s="149"/>
      <c r="AP801" s="149"/>
      <c r="AR801" s="149"/>
      <c r="AS801" s="149"/>
      <c r="AT801" s="149"/>
      <c r="AU801" s="149"/>
      <c r="AV801" s="149"/>
      <c r="AW801" s="149"/>
      <c r="AX801" s="149"/>
      <c r="AY801" s="149"/>
      <c r="AZ801" s="149"/>
      <c r="BA801" s="149"/>
      <c r="BB801" s="149"/>
      <c r="BC801" s="149"/>
      <c r="BD801" s="149"/>
      <c r="BE801" s="149"/>
      <c r="BF801" s="149"/>
      <c r="BG801" s="149"/>
      <c r="BH801" s="149"/>
      <c r="BI801" s="149"/>
      <c r="BJ801" s="149"/>
      <c r="BK801" s="149"/>
      <c r="BL801" s="149"/>
      <c r="BM801" s="149"/>
      <c r="BN801" s="149"/>
      <c r="BO801" s="149"/>
      <c r="BP801" s="149"/>
      <c r="BQ801" s="149"/>
      <c r="BR801" s="149"/>
    </row>
    <row r="802" ht="34" customHeight="1" spans="1:70">
      <c r="A802" s="208">
        <v>808</v>
      </c>
      <c r="B802" s="149"/>
      <c r="C802" s="149"/>
      <c r="D802" s="149"/>
      <c r="E802" s="149"/>
      <c r="F802" s="149"/>
      <c r="G802" s="149"/>
      <c r="H802" s="149"/>
      <c r="I802" s="149"/>
      <c r="J802" s="149"/>
      <c r="K802" s="149"/>
      <c r="L802" s="149"/>
      <c r="M802" s="149"/>
      <c r="N802" s="149"/>
      <c r="O802" s="149"/>
      <c r="P802" s="149"/>
      <c r="Q802" s="149"/>
      <c r="R802" s="149"/>
      <c r="S802" s="149"/>
      <c r="T802" s="149"/>
      <c r="U802" s="149"/>
      <c r="V802" s="149"/>
      <c r="W802" s="149"/>
      <c r="X802" s="149"/>
      <c r="Y802" s="149"/>
      <c r="Z802" s="149"/>
      <c r="AA802" s="149"/>
      <c r="AB802" s="149"/>
      <c r="AC802" s="149"/>
      <c r="AD802" s="149"/>
      <c r="AE802" s="149"/>
      <c r="AF802" s="149"/>
      <c r="AG802" s="149"/>
      <c r="AH802" s="149"/>
      <c r="AI802" s="149"/>
      <c r="AJ802" s="149"/>
      <c r="AK802" s="149"/>
      <c r="AL802" s="149"/>
      <c r="AM802" s="149"/>
      <c r="AN802" s="149"/>
      <c r="AO802" s="149"/>
      <c r="AP802" s="149"/>
      <c r="AR802" s="149"/>
      <c r="AS802" s="149"/>
      <c r="AT802" s="149"/>
      <c r="AU802" s="149"/>
      <c r="AV802" s="149"/>
      <c r="AW802" s="149"/>
      <c r="AX802" s="149"/>
      <c r="AY802" s="149"/>
      <c r="AZ802" s="149"/>
      <c r="BA802" s="149"/>
      <c r="BB802" s="149"/>
      <c r="BC802" s="149"/>
      <c r="BD802" s="149"/>
      <c r="BE802" s="149"/>
      <c r="BF802" s="149"/>
      <c r="BG802" s="149"/>
      <c r="BH802" s="149"/>
      <c r="BI802" s="149"/>
      <c r="BJ802" s="149"/>
      <c r="BK802" s="149"/>
      <c r="BL802" s="149"/>
      <c r="BM802" s="149"/>
      <c r="BN802" s="149"/>
      <c r="BO802" s="149"/>
      <c r="BP802" s="149"/>
      <c r="BQ802" s="149"/>
      <c r="BR802" s="149"/>
    </row>
    <row r="803" ht="34" customHeight="1" spans="1:70">
      <c r="A803" s="208">
        <v>809</v>
      </c>
      <c r="B803" s="149"/>
      <c r="C803" s="149"/>
      <c r="D803" s="149"/>
      <c r="E803" s="149"/>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ht="34" customHeight="1" spans="1:70">
      <c r="A804" s="208">
        <v>810</v>
      </c>
      <c r="B804" s="149"/>
      <c r="C804" s="149"/>
      <c r="D804" s="149"/>
      <c r="E804" s="149"/>
      <c r="F804" s="149"/>
      <c r="G804" s="149"/>
      <c r="H804" s="149"/>
      <c r="I804" s="149"/>
      <c r="J804" s="149"/>
      <c r="K804" s="149"/>
      <c r="L804" s="149"/>
      <c r="M804" s="149"/>
      <c r="N804" s="149"/>
      <c r="O804" s="149"/>
      <c r="P804" s="149"/>
      <c r="Q804" s="149"/>
      <c r="R804" s="149"/>
      <c r="S804" s="149"/>
      <c r="T804" s="149"/>
      <c r="U804" s="149"/>
      <c r="V804" s="149"/>
      <c r="W804" s="149"/>
      <c r="X804" s="149"/>
      <c r="Y804" s="149"/>
      <c r="Z804" s="149"/>
      <c r="AA804" s="149"/>
      <c r="AB804" s="149"/>
      <c r="AC804" s="149"/>
      <c r="AD804" s="149"/>
      <c r="AE804" s="149"/>
      <c r="AF804" s="149"/>
      <c r="AG804" s="149"/>
      <c r="AH804" s="149"/>
      <c r="AI804" s="149"/>
      <c r="AJ804" s="149"/>
      <c r="AK804" s="149"/>
      <c r="AL804" s="149"/>
      <c r="AM804" s="149"/>
      <c r="AN804" s="149"/>
      <c r="AO804" s="149"/>
      <c r="AP804" s="149"/>
      <c r="AR804" s="149"/>
      <c r="AS804" s="149"/>
      <c r="AT804" s="149"/>
      <c r="AU804" s="149"/>
      <c r="AV804" s="149"/>
      <c r="AW804" s="149"/>
      <c r="AX804" s="149"/>
      <c r="AY804" s="149"/>
      <c r="AZ804" s="149"/>
      <c r="BA804" s="149"/>
      <c r="BB804" s="149"/>
      <c r="BC804" s="149"/>
      <c r="BD804" s="149"/>
      <c r="BE804" s="149"/>
      <c r="BF804" s="149"/>
      <c r="BG804" s="149"/>
      <c r="BH804" s="149"/>
      <c r="BI804" s="149"/>
      <c r="BJ804" s="149"/>
      <c r="BK804" s="149"/>
      <c r="BL804" s="149"/>
      <c r="BM804" s="149"/>
      <c r="BN804" s="149"/>
      <c r="BO804" s="149"/>
      <c r="BP804" s="149"/>
      <c r="BQ804" s="149"/>
      <c r="BR804" s="149"/>
    </row>
    <row r="805" ht="34" customHeight="1" spans="1:70">
      <c r="A805" s="208">
        <v>811</v>
      </c>
      <c r="B805" s="149"/>
      <c r="C805" s="149"/>
      <c r="D805" s="149"/>
      <c r="E805" s="149"/>
      <c r="F805" s="149"/>
      <c r="G805" s="149"/>
      <c r="H805" s="149"/>
      <c r="I805" s="149"/>
      <c r="J805" s="149"/>
      <c r="K805" s="149"/>
      <c r="L805" s="149"/>
      <c r="M805" s="149"/>
      <c r="N805" s="149"/>
      <c r="O805" s="149"/>
      <c r="P805" s="149"/>
      <c r="Q805" s="149"/>
      <c r="R805" s="149"/>
      <c r="S805" s="149"/>
      <c r="T805" s="149"/>
      <c r="U805" s="149"/>
      <c r="V805" s="149"/>
      <c r="W805" s="149"/>
      <c r="X805" s="149"/>
      <c r="Y805" s="149"/>
      <c r="Z805" s="149"/>
      <c r="AA805" s="149"/>
      <c r="AB805" s="149"/>
      <c r="AC805" s="149"/>
      <c r="AD805" s="149"/>
      <c r="AE805" s="149"/>
      <c r="AF805" s="149"/>
      <c r="AG805" s="149"/>
      <c r="AH805" s="149"/>
      <c r="AI805" s="149"/>
      <c r="AJ805" s="149"/>
      <c r="AK805" s="149"/>
      <c r="AL805" s="149"/>
      <c r="AM805" s="149"/>
      <c r="AN805" s="149"/>
      <c r="AO805" s="149"/>
      <c r="AP805" s="149"/>
      <c r="AR805" s="149"/>
      <c r="AS805" s="149"/>
      <c r="AT805" s="149"/>
      <c r="AU805" s="149"/>
      <c r="AV805" s="149"/>
      <c r="AW805" s="149"/>
      <c r="AX805" s="149"/>
      <c r="AY805" s="149"/>
      <c r="AZ805" s="149"/>
      <c r="BA805" s="149"/>
      <c r="BB805" s="149"/>
      <c r="BC805" s="149"/>
      <c r="BD805" s="149"/>
      <c r="BE805" s="149"/>
      <c r="BF805" s="149"/>
      <c r="BG805" s="149"/>
      <c r="BH805" s="149"/>
      <c r="BI805" s="149"/>
      <c r="BJ805" s="149"/>
      <c r="BK805" s="149"/>
      <c r="BL805" s="149"/>
      <c r="BM805" s="149"/>
      <c r="BN805" s="149"/>
      <c r="BO805" s="149"/>
      <c r="BP805" s="149"/>
      <c r="BQ805" s="149"/>
      <c r="BR805" s="149"/>
    </row>
    <row r="806" ht="34" customHeight="1" spans="1:70">
      <c r="A806" s="208">
        <v>812</v>
      </c>
      <c r="B806" s="149"/>
      <c r="C806" s="149"/>
      <c r="D806" s="149"/>
      <c r="E806" s="149"/>
      <c r="F806" s="149"/>
      <c r="G806" s="149"/>
      <c r="H806" s="149"/>
      <c r="I806" s="149"/>
      <c r="J806" s="149"/>
      <c r="K806" s="149"/>
      <c r="L806" s="149"/>
      <c r="M806" s="149"/>
      <c r="N806" s="149"/>
      <c r="O806" s="149"/>
      <c r="P806" s="149"/>
      <c r="Q806" s="149"/>
      <c r="R806" s="149"/>
      <c r="S806" s="149"/>
      <c r="T806" s="149"/>
      <c r="U806" s="149"/>
      <c r="V806" s="149"/>
      <c r="W806" s="149"/>
      <c r="X806" s="149"/>
      <c r="Y806" s="149"/>
      <c r="Z806" s="149"/>
      <c r="AA806" s="149"/>
      <c r="AB806" s="149"/>
      <c r="AC806" s="149"/>
      <c r="AD806" s="149"/>
      <c r="AE806" s="149"/>
      <c r="AF806" s="149"/>
      <c r="AG806" s="149"/>
      <c r="AH806" s="149"/>
      <c r="AI806" s="149"/>
      <c r="AJ806" s="149"/>
      <c r="AK806" s="149"/>
      <c r="AL806" s="149"/>
      <c r="AM806" s="149"/>
      <c r="AN806" s="149"/>
      <c r="AO806" s="149"/>
      <c r="AP806" s="149"/>
      <c r="AR806" s="149"/>
      <c r="AS806" s="149"/>
      <c r="AT806" s="149"/>
      <c r="AU806" s="149"/>
      <c r="AV806" s="149"/>
      <c r="AW806" s="149"/>
      <c r="AX806" s="149"/>
      <c r="AY806" s="149"/>
      <c r="AZ806" s="149"/>
      <c r="BA806" s="149"/>
      <c r="BB806" s="149"/>
      <c r="BC806" s="149"/>
      <c r="BD806" s="149"/>
      <c r="BE806" s="149"/>
      <c r="BF806" s="149"/>
      <c r="BG806" s="149"/>
      <c r="BH806" s="149"/>
      <c r="BI806" s="149"/>
      <c r="BJ806" s="149"/>
      <c r="BK806" s="149"/>
      <c r="BL806" s="149"/>
      <c r="BM806" s="149"/>
      <c r="BN806" s="149"/>
      <c r="BO806" s="149"/>
      <c r="BP806" s="149"/>
      <c r="BQ806" s="149"/>
      <c r="BR806" s="149"/>
    </row>
    <row r="807" ht="34" customHeight="1" spans="1:70">
      <c r="A807" s="208">
        <v>813</v>
      </c>
      <c r="B807" s="149"/>
      <c r="C807" s="149"/>
      <c r="D807" s="149"/>
      <c r="E807" s="149"/>
      <c r="F807" s="149"/>
      <c r="G807" s="149"/>
      <c r="H807" s="149"/>
      <c r="I807" s="149"/>
      <c r="J807" s="149"/>
      <c r="K807" s="149"/>
      <c r="L807" s="149"/>
      <c r="M807" s="149"/>
      <c r="N807" s="149"/>
      <c r="O807" s="149"/>
      <c r="P807" s="149"/>
      <c r="Q807" s="149"/>
      <c r="R807" s="149"/>
      <c r="S807" s="149"/>
      <c r="T807" s="149"/>
      <c r="U807" s="149"/>
      <c r="V807" s="149"/>
      <c r="W807" s="149"/>
      <c r="X807" s="149"/>
      <c r="Y807" s="149"/>
      <c r="Z807" s="149"/>
      <c r="AA807" s="149"/>
      <c r="AB807" s="149"/>
      <c r="AC807" s="149"/>
      <c r="AD807" s="149"/>
      <c r="AE807" s="149"/>
      <c r="AF807" s="149"/>
      <c r="AG807" s="149"/>
      <c r="AH807" s="149"/>
      <c r="AI807" s="149"/>
      <c r="AJ807" s="149"/>
      <c r="AK807" s="149"/>
      <c r="AL807" s="149"/>
      <c r="AM807" s="149"/>
      <c r="AN807" s="149"/>
      <c r="AO807" s="149"/>
      <c r="AP807" s="149"/>
      <c r="AR807" s="149"/>
      <c r="AS807" s="149"/>
      <c r="AT807" s="149"/>
      <c r="AU807" s="149"/>
      <c r="AV807" s="149"/>
      <c r="AW807" s="149"/>
      <c r="AX807" s="149"/>
      <c r="AY807" s="149"/>
      <c r="AZ807" s="149"/>
      <c r="BA807" s="149"/>
      <c r="BB807" s="149"/>
      <c r="BC807" s="149"/>
      <c r="BD807" s="149"/>
      <c r="BE807" s="149"/>
      <c r="BF807" s="149"/>
      <c r="BG807" s="149"/>
      <c r="BH807" s="149"/>
      <c r="BI807" s="149"/>
      <c r="BJ807" s="149"/>
      <c r="BK807" s="149"/>
      <c r="BL807" s="149"/>
      <c r="BM807" s="149"/>
      <c r="BN807" s="149"/>
      <c r="BO807" s="149"/>
      <c r="BP807" s="149"/>
      <c r="BQ807" s="149"/>
      <c r="BR807" s="149"/>
    </row>
    <row r="808" ht="34" customHeight="1" spans="1:70">
      <c r="A808" s="208">
        <v>814</v>
      </c>
      <c r="B808" s="149"/>
      <c r="C808" s="149"/>
      <c r="D808" s="149"/>
      <c r="E808" s="149"/>
      <c r="F808" s="149"/>
      <c r="G808" s="149"/>
      <c r="H808" s="149"/>
      <c r="I808" s="149"/>
      <c r="J808" s="149"/>
      <c r="K808" s="149"/>
      <c r="L808" s="149"/>
      <c r="M808" s="149"/>
      <c r="N808" s="149"/>
      <c r="O808" s="149"/>
      <c r="P808" s="149"/>
      <c r="Q808" s="149"/>
      <c r="R808" s="149"/>
      <c r="S808" s="149"/>
      <c r="T808" s="149"/>
      <c r="U808" s="149"/>
      <c r="V808" s="149"/>
      <c r="W808" s="149"/>
      <c r="X808" s="149"/>
      <c r="Y808" s="149"/>
      <c r="Z808" s="149"/>
      <c r="AA808" s="149"/>
      <c r="AB808" s="149"/>
      <c r="AC808" s="149"/>
      <c r="AD808" s="149"/>
      <c r="AE808" s="149"/>
      <c r="AF808" s="149"/>
      <c r="AG808" s="149"/>
      <c r="AH808" s="149"/>
      <c r="AI808" s="149"/>
      <c r="AJ808" s="149"/>
      <c r="AK808" s="149"/>
      <c r="AL808" s="149"/>
      <c r="AM808" s="149"/>
      <c r="AN808" s="149"/>
      <c r="AO808" s="149"/>
      <c r="AP808" s="149"/>
      <c r="AR808" s="149"/>
      <c r="AS808" s="149"/>
      <c r="AT808" s="149"/>
      <c r="AU808" s="149"/>
      <c r="AV808" s="149"/>
      <c r="AW808" s="149"/>
      <c r="AX808" s="149"/>
      <c r="AY808" s="149"/>
      <c r="AZ808" s="149"/>
      <c r="BA808" s="149"/>
      <c r="BB808" s="149"/>
      <c r="BC808" s="149"/>
      <c r="BD808" s="149"/>
      <c r="BE808" s="149"/>
      <c r="BF808" s="149"/>
      <c r="BG808" s="149"/>
      <c r="BH808" s="149"/>
      <c r="BI808" s="149"/>
      <c r="BJ808" s="149"/>
      <c r="BK808" s="149"/>
      <c r="BL808" s="149"/>
      <c r="BM808" s="149"/>
      <c r="BN808" s="149"/>
      <c r="BO808" s="149"/>
      <c r="BP808" s="149"/>
      <c r="BQ808" s="149"/>
      <c r="BR808" s="149"/>
    </row>
    <row r="809" ht="34" customHeight="1" spans="1:70">
      <c r="A809" s="208">
        <v>815</v>
      </c>
      <c r="B809" s="149"/>
      <c r="C809" s="149"/>
      <c r="D809" s="149"/>
      <c r="E809" s="149"/>
      <c r="F809" s="149"/>
      <c r="G809" s="149"/>
      <c r="H809" s="149"/>
      <c r="I809" s="149"/>
      <c r="J809" s="149"/>
      <c r="K809" s="149"/>
      <c r="L809" s="149"/>
      <c r="M809" s="149"/>
      <c r="N809" s="149"/>
      <c r="O809" s="149"/>
      <c r="P809" s="149"/>
      <c r="Q809" s="149"/>
      <c r="R809" s="149"/>
      <c r="S809" s="149"/>
      <c r="T809" s="149"/>
      <c r="U809" s="149"/>
      <c r="V809" s="149"/>
      <c r="W809" s="149"/>
      <c r="X809" s="149"/>
      <c r="Y809" s="149"/>
      <c r="Z809" s="149"/>
      <c r="AA809" s="149"/>
      <c r="AB809" s="149"/>
      <c r="AC809" s="149"/>
      <c r="AD809" s="149"/>
      <c r="AE809" s="149"/>
      <c r="AF809" s="149"/>
      <c r="AG809" s="149"/>
      <c r="AH809" s="149"/>
      <c r="AI809" s="149"/>
      <c r="AJ809" s="149"/>
      <c r="AK809" s="149"/>
      <c r="AL809" s="149"/>
      <c r="AM809" s="149"/>
      <c r="AN809" s="149"/>
      <c r="AO809" s="149"/>
      <c r="AP809" s="149"/>
      <c r="AR809" s="149"/>
      <c r="AS809" s="149"/>
      <c r="AT809" s="149"/>
      <c r="AU809" s="149"/>
      <c r="AV809" s="149"/>
      <c r="AW809" s="149"/>
      <c r="AX809" s="149"/>
      <c r="AY809" s="149"/>
      <c r="AZ809" s="149"/>
      <c r="BA809" s="149"/>
      <c r="BB809" s="149"/>
      <c r="BC809" s="149"/>
      <c r="BD809" s="149"/>
      <c r="BE809" s="149"/>
      <c r="BF809" s="149"/>
      <c r="BG809" s="149"/>
      <c r="BH809" s="149"/>
      <c r="BI809" s="149"/>
      <c r="BJ809" s="149"/>
      <c r="BK809" s="149"/>
      <c r="BL809" s="149"/>
      <c r="BM809" s="149"/>
      <c r="BN809" s="149"/>
      <c r="BO809" s="149"/>
      <c r="BP809" s="149"/>
      <c r="BQ809" s="149"/>
      <c r="BR809" s="149"/>
    </row>
    <row r="810" ht="34" customHeight="1" spans="1:70">
      <c r="A810" s="208">
        <v>816</v>
      </c>
      <c r="B810" s="149"/>
      <c r="C810" s="149"/>
      <c r="D810" s="149"/>
      <c r="E810" s="149"/>
      <c r="F810" s="149"/>
      <c r="G810" s="149"/>
      <c r="H810" s="149"/>
      <c r="I810" s="149"/>
      <c r="J810" s="149"/>
      <c r="K810" s="149"/>
      <c r="L810" s="149"/>
      <c r="M810" s="149"/>
      <c r="N810" s="149"/>
      <c r="O810" s="149"/>
      <c r="P810" s="149"/>
      <c r="Q810" s="149"/>
      <c r="R810" s="149"/>
      <c r="S810" s="149"/>
      <c r="T810" s="149"/>
      <c r="U810" s="149"/>
      <c r="V810" s="149"/>
      <c r="W810" s="149"/>
      <c r="X810" s="149"/>
      <c r="Y810" s="149"/>
      <c r="Z810" s="149"/>
      <c r="AA810" s="149"/>
      <c r="AB810" s="149"/>
      <c r="AC810" s="149"/>
      <c r="AD810" s="149"/>
      <c r="AE810" s="149"/>
      <c r="AF810" s="149"/>
      <c r="AG810" s="149"/>
      <c r="AH810" s="149"/>
      <c r="AI810" s="149"/>
      <c r="AJ810" s="149"/>
      <c r="AK810" s="149"/>
      <c r="AL810" s="149"/>
      <c r="AM810" s="149"/>
      <c r="AN810" s="149"/>
      <c r="AO810" s="149"/>
      <c r="AP810" s="149"/>
      <c r="AR810" s="149"/>
      <c r="AS810" s="149"/>
      <c r="AT810" s="149"/>
      <c r="AU810" s="149"/>
      <c r="AV810" s="149"/>
      <c r="AW810" s="149"/>
      <c r="AX810" s="149"/>
      <c r="AY810" s="149"/>
      <c r="AZ810" s="149"/>
      <c r="BA810" s="149"/>
      <c r="BB810" s="149"/>
      <c r="BC810" s="149"/>
      <c r="BD810" s="149"/>
      <c r="BE810" s="149"/>
      <c r="BF810" s="149"/>
      <c r="BG810" s="149"/>
      <c r="BH810" s="149"/>
      <c r="BI810" s="149"/>
      <c r="BJ810" s="149"/>
      <c r="BK810" s="149"/>
      <c r="BL810" s="149"/>
      <c r="BM810" s="149"/>
      <c r="BN810" s="149"/>
      <c r="BO810" s="149"/>
      <c r="BP810" s="149"/>
      <c r="BQ810" s="149"/>
      <c r="BR810" s="149"/>
    </row>
    <row r="811" ht="34" customHeight="1" spans="1:70">
      <c r="A811" s="208">
        <v>817</v>
      </c>
      <c r="B811" s="149"/>
      <c r="C811" s="149"/>
      <c r="D811" s="149"/>
      <c r="E811" s="149"/>
      <c r="F811" s="149"/>
      <c r="G811" s="149"/>
      <c r="H811" s="149"/>
      <c r="I811" s="149"/>
      <c r="J811" s="149"/>
      <c r="K811" s="149"/>
      <c r="L811" s="149"/>
      <c r="M811" s="149"/>
      <c r="N811" s="149"/>
      <c r="O811" s="149"/>
      <c r="P811" s="149"/>
      <c r="Q811" s="149"/>
      <c r="R811" s="149"/>
      <c r="S811" s="149"/>
      <c r="T811" s="149"/>
      <c r="U811" s="149"/>
      <c r="V811" s="149"/>
      <c r="W811" s="149"/>
      <c r="X811" s="149"/>
      <c r="Y811" s="149"/>
      <c r="Z811" s="149"/>
      <c r="AA811" s="149"/>
      <c r="AB811" s="149"/>
      <c r="AC811" s="149"/>
      <c r="AD811" s="149"/>
      <c r="AE811" s="149"/>
      <c r="AF811" s="149"/>
      <c r="AG811" s="149"/>
      <c r="AH811" s="149"/>
      <c r="AI811" s="149"/>
      <c r="AJ811" s="149"/>
      <c r="AK811" s="149"/>
      <c r="AL811" s="149"/>
      <c r="AM811" s="149"/>
      <c r="AN811" s="149"/>
      <c r="AO811" s="149"/>
      <c r="AP811" s="149"/>
      <c r="AR811" s="149"/>
      <c r="AS811" s="149"/>
      <c r="AT811" s="149"/>
      <c r="AU811" s="149"/>
      <c r="AV811" s="149"/>
      <c r="AW811" s="149"/>
      <c r="AX811" s="149"/>
      <c r="AY811" s="149"/>
      <c r="AZ811" s="149"/>
      <c r="BA811" s="149"/>
      <c r="BB811" s="149"/>
      <c r="BC811" s="149"/>
      <c r="BD811" s="149"/>
      <c r="BE811" s="149"/>
      <c r="BF811" s="149"/>
      <c r="BG811" s="149"/>
      <c r="BH811" s="149"/>
      <c r="BI811" s="149"/>
      <c r="BJ811" s="149"/>
      <c r="BK811" s="149"/>
      <c r="BL811" s="149"/>
      <c r="BM811" s="149"/>
      <c r="BN811" s="149"/>
      <c r="BO811" s="149"/>
      <c r="BP811" s="149"/>
      <c r="BQ811" s="149"/>
      <c r="BR811" s="149"/>
    </row>
    <row r="812" ht="34" customHeight="1" spans="1:70">
      <c r="A812" s="208">
        <v>818</v>
      </c>
      <c r="B812" s="149"/>
      <c r="C812" s="149"/>
      <c r="D812" s="149"/>
      <c r="E812" s="149"/>
      <c r="F812" s="149"/>
      <c r="G812" s="149"/>
      <c r="H812" s="149"/>
      <c r="I812" s="149"/>
      <c r="J812" s="149"/>
      <c r="K812" s="149"/>
      <c r="L812" s="149"/>
      <c r="M812" s="149"/>
      <c r="N812" s="149"/>
      <c r="O812" s="149"/>
      <c r="P812" s="149"/>
      <c r="Q812" s="149"/>
      <c r="R812" s="149"/>
      <c r="S812" s="149"/>
      <c r="T812" s="149"/>
      <c r="U812" s="149"/>
      <c r="V812" s="149"/>
      <c r="W812" s="149"/>
      <c r="X812" s="149"/>
      <c r="Y812" s="149"/>
      <c r="Z812" s="149"/>
      <c r="AA812" s="149"/>
      <c r="AB812" s="149"/>
      <c r="AC812" s="149"/>
      <c r="AD812" s="149"/>
      <c r="AE812" s="149"/>
      <c r="AF812" s="149"/>
      <c r="AG812" s="149"/>
      <c r="AH812" s="149"/>
      <c r="AI812" s="149"/>
      <c r="AJ812" s="149"/>
      <c r="AK812" s="149"/>
      <c r="AL812" s="149"/>
      <c r="AM812" s="149"/>
      <c r="AN812" s="149"/>
      <c r="AO812" s="149"/>
      <c r="AP812" s="149"/>
      <c r="AR812" s="149"/>
      <c r="AS812" s="149"/>
      <c r="AT812" s="149"/>
      <c r="AU812" s="149"/>
      <c r="AV812" s="149"/>
      <c r="AW812" s="149"/>
      <c r="AX812" s="149"/>
      <c r="AY812" s="149"/>
      <c r="AZ812" s="149"/>
      <c r="BA812" s="149"/>
      <c r="BB812" s="149"/>
      <c r="BC812" s="149"/>
      <c r="BD812" s="149"/>
      <c r="BE812" s="149"/>
      <c r="BF812" s="149"/>
      <c r="BG812" s="149"/>
      <c r="BH812" s="149"/>
      <c r="BI812" s="149"/>
      <c r="BJ812" s="149"/>
      <c r="BK812" s="149"/>
      <c r="BL812" s="149"/>
      <c r="BM812" s="149"/>
      <c r="BN812" s="149"/>
      <c r="BO812" s="149"/>
      <c r="BP812" s="149"/>
      <c r="BQ812" s="149"/>
      <c r="BR812" s="149"/>
    </row>
    <row r="813" ht="34" customHeight="1" spans="1:70">
      <c r="A813" s="208">
        <v>819</v>
      </c>
      <c r="B813" s="149"/>
      <c r="C813" s="149"/>
      <c r="D813" s="149"/>
      <c r="E813" s="149"/>
      <c r="F813" s="149"/>
      <c r="G813" s="149"/>
      <c r="H813" s="149"/>
      <c r="I813" s="149"/>
      <c r="J813" s="149"/>
      <c r="K813" s="149"/>
      <c r="L813" s="149"/>
      <c r="M813" s="149"/>
      <c r="N813" s="149"/>
      <c r="O813" s="149"/>
      <c r="P813" s="149"/>
      <c r="Q813" s="149"/>
      <c r="R813" s="149"/>
      <c r="S813" s="149"/>
      <c r="T813" s="149"/>
      <c r="U813" s="149"/>
      <c r="V813" s="149"/>
      <c r="W813" s="149"/>
      <c r="X813" s="149"/>
      <c r="Y813" s="149"/>
      <c r="Z813" s="149"/>
      <c r="AA813" s="149"/>
      <c r="AB813" s="149"/>
      <c r="AC813" s="149"/>
      <c r="AD813" s="149"/>
      <c r="AE813" s="149"/>
      <c r="AF813" s="149"/>
      <c r="AG813" s="149"/>
      <c r="AH813" s="149"/>
      <c r="AI813" s="149"/>
      <c r="AJ813" s="149"/>
      <c r="AK813" s="149"/>
      <c r="AL813" s="149"/>
      <c r="AM813" s="149"/>
      <c r="AN813" s="149"/>
      <c r="AO813" s="149"/>
      <c r="AP813" s="149"/>
      <c r="AR813" s="149"/>
      <c r="AS813" s="149"/>
      <c r="AT813" s="149"/>
      <c r="AU813" s="149"/>
      <c r="AV813" s="149"/>
      <c r="AW813" s="149"/>
      <c r="AX813" s="149"/>
      <c r="AY813" s="149"/>
      <c r="AZ813" s="149"/>
      <c r="BA813" s="149"/>
      <c r="BB813" s="149"/>
      <c r="BC813" s="149"/>
      <c r="BD813" s="149"/>
      <c r="BE813" s="149"/>
      <c r="BF813" s="149"/>
      <c r="BG813" s="149"/>
      <c r="BH813" s="149"/>
      <c r="BI813" s="149"/>
      <c r="BJ813" s="149"/>
      <c r="BK813" s="149"/>
      <c r="BL813" s="149"/>
      <c r="BM813" s="149"/>
      <c r="BN813" s="149"/>
      <c r="BO813" s="149"/>
      <c r="BP813" s="149"/>
      <c r="BQ813" s="149"/>
      <c r="BR813" s="149"/>
    </row>
    <row r="814" ht="34" customHeight="1" spans="1:70">
      <c r="A814" s="208">
        <v>820</v>
      </c>
      <c r="B814" s="149"/>
      <c r="C814" s="149"/>
      <c r="D814" s="149"/>
      <c r="E814" s="149"/>
      <c r="F814" s="149"/>
      <c r="G814" s="149"/>
      <c r="H814" s="149"/>
      <c r="I814" s="149"/>
      <c r="J814" s="149"/>
      <c r="K814" s="149"/>
      <c r="L814" s="149"/>
      <c r="M814" s="149"/>
      <c r="N814" s="149"/>
      <c r="O814" s="149"/>
      <c r="P814" s="149"/>
      <c r="Q814" s="149"/>
      <c r="R814" s="149"/>
      <c r="S814" s="149"/>
      <c r="T814" s="149"/>
      <c r="U814" s="149"/>
      <c r="V814" s="149"/>
      <c r="W814" s="149"/>
      <c r="X814" s="149"/>
      <c r="Y814" s="149"/>
      <c r="Z814" s="149"/>
      <c r="AA814" s="149"/>
      <c r="AB814" s="149"/>
      <c r="AC814" s="149"/>
      <c r="AD814" s="149"/>
      <c r="AE814" s="149"/>
      <c r="AF814" s="149"/>
      <c r="AG814" s="149"/>
      <c r="AH814" s="149"/>
      <c r="AI814" s="149"/>
      <c r="AJ814" s="149"/>
      <c r="AK814" s="149"/>
      <c r="AL814" s="149"/>
      <c r="AM814" s="149"/>
      <c r="AN814" s="149"/>
      <c r="AO814" s="149"/>
      <c r="AP814" s="149"/>
      <c r="AR814" s="149"/>
      <c r="AS814" s="149"/>
      <c r="AT814" s="149"/>
      <c r="AU814" s="149"/>
      <c r="AV814" s="149"/>
      <c r="AW814" s="149"/>
      <c r="AX814" s="149"/>
      <c r="AY814" s="149"/>
      <c r="AZ814" s="149"/>
      <c r="BA814" s="149"/>
      <c r="BB814" s="149"/>
      <c r="BC814" s="149"/>
      <c r="BD814" s="149"/>
      <c r="BE814" s="149"/>
      <c r="BF814" s="149"/>
      <c r="BG814" s="149"/>
      <c r="BH814" s="149"/>
      <c r="BI814" s="149"/>
      <c r="BJ814" s="149"/>
      <c r="BK814" s="149"/>
      <c r="BL814" s="149"/>
      <c r="BM814" s="149"/>
      <c r="BN814" s="149"/>
      <c r="BO814" s="149"/>
      <c r="BP814" s="149"/>
      <c r="BQ814" s="149"/>
      <c r="BR814" s="149"/>
    </row>
    <row r="815" ht="34" customHeight="1" spans="1:70">
      <c r="A815" s="208">
        <v>821</v>
      </c>
      <c r="B815" s="149"/>
      <c r="C815" s="149"/>
      <c r="D815" s="149"/>
      <c r="E815" s="149"/>
      <c r="F815" s="149"/>
      <c r="G815" s="149"/>
      <c r="H815" s="149"/>
      <c r="I815" s="149"/>
      <c r="J815" s="149"/>
      <c r="K815" s="149"/>
      <c r="L815" s="149"/>
      <c r="M815" s="149"/>
      <c r="N815" s="149"/>
      <c r="O815" s="149"/>
      <c r="P815" s="149"/>
      <c r="Q815" s="149"/>
      <c r="R815" s="149"/>
      <c r="S815" s="149"/>
      <c r="T815" s="149"/>
      <c r="U815" s="149"/>
      <c r="V815" s="149"/>
      <c r="W815" s="149"/>
      <c r="X815" s="149"/>
      <c r="Y815" s="149"/>
      <c r="Z815" s="149"/>
      <c r="AA815" s="149"/>
      <c r="AB815" s="149"/>
      <c r="AC815" s="149"/>
      <c r="AD815" s="149"/>
      <c r="AE815" s="149"/>
      <c r="AF815" s="149"/>
      <c r="AG815" s="149"/>
      <c r="AH815" s="149"/>
      <c r="AI815" s="149"/>
      <c r="AJ815" s="149"/>
      <c r="AK815" s="149"/>
      <c r="AL815" s="149"/>
      <c r="AM815" s="149"/>
      <c r="AN815" s="149"/>
      <c r="AO815" s="149"/>
      <c r="AP815" s="149"/>
      <c r="AR815" s="149"/>
      <c r="AS815" s="149"/>
      <c r="AT815" s="149"/>
      <c r="AU815" s="149"/>
      <c r="AV815" s="149"/>
      <c r="AW815" s="149"/>
      <c r="AX815" s="149"/>
      <c r="AY815" s="149"/>
      <c r="AZ815" s="149"/>
      <c r="BA815" s="149"/>
      <c r="BB815" s="149"/>
      <c r="BC815" s="149"/>
      <c r="BD815" s="149"/>
      <c r="BE815" s="149"/>
      <c r="BF815" s="149"/>
      <c r="BG815" s="149"/>
      <c r="BH815" s="149"/>
      <c r="BI815" s="149"/>
      <c r="BJ815" s="149"/>
      <c r="BK815" s="149"/>
      <c r="BL815" s="149"/>
      <c r="BM815" s="149"/>
      <c r="BN815" s="149"/>
      <c r="BO815" s="149"/>
      <c r="BP815" s="149"/>
      <c r="BQ815" s="149"/>
      <c r="BR815" s="149"/>
    </row>
    <row r="816" ht="34" customHeight="1" spans="1:70">
      <c r="A816" s="208">
        <v>822</v>
      </c>
      <c r="B816" s="149"/>
      <c r="C816" s="149"/>
      <c r="D816" s="149"/>
      <c r="E816" s="149"/>
      <c r="F816" s="149"/>
      <c r="G816" s="149"/>
      <c r="H816" s="149"/>
      <c r="I816" s="149"/>
      <c r="J816" s="149"/>
      <c r="K816" s="149"/>
      <c r="L816" s="149"/>
      <c r="M816" s="149"/>
      <c r="N816" s="149"/>
      <c r="O816" s="149"/>
      <c r="P816" s="149"/>
      <c r="Q816" s="149"/>
      <c r="R816" s="149"/>
      <c r="S816" s="149"/>
      <c r="T816" s="149"/>
      <c r="U816" s="149"/>
      <c r="V816" s="149"/>
      <c r="W816" s="149"/>
      <c r="X816" s="149"/>
      <c r="Y816" s="149"/>
      <c r="Z816" s="149"/>
      <c r="AA816" s="149"/>
      <c r="AB816" s="149"/>
      <c r="AC816" s="149"/>
      <c r="AD816" s="149"/>
      <c r="AE816" s="149"/>
      <c r="AF816" s="149"/>
      <c r="AG816" s="149"/>
      <c r="AH816" s="149"/>
      <c r="AI816" s="149"/>
      <c r="AJ816" s="149"/>
      <c r="AK816" s="149"/>
      <c r="AL816" s="149"/>
      <c r="AM816" s="149"/>
      <c r="AN816" s="149"/>
      <c r="AO816" s="149"/>
      <c r="AP816" s="149"/>
      <c r="AR816" s="149"/>
      <c r="AS816" s="149"/>
      <c r="AT816" s="149"/>
      <c r="AU816" s="149"/>
      <c r="AV816" s="149"/>
      <c r="AW816" s="149"/>
      <c r="AX816" s="149"/>
      <c r="AY816" s="149"/>
      <c r="AZ816" s="149"/>
      <c r="BA816" s="149"/>
      <c r="BB816" s="149"/>
      <c r="BC816" s="149"/>
      <c r="BD816" s="149"/>
      <c r="BE816" s="149"/>
      <c r="BF816" s="149"/>
      <c r="BG816" s="149"/>
      <c r="BH816" s="149"/>
      <c r="BI816" s="149"/>
      <c r="BJ816" s="149"/>
      <c r="BK816" s="149"/>
      <c r="BL816" s="149"/>
      <c r="BM816" s="149"/>
      <c r="BN816" s="149"/>
      <c r="BO816" s="149"/>
      <c r="BP816" s="149"/>
      <c r="BQ816" s="149"/>
      <c r="BR816" s="149"/>
    </row>
    <row r="817" ht="34" customHeight="1" spans="1:70">
      <c r="A817" s="208">
        <v>823</v>
      </c>
      <c r="B817" s="149"/>
      <c r="C817" s="149"/>
      <c r="D817" s="149"/>
      <c r="E817" s="149"/>
      <c r="F817" s="149"/>
      <c r="G817" s="149"/>
      <c r="H817" s="149"/>
      <c r="I817" s="149"/>
      <c r="J817" s="149"/>
      <c r="K817" s="149"/>
      <c r="L817" s="149"/>
      <c r="M817" s="149"/>
      <c r="N817" s="149"/>
      <c r="O817" s="149"/>
      <c r="P817" s="149"/>
      <c r="Q817" s="149"/>
      <c r="R817" s="149"/>
      <c r="S817" s="149"/>
      <c r="T817" s="149"/>
      <c r="U817" s="149"/>
      <c r="V817" s="149"/>
      <c r="W817" s="149"/>
      <c r="X817" s="149"/>
      <c r="Y817" s="149"/>
      <c r="Z817" s="149"/>
      <c r="AA817" s="149"/>
      <c r="AB817" s="149"/>
      <c r="AC817" s="149"/>
      <c r="AD817" s="149"/>
      <c r="AE817" s="149"/>
      <c r="AF817" s="149"/>
      <c r="AG817" s="149"/>
      <c r="AH817" s="149"/>
      <c r="AI817" s="149"/>
      <c r="AJ817" s="149"/>
      <c r="AK817" s="149"/>
      <c r="AL817" s="149"/>
      <c r="AM817" s="149"/>
      <c r="AN817" s="149"/>
      <c r="AO817" s="149"/>
      <c r="AP817" s="149"/>
      <c r="AR817" s="149"/>
      <c r="AS817" s="149"/>
      <c r="AT817" s="149"/>
      <c r="AU817" s="149"/>
      <c r="AV817" s="149"/>
      <c r="AW817" s="149"/>
      <c r="AX817" s="149"/>
      <c r="AY817" s="149"/>
      <c r="AZ817" s="149"/>
      <c r="BA817" s="149"/>
      <c r="BB817" s="149"/>
      <c r="BC817" s="149"/>
      <c r="BD817" s="149"/>
      <c r="BE817" s="149"/>
      <c r="BF817" s="149"/>
      <c r="BG817" s="149"/>
      <c r="BH817" s="149"/>
      <c r="BI817" s="149"/>
      <c r="BJ817" s="149"/>
      <c r="BK817" s="149"/>
      <c r="BL817" s="149"/>
      <c r="BM817" s="149"/>
      <c r="BN817" s="149"/>
      <c r="BO817" s="149"/>
      <c r="BP817" s="149"/>
      <c r="BQ817" s="149"/>
      <c r="BR817" s="149"/>
    </row>
    <row r="818" ht="34" customHeight="1" spans="1:70">
      <c r="A818" s="208">
        <v>824</v>
      </c>
      <c r="B818" s="149"/>
      <c r="C818" s="149"/>
      <c r="D818" s="149"/>
      <c r="E818" s="149"/>
      <c r="F818" s="149"/>
      <c r="G818" s="149"/>
      <c r="H818" s="149"/>
      <c r="I818" s="149"/>
      <c r="J818" s="149"/>
      <c r="K818" s="149"/>
      <c r="L818" s="149"/>
      <c r="M818" s="149"/>
      <c r="N818" s="149"/>
      <c r="O818" s="149"/>
      <c r="P818" s="149"/>
      <c r="Q818" s="149"/>
      <c r="R818" s="149"/>
      <c r="S818" s="149"/>
      <c r="T818" s="149"/>
      <c r="U818" s="149"/>
      <c r="V818" s="149"/>
      <c r="W818" s="149"/>
      <c r="X818" s="149"/>
      <c r="Y818" s="149"/>
      <c r="Z818" s="149"/>
      <c r="AA818" s="149"/>
      <c r="AB818" s="149"/>
      <c r="AC818" s="149"/>
      <c r="AD818" s="149"/>
      <c r="AE818" s="149"/>
      <c r="AF818" s="149"/>
      <c r="AG818" s="149"/>
      <c r="AH818" s="149"/>
      <c r="AI818" s="149"/>
      <c r="AJ818" s="149"/>
      <c r="AK818" s="149"/>
      <c r="AL818" s="149"/>
      <c r="AM818" s="149"/>
      <c r="AN818" s="149"/>
      <c r="AO818" s="149"/>
      <c r="AP818" s="149"/>
      <c r="AR818" s="149"/>
      <c r="AS818" s="149"/>
      <c r="AT818" s="149"/>
      <c r="AU818" s="149"/>
      <c r="AV818" s="149"/>
      <c r="AW818" s="149"/>
      <c r="AX818" s="149"/>
      <c r="AY818" s="149"/>
      <c r="AZ818" s="149"/>
      <c r="BA818" s="149"/>
      <c r="BB818" s="149"/>
      <c r="BC818" s="149"/>
      <c r="BD818" s="149"/>
      <c r="BE818" s="149"/>
      <c r="BF818" s="149"/>
      <c r="BG818" s="149"/>
      <c r="BH818" s="149"/>
      <c r="BI818" s="149"/>
      <c r="BJ818" s="149"/>
      <c r="BK818" s="149"/>
      <c r="BL818" s="149"/>
      <c r="BM818" s="149"/>
      <c r="BN818" s="149"/>
      <c r="BO818" s="149"/>
      <c r="BP818" s="149"/>
      <c r="BQ818" s="149"/>
      <c r="BR818" s="149"/>
    </row>
    <row r="819" ht="34" customHeight="1" spans="1:70">
      <c r="A819" s="208">
        <v>825</v>
      </c>
      <c r="B819" s="149"/>
      <c r="C819" s="149"/>
      <c r="D819" s="149"/>
      <c r="E819" s="149"/>
      <c r="F819" s="149"/>
      <c r="G819" s="149"/>
      <c r="H819" s="149"/>
      <c r="I819" s="149"/>
      <c r="J819" s="149"/>
      <c r="K819" s="149"/>
      <c r="L819" s="149"/>
      <c r="M819" s="149"/>
      <c r="N819" s="149"/>
      <c r="O819" s="149"/>
      <c r="P819" s="149"/>
      <c r="Q819" s="149"/>
      <c r="R819" s="149"/>
      <c r="S819" s="149"/>
      <c r="T819" s="149"/>
      <c r="U819" s="149"/>
      <c r="V819" s="149"/>
      <c r="W819" s="149"/>
      <c r="X819" s="149"/>
      <c r="Y819" s="149"/>
      <c r="Z819" s="149"/>
      <c r="AA819" s="149"/>
      <c r="AB819" s="149"/>
      <c r="AC819" s="149"/>
      <c r="AD819" s="149"/>
      <c r="AE819" s="149"/>
      <c r="AF819" s="149"/>
      <c r="AG819" s="149"/>
      <c r="AH819" s="149"/>
      <c r="AI819" s="149"/>
      <c r="AJ819" s="149"/>
      <c r="AK819" s="149"/>
      <c r="AL819" s="149"/>
      <c r="AM819" s="149"/>
      <c r="AN819" s="149"/>
      <c r="AO819" s="149"/>
      <c r="AP819" s="149"/>
      <c r="AR819" s="149"/>
      <c r="AS819" s="149"/>
      <c r="AT819" s="149"/>
      <c r="AU819" s="149"/>
      <c r="AV819" s="149"/>
      <c r="AW819" s="149"/>
      <c r="AX819" s="149"/>
      <c r="AY819" s="149"/>
      <c r="AZ819" s="149"/>
      <c r="BA819" s="149"/>
      <c r="BB819" s="149"/>
      <c r="BC819" s="149"/>
      <c r="BD819" s="149"/>
      <c r="BE819" s="149"/>
      <c r="BF819" s="149"/>
      <c r="BG819" s="149"/>
      <c r="BH819" s="149"/>
      <c r="BI819" s="149"/>
      <c r="BJ819" s="149"/>
      <c r="BK819" s="149"/>
      <c r="BL819" s="149"/>
      <c r="BM819" s="149"/>
      <c r="BN819" s="149"/>
      <c r="BO819" s="149"/>
      <c r="BP819" s="149"/>
      <c r="BQ819" s="149"/>
      <c r="BR819" s="149"/>
    </row>
    <row r="820" ht="34" customHeight="1" spans="1:70">
      <c r="A820" s="208">
        <v>826</v>
      </c>
      <c r="B820" s="149"/>
      <c r="C820" s="149"/>
      <c r="D820" s="149"/>
      <c r="E820" s="149"/>
      <c r="F820" s="149"/>
      <c r="G820" s="149"/>
      <c r="H820" s="149"/>
      <c r="I820" s="149"/>
      <c r="J820" s="149"/>
      <c r="K820" s="149"/>
      <c r="L820" s="149"/>
      <c r="M820" s="149"/>
      <c r="N820" s="149"/>
      <c r="O820" s="149"/>
      <c r="P820" s="149"/>
      <c r="Q820" s="149"/>
      <c r="R820" s="149"/>
      <c r="S820" s="149"/>
      <c r="T820" s="149"/>
      <c r="U820" s="149"/>
      <c r="V820" s="149"/>
      <c r="W820" s="149"/>
      <c r="X820" s="149"/>
      <c r="Y820" s="149"/>
      <c r="Z820" s="149"/>
      <c r="AA820" s="149"/>
      <c r="AB820" s="149"/>
      <c r="AC820" s="149"/>
      <c r="AD820" s="149"/>
      <c r="AE820" s="149"/>
      <c r="AF820" s="149"/>
      <c r="AG820" s="149"/>
      <c r="AH820" s="149"/>
      <c r="AI820" s="149"/>
      <c r="AJ820" s="149"/>
      <c r="AK820" s="149"/>
      <c r="AL820" s="149"/>
      <c r="AM820" s="149"/>
      <c r="AN820" s="149"/>
      <c r="AO820" s="149"/>
      <c r="AP820" s="149"/>
      <c r="AR820" s="149"/>
      <c r="AS820" s="149"/>
      <c r="AT820" s="149"/>
      <c r="AU820" s="149"/>
      <c r="AV820" s="149"/>
      <c r="AW820" s="149"/>
      <c r="AX820" s="149"/>
      <c r="AY820" s="149"/>
      <c r="AZ820" s="149"/>
      <c r="BA820" s="149"/>
      <c r="BB820" s="149"/>
      <c r="BC820" s="149"/>
      <c r="BD820" s="149"/>
      <c r="BE820" s="149"/>
      <c r="BF820" s="149"/>
      <c r="BG820" s="149"/>
      <c r="BH820" s="149"/>
      <c r="BI820" s="149"/>
      <c r="BJ820" s="149"/>
      <c r="BK820" s="149"/>
      <c r="BL820" s="149"/>
      <c r="BM820" s="149"/>
      <c r="BN820" s="149"/>
      <c r="BO820" s="149"/>
      <c r="BP820" s="149"/>
      <c r="BQ820" s="149"/>
      <c r="BR820" s="149"/>
    </row>
    <row r="821" ht="34" customHeight="1" spans="1:70">
      <c r="A821" s="208">
        <v>827</v>
      </c>
      <c r="B821" s="149"/>
      <c r="C821" s="149"/>
      <c r="D821" s="149"/>
      <c r="E821" s="149"/>
      <c r="F821" s="149"/>
      <c r="G821" s="149"/>
      <c r="H821" s="149"/>
      <c r="I821" s="149"/>
      <c r="J821" s="149"/>
      <c r="K821" s="149"/>
      <c r="L821" s="149"/>
      <c r="M821" s="149"/>
      <c r="N821" s="149"/>
      <c r="O821" s="149"/>
      <c r="P821" s="149"/>
      <c r="Q821" s="149"/>
      <c r="R821" s="149"/>
      <c r="S821" s="149"/>
      <c r="T821" s="149"/>
      <c r="U821" s="149"/>
      <c r="V821" s="149"/>
      <c r="W821" s="149"/>
      <c r="X821" s="149"/>
      <c r="Y821" s="149"/>
      <c r="Z821" s="149"/>
      <c r="AA821" s="149"/>
      <c r="AB821" s="149"/>
      <c r="AC821" s="149"/>
      <c r="AD821" s="149"/>
      <c r="AE821" s="149"/>
      <c r="AF821" s="149"/>
      <c r="AG821" s="149"/>
      <c r="AH821" s="149"/>
      <c r="AI821" s="149"/>
      <c r="AJ821" s="149"/>
      <c r="AK821" s="149"/>
      <c r="AL821" s="149"/>
      <c r="AM821" s="149"/>
      <c r="AN821" s="149"/>
      <c r="AO821" s="149"/>
      <c r="AP821" s="149"/>
      <c r="AR821" s="149"/>
      <c r="AS821" s="149"/>
      <c r="AT821" s="149"/>
      <c r="AU821" s="149"/>
      <c r="AV821" s="149"/>
      <c r="AW821" s="149"/>
      <c r="AX821" s="149"/>
      <c r="AY821" s="149"/>
      <c r="AZ821" s="149"/>
      <c r="BA821" s="149"/>
      <c r="BB821" s="149"/>
      <c r="BC821" s="149"/>
      <c r="BD821" s="149"/>
      <c r="BE821" s="149"/>
      <c r="BF821" s="149"/>
      <c r="BG821" s="149"/>
      <c r="BH821" s="149"/>
      <c r="BI821" s="149"/>
      <c r="BJ821" s="149"/>
      <c r="BK821" s="149"/>
      <c r="BL821" s="149"/>
      <c r="BM821" s="149"/>
      <c r="BN821" s="149"/>
      <c r="BO821" s="149"/>
      <c r="BP821" s="149"/>
      <c r="BQ821" s="149"/>
      <c r="BR821" s="149"/>
    </row>
    <row r="822" ht="34" customHeight="1" spans="1:70">
      <c r="A822" s="208">
        <v>828</v>
      </c>
      <c r="B822" s="149"/>
      <c r="C822" s="149"/>
      <c r="D822" s="149"/>
      <c r="E822" s="149"/>
      <c r="F822" s="149"/>
      <c r="G822" s="149"/>
      <c r="H822" s="149"/>
      <c r="I822" s="149"/>
      <c r="J822" s="149"/>
      <c r="K822" s="149"/>
      <c r="L822" s="149"/>
      <c r="M822" s="149"/>
      <c r="N822" s="149"/>
      <c r="O822" s="149"/>
      <c r="P822" s="149"/>
      <c r="Q822" s="149"/>
      <c r="R822" s="149"/>
      <c r="S822" s="149"/>
      <c r="T822" s="149"/>
      <c r="U822" s="149"/>
      <c r="V822" s="149"/>
      <c r="W822" s="149"/>
      <c r="X822" s="149"/>
      <c r="Y822" s="149"/>
      <c r="Z822" s="149"/>
      <c r="AA822" s="149"/>
      <c r="AB822" s="149"/>
      <c r="AC822" s="149"/>
      <c r="AD822" s="149"/>
      <c r="AE822" s="149"/>
      <c r="AF822" s="149"/>
      <c r="AG822" s="149"/>
      <c r="AH822" s="149"/>
      <c r="AI822" s="149"/>
      <c r="AJ822" s="149"/>
      <c r="AK822" s="149"/>
      <c r="AL822" s="149"/>
      <c r="AM822" s="149"/>
      <c r="AN822" s="149"/>
      <c r="AO822" s="149"/>
      <c r="AP822" s="149"/>
      <c r="AR822" s="149"/>
      <c r="AS822" s="149"/>
      <c r="AT822" s="149"/>
      <c r="AU822" s="149"/>
      <c r="AV822" s="149"/>
      <c r="AW822" s="149"/>
      <c r="AX822" s="149"/>
      <c r="AY822" s="149"/>
      <c r="AZ822" s="149"/>
      <c r="BA822" s="149"/>
      <c r="BB822" s="149"/>
      <c r="BC822" s="149"/>
      <c r="BD822" s="149"/>
      <c r="BE822" s="149"/>
      <c r="BF822" s="149"/>
      <c r="BG822" s="149"/>
      <c r="BH822" s="149"/>
      <c r="BI822" s="149"/>
      <c r="BJ822" s="149"/>
      <c r="BK822" s="149"/>
      <c r="BL822" s="149"/>
      <c r="BM822" s="149"/>
      <c r="BN822" s="149"/>
      <c r="BO822" s="149"/>
      <c r="BP822" s="149"/>
      <c r="BQ822" s="149"/>
      <c r="BR822" s="149"/>
    </row>
    <row r="823" ht="34" customHeight="1" spans="1:70">
      <c r="A823" s="208">
        <v>829</v>
      </c>
      <c r="B823" s="149"/>
      <c r="C823" s="149"/>
      <c r="D823" s="149"/>
      <c r="E823" s="149"/>
      <c r="F823" s="149"/>
      <c r="G823" s="149"/>
      <c r="H823" s="149"/>
      <c r="I823" s="149"/>
      <c r="J823" s="149"/>
      <c r="K823" s="149"/>
      <c r="L823" s="149"/>
      <c r="M823" s="149"/>
      <c r="N823" s="149"/>
      <c r="O823" s="149"/>
      <c r="P823" s="149"/>
      <c r="Q823" s="149"/>
      <c r="R823" s="149"/>
      <c r="S823" s="149"/>
      <c r="T823" s="149"/>
      <c r="U823" s="149"/>
      <c r="V823" s="149"/>
      <c r="W823" s="149"/>
      <c r="X823" s="149"/>
      <c r="Y823" s="149"/>
      <c r="Z823" s="149"/>
      <c r="AA823" s="149"/>
      <c r="AB823" s="149"/>
      <c r="AC823" s="149"/>
      <c r="AD823" s="149"/>
      <c r="AE823" s="149"/>
      <c r="AF823" s="149"/>
      <c r="AG823" s="149"/>
      <c r="AH823" s="149"/>
      <c r="AI823" s="149"/>
      <c r="AJ823" s="149"/>
      <c r="AK823" s="149"/>
      <c r="AL823" s="149"/>
      <c r="AM823" s="149"/>
      <c r="AN823" s="149"/>
      <c r="AO823" s="149"/>
      <c r="AP823" s="149"/>
      <c r="AR823" s="149"/>
      <c r="AS823" s="149"/>
      <c r="AT823" s="149"/>
      <c r="AU823" s="149"/>
      <c r="AV823" s="149"/>
      <c r="AW823" s="149"/>
      <c r="AX823" s="149"/>
      <c r="AY823" s="149"/>
      <c r="AZ823" s="149"/>
      <c r="BA823" s="149"/>
      <c r="BB823" s="149"/>
      <c r="BC823" s="149"/>
      <c r="BD823" s="149"/>
      <c r="BE823" s="149"/>
      <c r="BF823" s="149"/>
      <c r="BG823" s="149"/>
      <c r="BH823" s="149"/>
      <c r="BI823" s="149"/>
      <c r="BJ823" s="149"/>
      <c r="BK823" s="149"/>
      <c r="BL823" s="149"/>
      <c r="BM823" s="149"/>
      <c r="BN823" s="149"/>
      <c r="BO823" s="149"/>
      <c r="BP823" s="149"/>
      <c r="BQ823" s="149"/>
      <c r="BR823" s="149"/>
    </row>
    <row r="824" ht="34" customHeight="1" spans="1:70">
      <c r="A824" s="208">
        <v>830</v>
      </c>
      <c r="B824" s="149"/>
      <c r="C824" s="149"/>
      <c r="D824" s="149"/>
      <c r="E824" s="149"/>
      <c r="F824" s="149"/>
      <c r="G824" s="149"/>
      <c r="H824" s="149"/>
      <c r="I824" s="149"/>
      <c r="J824" s="149"/>
      <c r="K824" s="149"/>
      <c r="L824" s="149"/>
      <c r="M824" s="149"/>
      <c r="N824" s="149"/>
      <c r="O824" s="149"/>
      <c r="P824" s="149"/>
      <c r="Q824" s="149"/>
      <c r="R824" s="149"/>
      <c r="S824" s="149"/>
      <c r="T824" s="149"/>
      <c r="U824" s="149"/>
      <c r="V824" s="149"/>
      <c r="W824" s="149"/>
      <c r="X824" s="149"/>
      <c r="Y824" s="149"/>
      <c r="Z824" s="149"/>
      <c r="AA824" s="149"/>
      <c r="AB824" s="149"/>
      <c r="AC824" s="149"/>
      <c r="AD824" s="149"/>
      <c r="AE824" s="149"/>
      <c r="AF824" s="149"/>
      <c r="AG824" s="149"/>
      <c r="AH824" s="149"/>
      <c r="AI824" s="149"/>
      <c r="AJ824" s="149"/>
      <c r="AK824" s="149"/>
      <c r="AL824" s="149"/>
      <c r="AM824" s="149"/>
      <c r="AN824" s="149"/>
      <c r="AO824" s="149"/>
      <c r="AP824" s="149"/>
      <c r="AR824" s="149"/>
      <c r="AS824" s="149"/>
      <c r="AT824" s="149"/>
      <c r="AU824" s="149"/>
      <c r="AV824" s="149"/>
      <c r="AW824" s="149"/>
      <c r="AX824" s="149"/>
      <c r="AY824" s="149"/>
      <c r="AZ824" s="149"/>
      <c r="BA824" s="149"/>
      <c r="BB824" s="149"/>
      <c r="BC824" s="149"/>
      <c r="BD824" s="149"/>
      <c r="BE824" s="149"/>
      <c r="BF824" s="149"/>
      <c r="BG824" s="149"/>
      <c r="BH824" s="149"/>
      <c r="BI824" s="149"/>
      <c r="BJ824" s="149"/>
      <c r="BK824" s="149"/>
      <c r="BL824" s="149"/>
      <c r="BM824" s="149"/>
      <c r="BN824" s="149"/>
      <c r="BO824" s="149"/>
      <c r="BP824" s="149"/>
      <c r="BQ824" s="149"/>
      <c r="BR824" s="149"/>
    </row>
    <row r="825" ht="34" customHeight="1" spans="1:70">
      <c r="A825" s="208">
        <v>831</v>
      </c>
      <c r="B825" s="149"/>
      <c r="C825" s="149"/>
      <c r="D825" s="149"/>
      <c r="E825" s="149"/>
      <c r="F825" s="149"/>
      <c r="G825" s="149"/>
      <c r="H825" s="149"/>
      <c r="I825" s="149"/>
      <c r="J825" s="149"/>
      <c r="K825" s="149"/>
      <c r="L825" s="149"/>
      <c r="M825" s="149"/>
      <c r="N825" s="149"/>
      <c r="O825" s="149"/>
      <c r="P825" s="149"/>
      <c r="Q825" s="149"/>
      <c r="R825" s="149"/>
      <c r="S825" s="149"/>
      <c r="T825" s="149"/>
      <c r="U825" s="149"/>
      <c r="V825" s="149"/>
      <c r="W825" s="149"/>
      <c r="X825" s="149"/>
      <c r="Y825" s="149"/>
      <c r="Z825" s="149"/>
      <c r="AA825" s="149"/>
      <c r="AB825" s="149"/>
      <c r="AC825" s="149"/>
      <c r="AD825" s="149"/>
      <c r="AE825" s="149"/>
      <c r="AF825" s="149"/>
      <c r="AG825" s="149"/>
      <c r="AH825" s="149"/>
      <c r="AI825" s="149"/>
      <c r="AJ825" s="149"/>
      <c r="AK825" s="149"/>
      <c r="AL825" s="149"/>
      <c r="AM825" s="149"/>
      <c r="AN825" s="149"/>
      <c r="AO825" s="149"/>
      <c r="AP825" s="149"/>
      <c r="AR825" s="149"/>
      <c r="AS825" s="149"/>
      <c r="AT825" s="149"/>
      <c r="AU825" s="149"/>
      <c r="AV825" s="149"/>
      <c r="AW825" s="149"/>
      <c r="AX825" s="149"/>
      <c r="AY825" s="149"/>
      <c r="AZ825" s="149"/>
      <c r="BA825" s="149"/>
      <c r="BB825" s="149"/>
      <c r="BC825" s="149"/>
      <c r="BD825" s="149"/>
      <c r="BE825" s="149"/>
      <c r="BF825" s="149"/>
      <c r="BG825" s="149"/>
      <c r="BH825" s="149"/>
      <c r="BI825" s="149"/>
      <c r="BJ825" s="149"/>
      <c r="BK825" s="149"/>
      <c r="BL825" s="149"/>
      <c r="BM825" s="149"/>
      <c r="BN825" s="149"/>
      <c r="BO825" s="149"/>
      <c r="BP825" s="149"/>
      <c r="BQ825" s="149"/>
      <c r="BR825" s="149"/>
    </row>
    <row r="826" ht="34" customHeight="1" spans="1:70">
      <c r="A826" s="208">
        <v>832</v>
      </c>
      <c r="B826" s="149"/>
      <c r="C826" s="149"/>
      <c r="D826" s="149"/>
      <c r="E826" s="149"/>
      <c r="F826" s="149"/>
      <c r="G826" s="149"/>
      <c r="H826" s="149"/>
      <c r="I826" s="149"/>
      <c r="J826" s="149"/>
      <c r="K826" s="149"/>
      <c r="L826" s="149"/>
      <c r="M826" s="149"/>
      <c r="N826" s="149"/>
      <c r="O826" s="149"/>
      <c r="P826" s="149"/>
      <c r="Q826" s="149"/>
      <c r="R826" s="149"/>
      <c r="S826" s="149"/>
      <c r="T826" s="149"/>
      <c r="U826" s="149"/>
      <c r="V826" s="149"/>
      <c r="W826" s="149"/>
      <c r="X826" s="149"/>
      <c r="Y826" s="149"/>
      <c r="Z826" s="149"/>
      <c r="AA826" s="149"/>
      <c r="AB826" s="149"/>
      <c r="AC826" s="149"/>
      <c r="AD826" s="149"/>
      <c r="AE826" s="149"/>
      <c r="AF826" s="149"/>
      <c r="AG826" s="149"/>
      <c r="AH826" s="149"/>
      <c r="AI826" s="149"/>
      <c r="AJ826" s="149"/>
      <c r="AK826" s="149"/>
      <c r="AL826" s="149"/>
      <c r="AM826" s="149"/>
      <c r="AN826" s="149"/>
      <c r="AO826" s="149"/>
      <c r="AP826" s="149"/>
      <c r="AR826" s="149"/>
      <c r="AS826" s="149"/>
      <c r="AT826" s="149"/>
      <c r="AU826" s="149"/>
      <c r="AV826" s="149"/>
      <c r="AW826" s="149"/>
      <c r="AX826" s="149"/>
      <c r="AY826" s="149"/>
      <c r="AZ826" s="149"/>
      <c r="BA826" s="149"/>
      <c r="BB826" s="149"/>
      <c r="BC826" s="149"/>
      <c r="BD826" s="149"/>
      <c r="BE826" s="149"/>
      <c r="BF826" s="149"/>
      <c r="BG826" s="149"/>
      <c r="BH826" s="149"/>
      <c r="BI826" s="149"/>
      <c r="BJ826" s="149"/>
      <c r="BK826" s="149"/>
      <c r="BL826" s="149"/>
      <c r="BM826" s="149"/>
      <c r="BN826" s="149"/>
      <c r="BO826" s="149"/>
      <c r="BP826" s="149"/>
      <c r="BQ826" s="149"/>
      <c r="BR826" s="149"/>
    </row>
    <row r="827" ht="34" customHeight="1" spans="1:70">
      <c r="A827" s="208">
        <v>833</v>
      </c>
      <c r="B827" s="149"/>
      <c r="C827" s="149"/>
      <c r="D827" s="149"/>
      <c r="E827" s="149"/>
      <c r="F827" s="149"/>
      <c r="G827" s="149"/>
      <c r="H827" s="149"/>
      <c r="I827" s="149"/>
      <c r="J827" s="149"/>
      <c r="K827" s="149"/>
      <c r="L827" s="149"/>
      <c r="M827" s="149"/>
      <c r="N827" s="149"/>
      <c r="O827" s="149"/>
      <c r="P827" s="149"/>
      <c r="Q827" s="149"/>
      <c r="R827" s="14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row>
    <row r="828" ht="34" customHeight="1" spans="1:70">
      <c r="A828" s="208">
        <v>834</v>
      </c>
      <c r="B828" s="149"/>
      <c r="C828" s="149"/>
      <c r="D828" s="149"/>
      <c r="E828" s="149"/>
      <c r="F828" s="149"/>
      <c r="G828" s="149"/>
      <c r="H828" s="149"/>
      <c r="I828" s="149"/>
      <c r="J828" s="149"/>
      <c r="K828" s="149"/>
      <c r="L828" s="149"/>
      <c r="M828" s="149"/>
      <c r="N828" s="149"/>
      <c r="O828" s="149"/>
      <c r="P828" s="149"/>
      <c r="Q828" s="149"/>
      <c r="R828" s="14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row>
    <row r="829" ht="34" customHeight="1" spans="1:70">
      <c r="A829" s="208">
        <v>835</v>
      </c>
      <c r="B829" s="149"/>
      <c r="C829" s="149"/>
      <c r="D829" s="149"/>
      <c r="E829" s="149"/>
      <c r="F829" s="149"/>
      <c r="G829" s="149"/>
      <c r="H829" s="149"/>
      <c r="I829" s="149"/>
      <c r="J829" s="149"/>
      <c r="K829" s="149"/>
      <c r="L829" s="149"/>
      <c r="M829" s="149"/>
      <c r="N829" s="149"/>
      <c r="O829" s="149"/>
      <c r="P829" s="149"/>
      <c r="Q829" s="149"/>
      <c r="R829" s="14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row>
    <row r="830" ht="34" customHeight="1" spans="1:70">
      <c r="A830" s="208">
        <v>836</v>
      </c>
      <c r="B830" s="149"/>
      <c r="C830" s="149"/>
      <c r="D830" s="149"/>
      <c r="E830" s="149"/>
      <c r="F830" s="149"/>
      <c r="G830" s="149"/>
      <c r="H830" s="149"/>
      <c r="I830" s="149"/>
      <c r="J830" s="149"/>
      <c r="K830" s="149"/>
      <c r="L830" s="149"/>
      <c r="M830" s="149"/>
      <c r="N830" s="149"/>
      <c r="O830" s="149"/>
      <c r="P830" s="149"/>
      <c r="Q830" s="149"/>
      <c r="R830" s="149"/>
      <c r="S830" s="149"/>
      <c r="T830" s="149"/>
      <c r="U830" s="149"/>
      <c r="V830" s="149"/>
      <c r="W830" s="149"/>
      <c r="X830" s="149"/>
      <c r="Y830" s="149"/>
      <c r="Z830" s="149"/>
      <c r="AA830" s="149"/>
      <c r="AB830" s="149"/>
      <c r="AC830" s="149"/>
      <c r="AD830" s="149"/>
      <c r="AE830" s="149"/>
      <c r="AF830" s="149"/>
      <c r="AG830" s="149"/>
      <c r="AH830" s="149"/>
      <c r="AI830" s="149"/>
      <c r="AJ830" s="149"/>
      <c r="AK830" s="149"/>
      <c r="AL830" s="149"/>
      <c r="AM830" s="149"/>
      <c r="AN830" s="149"/>
      <c r="AO830" s="149"/>
      <c r="AP830" s="149"/>
      <c r="AR830" s="149"/>
      <c r="AS830" s="149"/>
      <c r="AT830" s="149"/>
      <c r="AU830" s="149"/>
      <c r="AV830" s="149"/>
      <c r="AW830" s="149"/>
      <c r="AX830" s="149"/>
      <c r="AY830" s="149"/>
      <c r="AZ830" s="149"/>
      <c r="BA830" s="149"/>
      <c r="BB830" s="149"/>
      <c r="BC830" s="149"/>
      <c r="BD830" s="149"/>
      <c r="BE830" s="149"/>
      <c r="BF830" s="149"/>
      <c r="BG830" s="149"/>
      <c r="BH830" s="149"/>
      <c r="BI830" s="149"/>
      <c r="BJ830" s="149"/>
      <c r="BK830" s="149"/>
      <c r="BL830" s="149"/>
      <c r="BM830" s="149"/>
      <c r="BN830" s="149"/>
      <c r="BO830" s="149"/>
      <c r="BP830" s="149"/>
      <c r="BQ830" s="149"/>
      <c r="BR830" s="149"/>
    </row>
    <row r="831" ht="34" customHeight="1" spans="1:70">
      <c r="A831" s="208">
        <v>837</v>
      </c>
      <c r="B831" s="149"/>
      <c r="C831" s="149"/>
      <c r="D831" s="149"/>
      <c r="E831" s="149"/>
      <c r="F831" s="149"/>
      <c r="G831" s="149"/>
      <c r="H831" s="149"/>
      <c r="I831" s="149"/>
      <c r="J831" s="149"/>
      <c r="K831" s="149"/>
      <c r="L831" s="149"/>
      <c r="M831" s="149"/>
      <c r="N831" s="149"/>
      <c r="O831" s="149"/>
      <c r="P831" s="149"/>
      <c r="Q831" s="149"/>
      <c r="R831" s="149"/>
      <c r="S831" s="149"/>
      <c r="T831" s="149"/>
      <c r="U831" s="149"/>
      <c r="V831" s="149"/>
      <c r="W831" s="149"/>
      <c r="X831" s="149"/>
      <c r="Y831" s="149"/>
      <c r="Z831" s="149"/>
      <c r="AA831" s="149"/>
      <c r="AB831" s="149"/>
      <c r="AC831" s="149"/>
      <c r="AD831" s="149"/>
      <c r="AE831" s="149"/>
      <c r="AF831" s="149"/>
      <c r="AG831" s="149"/>
      <c r="AH831" s="149"/>
      <c r="AI831" s="149"/>
      <c r="AJ831" s="149"/>
      <c r="AK831" s="149"/>
      <c r="AL831" s="149"/>
      <c r="AM831" s="149"/>
      <c r="AN831" s="149"/>
      <c r="AO831" s="149"/>
      <c r="AP831" s="149"/>
      <c r="AR831" s="149"/>
      <c r="AS831" s="149"/>
      <c r="AT831" s="149"/>
      <c r="AU831" s="149"/>
      <c r="AV831" s="149"/>
      <c r="AW831" s="149"/>
      <c r="AX831" s="149"/>
      <c r="AY831" s="149"/>
      <c r="AZ831" s="149"/>
      <c r="BA831" s="149"/>
      <c r="BB831" s="149"/>
      <c r="BC831" s="149"/>
      <c r="BD831" s="149"/>
      <c r="BE831" s="149"/>
      <c r="BF831" s="149"/>
      <c r="BG831" s="149"/>
      <c r="BH831" s="149"/>
      <c r="BI831" s="149"/>
      <c r="BJ831" s="149"/>
      <c r="BK831" s="149"/>
      <c r="BL831" s="149"/>
      <c r="BM831" s="149"/>
      <c r="BN831" s="149"/>
      <c r="BO831" s="149"/>
      <c r="BP831" s="149"/>
      <c r="BQ831" s="149"/>
      <c r="BR831" s="149"/>
    </row>
    <row r="832" ht="34" customHeight="1" spans="1:70">
      <c r="A832" s="208">
        <v>838</v>
      </c>
      <c r="B832" s="149"/>
      <c r="C832" s="149"/>
      <c r="D832" s="149"/>
      <c r="E832" s="149"/>
      <c r="F832" s="149"/>
      <c r="G832" s="149"/>
      <c r="H832" s="149"/>
      <c r="I832" s="149"/>
      <c r="J832" s="149"/>
      <c r="K832" s="149"/>
      <c r="L832" s="149"/>
      <c r="M832" s="149"/>
      <c r="N832" s="149"/>
      <c r="O832" s="149"/>
      <c r="P832" s="149"/>
      <c r="Q832" s="149"/>
      <c r="R832" s="149"/>
      <c r="S832" s="149"/>
      <c r="T832" s="149"/>
      <c r="U832" s="149"/>
      <c r="V832" s="149"/>
      <c r="W832" s="149"/>
      <c r="X832" s="149"/>
      <c r="Y832" s="149"/>
      <c r="Z832" s="149"/>
      <c r="AA832" s="149"/>
      <c r="AB832" s="149"/>
      <c r="AC832" s="149"/>
      <c r="AD832" s="149"/>
      <c r="AE832" s="149"/>
      <c r="AF832" s="149"/>
      <c r="AG832" s="149"/>
      <c r="AH832" s="149"/>
      <c r="AI832" s="149"/>
      <c r="AJ832" s="149"/>
      <c r="AK832" s="149"/>
      <c r="AL832" s="149"/>
      <c r="AM832" s="149"/>
      <c r="AN832" s="149"/>
      <c r="AO832" s="149"/>
      <c r="AP832" s="149"/>
      <c r="AR832" s="149"/>
      <c r="AS832" s="149"/>
      <c r="AT832" s="149"/>
      <c r="AU832" s="149"/>
      <c r="AV832" s="149"/>
      <c r="AW832" s="149"/>
      <c r="AX832" s="149"/>
      <c r="AY832" s="149"/>
      <c r="AZ832" s="149"/>
      <c r="BA832" s="149"/>
      <c r="BB832" s="149"/>
      <c r="BC832" s="149"/>
      <c r="BD832" s="149"/>
      <c r="BE832" s="149"/>
      <c r="BF832" s="149"/>
      <c r="BG832" s="149"/>
      <c r="BH832" s="149"/>
      <c r="BI832" s="149"/>
      <c r="BJ832" s="149"/>
      <c r="BK832" s="149"/>
      <c r="BL832" s="149"/>
      <c r="BM832" s="149"/>
      <c r="BN832" s="149"/>
      <c r="BO832" s="149"/>
      <c r="BP832" s="149"/>
      <c r="BQ832" s="149"/>
      <c r="BR832" s="149"/>
    </row>
    <row r="833" ht="34" customHeight="1" spans="1:70">
      <c r="A833" s="208">
        <v>839</v>
      </c>
      <c r="B833" s="149"/>
      <c r="C833" s="149"/>
      <c r="D833" s="149"/>
      <c r="E833" s="149"/>
      <c r="F833" s="149"/>
      <c r="G833" s="149"/>
      <c r="H833" s="149"/>
      <c r="I833" s="149"/>
      <c r="J833" s="149"/>
      <c r="K833" s="149"/>
      <c r="L833" s="149"/>
      <c r="M833" s="149"/>
      <c r="N833" s="149"/>
      <c r="O833" s="149"/>
      <c r="P833" s="149"/>
      <c r="Q833" s="149"/>
      <c r="R833" s="149"/>
      <c r="S833" s="149"/>
      <c r="T833" s="149"/>
      <c r="U833" s="149"/>
      <c r="V833" s="149"/>
      <c r="W833" s="149"/>
      <c r="X833" s="149"/>
      <c r="Y833" s="149"/>
      <c r="Z833" s="149"/>
      <c r="AA833" s="149"/>
      <c r="AB833" s="149"/>
      <c r="AC833" s="149"/>
      <c r="AD833" s="149"/>
      <c r="AE833" s="149"/>
      <c r="AF833" s="149"/>
      <c r="AG833" s="149"/>
      <c r="AH833" s="149"/>
      <c r="AI833" s="149"/>
      <c r="AJ833" s="149"/>
      <c r="AK833" s="149"/>
      <c r="AL833" s="149"/>
      <c r="AM833" s="149"/>
      <c r="AN833" s="149"/>
      <c r="AO833" s="149"/>
      <c r="AP833" s="149"/>
      <c r="AR833" s="149"/>
      <c r="AS833" s="149"/>
      <c r="AT833" s="149"/>
      <c r="AU833" s="149"/>
      <c r="AV833" s="149"/>
      <c r="AW833" s="149"/>
      <c r="AX833" s="149"/>
      <c r="AY833" s="149"/>
      <c r="AZ833" s="149"/>
      <c r="BA833" s="149"/>
      <c r="BB833" s="149"/>
      <c r="BC833" s="149"/>
      <c r="BD833" s="149"/>
      <c r="BE833" s="149"/>
      <c r="BF833" s="149"/>
      <c r="BG833" s="149"/>
      <c r="BH833" s="149"/>
      <c r="BI833" s="149"/>
      <c r="BJ833" s="149"/>
      <c r="BK833" s="149"/>
      <c r="BL833" s="149"/>
      <c r="BM833" s="149"/>
      <c r="BN833" s="149"/>
      <c r="BO833" s="149"/>
      <c r="BP833" s="149"/>
      <c r="BQ833" s="149"/>
      <c r="BR833" s="149"/>
    </row>
    <row r="834" ht="34" customHeight="1" spans="1:70">
      <c r="A834" s="208">
        <v>840</v>
      </c>
      <c r="B834" s="149"/>
      <c r="C834" s="149"/>
      <c r="D834" s="149"/>
      <c r="E834" s="149"/>
      <c r="F834" s="149"/>
      <c r="G834" s="149"/>
      <c r="H834" s="149"/>
      <c r="I834" s="149"/>
      <c r="J834" s="149"/>
      <c r="K834" s="149"/>
      <c r="L834" s="149"/>
      <c r="M834" s="149"/>
      <c r="N834" s="149"/>
      <c r="O834" s="149"/>
      <c r="P834" s="149"/>
      <c r="Q834" s="149"/>
      <c r="R834" s="149"/>
      <c r="S834" s="149"/>
      <c r="T834" s="149"/>
      <c r="U834" s="149"/>
      <c r="V834" s="149"/>
      <c r="W834" s="149"/>
      <c r="X834" s="149"/>
      <c r="Y834" s="149"/>
      <c r="Z834" s="149"/>
      <c r="AA834" s="149"/>
      <c r="AB834" s="149"/>
      <c r="AC834" s="149"/>
      <c r="AD834" s="149"/>
      <c r="AE834" s="149"/>
      <c r="AF834" s="149"/>
      <c r="AG834" s="149"/>
      <c r="AH834" s="149"/>
      <c r="AI834" s="149"/>
      <c r="AJ834" s="149"/>
      <c r="AK834" s="149"/>
      <c r="AL834" s="149"/>
      <c r="AM834" s="149"/>
      <c r="AN834" s="149"/>
      <c r="AO834" s="149"/>
      <c r="AP834" s="149"/>
      <c r="AR834" s="149"/>
      <c r="AS834" s="149"/>
      <c r="AT834" s="149"/>
      <c r="AU834" s="149"/>
      <c r="AV834" s="149"/>
      <c r="AW834" s="149"/>
      <c r="AX834" s="149"/>
      <c r="AY834" s="149"/>
      <c r="AZ834" s="149"/>
      <c r="BA834" s="149"/>
      <c r="BB834" s="149"/>
      <c r="BC834" s="149"/>
      <c r="BD834" s="149"/>
      <c r="BE834" s="149"/>
      <c r="BF834" s="149"/>
      <c r="BG834" s="149"/>
      <c r="BH834" s="149"/>
      <c r="BI834" s="149"/>
      <c r="BJ834" s="149"/>
      <c r="BK834" s="149"/>
      <c r="BL834" s="149"/>
      <c r="BM834" s="149"/>
      <c r="BN834" s="149"/>
      <c r="BO834" s="149"/>
      <c r="BP834" s="149"/>
      <c r="BQ834" s="149"/>
      <c r="BR834" s="149"/>
    </row>
    <row r="835" ht="34" customHeight="1" spans="1:70">
      <c r="A835" s="208">
        <v>841</v>
      </c>
      <c r="B835" s="149"/>
      <c r="C835" s="149"/>
      <c r="D835" s="149"/>
      <c r="E835" s="149"/>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row r="836" ht="34" customHeight="1" spans="1:70">
      <c r="A836" s="208">
        <v>842</v>
      </c>
      <c r="B836" s="149"/>
      <c r="C836" s="149"/>
      <c r="D836" s="149"/>
      <c r="E836" s="149"/>
      <c r="F836" s="149"/>
      <c r="G836" s="149"/>
      <c r="H836" s="149"/>
      <c r="I836" s="149"/>
      <c r="J836" s="149"/>
      <c r="K836" s="149"/>
      <c r="L836" s="149"/>
      <c r="M836" s="149"/>
      <c r="N836" s="149"/>
      <c r="O836" s="149"/>
      <c r="P836" s="149"/>
      <c r="Q836" s="149"/>
      <c r="R836" s="149"/>
      <c r="S836" s="149"/>
      <c r="T836" s="149"/>
      <c r="U836" s="149"/>
      <c r="V836" s="149"/>
      <c r="W836" s="149"/>
      <c r="X836" s="149"/>
      <c r="Y836" s="149"/>
      <c r="Z836" s="149"/>
      <c r="AA836" s="149"/>
      <c r="AB836" s="149"/>
      <c r="AC836" s="149"/>
      <c r="AD836" s="149"/>
      <c r="AE836" s="149"/>
      <c r="AF836" s="149"/>
      <c r="AG836" s="149"/>
      <c r="AH836" s="149"/>
      <c r="AI836" s="149"/>
      <c r="AJ836" s="149"/>
      <c r="AK836" s="149"/>
      <c r="AL836" s="149"/>
      <c r="AM836" s="149"/>
      <c r="AN836" s="149"/>
      <c r="AO836" s="149"/>
      <c r="AP836" s="149"/>
      <c r="AR836" s="149"/>
      <c r="AS836" s="149"/>
      <c r="AT836" s="149"/>
      <c r="AU836" s="149"/>
      <c r="AV836" s="149"/>
      <c r="AW836" s="149"/>
      <c r="AX836" s="149"/>
      <c r="AY836" s="149"/>
      <c r="AZ836" s="149"/>
      <c r="BA836" s="149"/>
      <c r="BB836" s="149"/>
      <c r="BC836" s="149"/>
      <c r="BD836" s="149"/>
      <c r="BE836" s="149"/>
      <c r="BF836" s="149"/>
      <c r="BG836" s="149"/>
      <c r="BH836" s="149"/>
      <c r="BI836" s="149"/>
      <c r="BJ836" s="149"/>
      <c r="BK836" s="149"/>
      <c r="BL836" s="149"/>
      <c r="BM836" s="149"/>
      <c r="BN836" s="149"/>
      <c r="BO836" s="149"/>
      <c r="BP836" s="149"/>
      <c r="BQ836" s="149"/>
      <c r="BR836" s="149"/>
    </row>
    <row r="837" ht="34" customHeight="1" spans="1:70">
      <c r="A837" s="208">
        <v>843</v>
      </c>
      <c r="B837" s="149"/>
      <c r="C837" s="149"/>
      <c r="D837" s="149"/>
      <c r="E837" s="149"/>
      <c r="F837" s="149"/>
      <c r="G837" s="149"/>
      <c r="H837" s="149"/>
      <c r="I837" s="149"/>
      <c r="J837" s="149"/>
      <c r="K837" s="149"/>
      <c r="L837" s="149"/>
      <c r="M837" s="149"/>
      <c r="N837" s="149"/>
      <c r="O837" s="149"/>
      <c r="P837" s="149"/>
      <c r="Q837" s="149"/>
      <c r="R837" s="149"/>
      <c r="S837" s="149"/>
      <c r="T837" s="149"/>
      <c r="U837" s="149"/>
      <c r="V837" s="149"/>
      <c r="W837" s="149"/>
      <c r="X837" s="149"/>
      <c r="Y837" s="149"/>
      <c r="Z837" s="149"/>
      <c r="AA837" s="149"/>
      <c r="AB837" s="149"/>
      <c r="AC837" s="149"/>
      <c r="AD837" s="149"/>
      <c r="AE837" s="149"/>
      <c r="AF837" s="149"/>
      <c r="AG837" s="149"/>
      <c r="AH837" s="149"/>
      <c r="AI837" s="149"/>
      <c r="AJ837" s="149"/>
      <c r="AK837" s="149"/>
      <c r="AL837" s="149"/>
      <c r="AM837" s="149"/>
      <c r="AN837" s="149"/>
      <c r="AO837" s="149"/>
      <c r="AP837" s="149"/>
      <c r="AR837" s="149"/>
      <c r="AS837" s="149"/>
      <c r="AT837" s="149"/>
      <c r="AU837" s="149"/>
      <c r="AV837" s="149"/>
      <c r="AW837" s="149"/>
      <c r="AX837" s="149"/>
      <c r="AY837" s="149"/>
      <c r="AZ837" s="149"/>
      <c r="BA837" s="149"/>
      <c r="BB837" s="149"/>
      <c r="BC837" s="149"/>
      <c r="BD837" s="149"/>
      <c r="BE837" s="149"/>
      <c r="BF837" s="149"/>
      <c r="BG837" s="149"/>
      <c r="BH837" s="149"/>
      <c r="BI837" s="149"/>
      <c r="BJ837" s="149"/>
      <c r="BK837" s="149"/>
      <c r="BL837" s="149"/>
      <c r="BM837" s="149"/>
      <c r="BN837" s="149"/>
      <c r="BO837" s="149"/>
      <c r="BP837" s="149"/>
      <c r="BQ837" s="149"/>
      <c r="BR837" s="149"/>
    </row>
    <row r="838" ht="34" customHeight="1" spans="1:70">
      <c r="A838" s="208">
        <v>844</v>
      </c>
      <c r="B838" s="149"/>
      <c r="C838" s="149"/>
      <c r="D838" s="149"/>
      <c r="E838" s="149"/>
      <c r="F838" s="149"/>
      <c r="G838" s="149"/>
      <c r="H838" s="149"/>
      <c r="I838" s="149"/>
      <c r="J838" s="149"/>
      <c r="K838" s="149"/>
      <c r="L838" s="149"/>
      <c r="M838" s="149"/>
      <c r="N838" s="149"/>
      <c r="O838" s="149"/>
      <c r="P838" s="149"/>
      <c r="Q838" s="149"/>
      <c r="R838" s="149"/>
      <c r="S838" s="149"/>
      <c r="T838" s="149"/>
      <c r="U838" s="149"/>
      <c r="V838" s="149"/>
      <c r="W838" s="149"/>
      <c r="X838" s="149"/>
      <c r="Y838" s="149"/>
      <c r="Z838" s="149"/>
      <c r="AA838" s="149"/>
      <c r="AB838" s="149"/>
      <c r="AC838" s="149"/>
      <c r="AD838" s="149"/>
      <c r="AE838" s="149"/>
      <c r="AF838" s="149"/>
      <c r="AG838" s="149"/>
      <c r="AH838" s="149"/>
      <c r="AI838" s="149"/>
      <c r="AJ838" s="149"/>
      <c r="AK838" s="149"/>
      <c r="AL838" s="149"/>
      <c r="AM838" s="149"/>
      <c r="AN838" s="149"/>
      <c r="AO838" s="149"/>
      <c r="AP838" s="149"/>
      <c r="AR838" s="149"/>
      <c r="AS838" s="149"/>
      <c r="AT838" s="149"/>
      <c r="AU838" s="149"/>
      <c r="AV838" s="149"/>
      <c r="AW838" s="149"/>
      <c r="AX838" s="149"/>
      <c r="AY838" s="149"/>
      <c r="AZ838" s="149"/>
      <c r="BA838" s="149"/>
      <c r="BB838" s="149"/>
      <c r="BC838" s="149"/>
      <c r="BD838" s="149"/>
      <c r="BE838" s="149"/>
      <c r="BF838" s="149"/>
      <c r="BG838" s="149"/>
      <c r="BH838" s="149"/>
      <c r="BI838" s="149"/>
      <c r="BJ838" s="149"/>
      <c r="BK838" s="149"/>
      <c r="BL838" s="149"/>
      <c r="BM838" s="149"/>
      <c r="BN838" s="149"/>
      <c r="BO838" s="149"/>
      <c r="BP838" s="149"/>
      <c r="BQ838" s="149"/>
      <c r="BR838" s="149"/>
    </row>
    <row r="839" ht="34" customHeight="1" spans="1:70">
      <c r="A839" s="208">
        <v>845</v>
      </c>
      <c r="B839" s="149"/>
      <c r="C839" s="149"/>
      <c r="D839" s="149"/>
      <c r="E839" s="149"/>
      <c r="F839" s="149"/>
      <c r="G839" s="149"/>
      <c r="H839" s="149"/>
      <c r="I839" s="149"/>
      <c r="J839" s="149"/>
      <c r="K839" s="149"/>
      <c r="L839" s="149"/>
      <c r="M839" s="149"/>
      <c r="N839" s="149"/>
      <c r="O839" s="149"/>
      <c r="P839" s="149"/>
      <c r="Q839" s="149"/>
      <c r="R839" s="149"/>
      <c r="S839" s="149"/>
      <c r="T839" s="149"/>
      <c r="U839" s="149"/>
      <c r="V839" s="149"/>
      <c r="W839" s="149"/>
      <c r="X839" s="149"/>
      <c r="Y839" s="149"/>
      <c r="Z839" s="149"/>
      <c r="AA839" s="149"/>
      <c r="AB839" s="149"/>
      <c r="AC839" s="149"/>
      <c r="AD839" s="149"/>
      <c r="AE839" s="149"/>
      <c r="AF839" s="149"/>
      <c r="AG839" s="149"/>
      <c r="AH839" s="149"/>
      <c r="AI839" s="149"/>
      <c r="AJ839" s="149"/>
      <c r="AK839" s="149"/>
      <c r="AL839" s="149"/>
      <c r="AM839" s="149"/>
      <c r="AN839" s="149"/>
      <c r="AO839" s="149"/>
      <c r="AP839" s="149"/>
      <c r="AR839" s="149"/>
      <c r="AS839" s="149"/>
      <c r="AT839" s="149"/>
      <c r="AU839" s="149"/>
      <c r="AV839" s="149"/>
      <c r="AW839" s="149"/>
      <c r="AX839" s="149"/>
      <c r="AY839" s="149"/>
      <c r="AZ839" s="149"/>
      <c r="BA839" s="149"/>
      <c r="BB839" s="149"/>
      <c r="BC839" s="149"/>
      <c r="BD839" s="149"/>
      <c r="BE839" s="149"/>
      <c r="BF839" s="149"/>
      <c r="BG839" s="149"/>
      <c r="BH839" s="149"/>
      <c r="BI839" s="149"/>
      <c r="BJ839" s="149"/>
      <c r="BK839" s="149"/>
      <c r="BL839" s="149"/>
      <c r="BM839" s="149"/>
      <c r="BN839" s="149"/>
      <c r="BO839" s="149"/>
      <c r="BP839" s="149"/>
      <c r="BQ839" s="149"/>
      <c r="BR839" s="149"/>
    </row>
    <row r="840" ht="34" customHeight="1" spans="1:70">
      <c r="A840" s="208">
        <v>846</v>
      </c>
      <c r="B840" s="149"/>
      <c r="C840" s="149"/>
      <c r="D840" s="149"/>
      <c r="E840" s="149"/>
      <c r="F840" s="149"/>
      <c r="G840" s="149"/>
      <c r="H840" s="149"/>
      <c r="I840" s="149"/>
      <c r="J840" s="149"/>
      <c r="K840" s="149"/>
      <c r="L840" s="149"/>
      <c r="M840" s="149"/>
      <c r="N840" s="149"/>
      <c r="O840" s="149"/>
      <c r="P840" s="149"/>
      <c r="Q840" s="149"/>
      <c r="R840" s="149"/>
      <c r="S840" s="149"/>
      <c r="T840" s="149"/>
      <c r="U840" s="149"/>
      <c r="V840" s="149"/>
      <c r="W840" s="149"/>
      <c r="X840" s="149"/>
      <c r="Y840" s="149"/>
      <c r="Z840" s="149"/>
      <c r="AA840" s="149"/>
      <c r="AB840" s="149"/>
      <c r="AC840" s="149"/>
      <c r="AD840" s="149"/>
      <c r="AE840" s="149"/>
      <c r="AF840" s="149"/>
      <c r="AG840" s="149"/>
      <c r="AH840" s="149"/>
      <c r="AI840" s="149"/>
      <c r="AJ840" s="149"/>
      <c r="AK840" s="149"/>
      <c r="AL840" s="149"/>
      <c r="AM840" s="149"/>
      <c r="AN840" s="149"/>
      <c r="AO840" s="149"/>
      <c r="AP840" s="149"/>
      <c r="AR840" s="149"/>
      <c r="AS840" s="149"/>
      <c r="AT840" s="149"/>
      <c r="AU840" s="149"/>
      <c r="AV840" s="149"/>
      <c r="AW840" s="149"/>
      <c r="AX840" s="149"/>
      <c r="AY840" s="149"/>
      <c r="AZ840" s="149"/>
      <c r="BA840" s="149"/>
      <c r="BB840" s="149"/>
      <c r="BC840" s="149"/>
      <c r="BD840" s="149"/>
      <c r="BE840" s="149"/>
      <c r="BF840" s="149"/>
      <c r="BG840" s="149"/>
      <c r="BH840" s="149"/>
      <c r="BI840" s="149"/>
      <c r="BJ840" s="149"/>
      <c r="BK840" s="149"/>
      <c r="BL840" s="149"/>
      <c r="BM840" s="149"/>
      <c r="BN840" s="149"/>
      <c r="BO840" s="149"/>
      <c r="BP840" s="149"/>
      <c r="BQ840" s="149"/>
      <c r="BR840" s="149"/>
    </row>
    <row r="841" ht="34" customHeight="1" spans="1:70">
      <c r="A841" s="208">
        <v>847</v>
      </c>
      <c r="B841" s="149"/>
      <c r="C841" s="149"/>
      <c r="D841" s="149"/>
      <c r="E841" s="149"/>
      <c r="F841" s="149"/>
      <c r="G841" s="149"/>
      <c r="H841" s="149"/>
      <c r="I841" s="149"/>
      <c r="J841" s="149"/>
      <c r="K841" s="149"/>
      <c r="L841" s="149"/>
      <c r="M841" s="149"/>
      <c r="N841" s="149"/>
      <c r="O841" s="149"/>
      <c r="P841" s="149"/>
      <c r="Q841" s="149"/>
      <c r="R841" s="149"/>
      <c r="S841" s="149"/>
      <c r="T841" s="149"/>
      <c r="U841" s="149"/>
      <c r="V841" s="149"/>
      <c r="W841" s="149"/>
      <c r="X841" s="149"/>
      <c r="Y841" s="149"/>
      <c r="Z841" s="149"/>
      <c r="AA841" s="149"/>
      <c r="AB841" s="149"/>
      <c r="AC841" s="149"/>
      <c r="AD841" s="149"/>
      <c r="AE841" s="149"/>
      <c r="AF841" s="149"/>
      <c r="AG841" s="149"/>
      <c r="AH841" s="149"/>
      <c r="AI841" s="149"/>
      <c r="AJ841" s="149"/>
      <c r="AK841" s="149"/>
      <c r="AL841" s="149"/>
      <c r="AM841" s="149"/>
      <c r="AN841" s="149"/>
      <c r="AO841" s="149"/>
      <c r="AP841" s="149"/>
      <c r="AR841" s="149"/>
      <c r="AS841" s="149"/>
      <c r="AT841" s="149"/>
      <c r="AU841" s="149"/>
      <c r="AV841" s="149"/>
      <c r="AW841" s="149"/>
      <c r="AX841" s="149"/>
      <c r="AY841" s="149"/>
      <c r="AZ841" s="149"/>
      <c r="BA841" s="149"/>
      <c r="BB841" s="149"/>
      <c r="BC841" s="149"/>
      <c r="BD841" s="149"/>
      <c r="BE841" s="149"/>
      <c r="BF841" s="149"/>
      <c r="BG841" s="149"/>
      <c r="BH841" s="149"/>
      <c r="BI841" s="149"/>
      <c r="BJ841" s="149"/>
      <c r="BK841" s="149"/>
      <c r="BL841" s="149"/>
      <c r="BM841" s="149"/>
      <c r="BN841" s="149"/>
      <c r="BO841" s="149"/>
      <c r="BP841" s="149"/>
      <c r="BQ841" s="149"/>
      <c r="BR841" s="149"/>
    </row>
    <row r="842" ht="34" customHeight="1" spans="1:70">
      <c r="A842" s="208">
        <v>848</v>
      </c>
      <c r="B842" s="149"/>
      <c r="C842" s="149"/>
      <c r="D842" s="149"/>
      <c r="E842" s="149"/>
      <c r="F842" s="149"/>
      <c r="G842" s="149"/>
      <c r="H842" s="149"/>
      <c r="I842" s="149"/>
      <c r="J842" s="149"/>
      <c r="K842" s="149"/>
      <c r="L842" s="149"/>
      <c r="M842" s="149"/>
      <c r="N842" s="149"/>
      <c r="O842" s="149"/>
      <c r="P842" s="149"/>
      <c r="Q842" s="149"/>
      <c r="R842" s="149"/>
      <c r="S842" s="149"/>
      <c r="T842" s="149"/>
      <c r="U842" s="149"/>
      <c r="V842" s="149"/>
      <c r="W842" s="149"/>
      <c r="X842" s="149"/>
      <c r="Y842" s="149"/>
      <c r="Z842" s="149"/>
      <c r="AA842" s="149"/>
      <c r="AB842" s="149"/>
      <c r="AC842" s="149"/>
      <c r="AD842" s="149"/>
      <c r="AE842" s="149"/>
      <c r="AF842" s="149"/>
      <c r="AG842" s="149"/>
      <c r="AH842" s="149"/>
      <c r="AI842" s="149"/>
      <c r="AJ842" s="149"/>
      <c r="AK842" s="149"/>
      <c r="AL842" s="149"/>
      <c r="AM842" s="149"/>
      <c r="AN842" s="149"/>
      <c r="AO842" s="149"/>
      <c r="AP842" s="149"/>
      <c r="AR842" s="149"/>
      <c r="AS842" s="149"/>
      <c r="AT842" s="149"/>
      <c r="AU842" s="149"/>
      <c r="AV842" s="149"/>
      <c r="AW842" s="149"/>
      <c r="AX842" s="149"/>
      <c r="AY842" s="149"/>
      <c r="AZ842" s="149"/>
      <c r="BA842" s="149"/>
      <c r="BB842" s="149"/>
      <c r="BC842" s="149"/>
      <c r="BD842" s="149"/>
      <c r="BE842" s="149"/>
      <c r="BF842" s="149"/>
      <c r="BG842" s="149"/>
      <c r="BH842" s="149"/>
      <c r="BI842" s="149"/>
      <c r="BJ842" s="149"/>
      <c r="BK842" s="149"/>
      <c r="BL842" s="149"/>
      <c r="BM842" s="149"/>
      <c r="BN842" s="149"/>
      <c r="BO842" s="149"/>
      <c r="BP842" s="149"/>
      <c r="BQ842" s="149"/>
      <c r="BR842" s="149"/>
    </row>
    <row r="843" ht="34" customHeight="1" spans="1:70">
      <c r="A843" s="208">
        <v>849</v>
      </c>
      <c r="B843" s="149"/>
      <c r="C843" s="149"/>
      <c r="D843" s="149"/>
      <c r="E843" s="149"/>
      <c r="F843" s="149"/>
      <c r="G843" s="149"/>
      <c r="H843" s="149"/>
      <c r="I843" s="149"/>
      <c r="J843" s="149"/>
      <c r="K843" s="149"/>
      <c r="L843" s="149"/>
      <c r="M843" s="149"/>
      <c r="N843" s="149"/>
      <c r="O843" s="149"/>
      <c r="P843" s="149"/>
      <c r="Q843" s="149"/>
      <c r="R843" s="149"/>
      <c r="S843" s="149"/>
      <c r="T843" s="149"/>
      <c r="U843" s="149"/>
      <c r="V843" s="149"/>
      <c r="W843" s="149"/>
      <c r="X843" s="149"/>
      <c r="Y843" s="149"/>
      <c r="Z843" s="149"/>
      <c r="AA843" s="149"/>
      <c r="AB843" s="149"/>
      <c r="AC843" s="149"/>
      <c r="AD843" s="149"/>
      <c r="AE843" s="149"/>
      <c r="AF843" s="149"/>
      <c r="AG843" s="149"/>
      <c r="AH843" s="149"/>
      <c r="AI843" s="149"/>
      <c r="AJ843" s="149"/>
      <c r="AK843" s="149"/>
      <c r="AL843" s="149"/>
      <c r="AM843" s="149"/>
      <c r="AN843" s="149"/>
      <c r="AO843" s="149"/>
      <c r="AP843" s="149"/>
      <c r="AR843" s="149"/>
      <c r="AS843" s="149"/>
      <c r="AT843" s="149"/>
      <c r="AU843" s="149"/>
      <c r="AV843" s="149"/>
      <c r="AW843" s="149"/>
      <c r="AX843" s="149"/>
      <c r="AY843" s="149"/>
      <c r="AZ843" s="149"/>
      <c r="BA843" s="149"/>
      <c r="BB843" s="149"/>
      <c r="BC843" s="149"/>
      <c r="BD843" s="149"/>
      <c r="BE843" s="149"/>
      <c r="BF843" s="149"/>
      <c r="BG843" s="149"/>
      <c r="BH843" s="149"/>
      <c r="BI843" s="149"/>
      <c r="BJ843" s="149"/>
      <c r="BK843" s="149"/>
      <c r="BL843" s="149"/>
      <c r="BM843" s="149"/>
      <c r="BN843" s="149"/>
      <c r="BO843" s="149"/>
      <c r="BP843" s="149"/>
      <c r="BQ843" s="149"/>
      <c r="BR843" s="149"/>
    </row>
    <row r="844" ht="34" customHeight="1" spans="1:70">
      <c r="A844" s="208">
        <v>850</v>
      </c>
      <c r="B844" s="149"/>
      <c r="C844" s="149"/>
      <c r="D844" s="149"/>
      <c r="E844" s="149"/>
      <c r="F844" s="149"/>
      <c r="G844" s="149"/>
      <c r="H844" s="149"/>
      <c r="I844" s="149"/>
      <c r="J844" s="149"/>
      <c r="K844" s="149"/>
      <c r="L844" s="149"/>
      <c r="M844" s="149"/>
      <c r="N844" s="149"/>
      <c r="O844" s="149"/>
      <c r="P844" s="149"/>
      <c r="Q844" s="149"/>
      <c r="R844" s="149"/>
      <c r="S844" s="149"/>
      <c r="T844" s="149"/>
      <c r="U844" s="149"/>
      <c r="V844" s="149"/>
      <c r="W844" s="149"/>
      <c r="X844" s="149"/>
      <c r="Y844" s="149"/>
      <c r="Z844" s="149"/>
      <c r="AA844" s="149"/>
      <c r="AB844" s="149"/>
      <c r="AC844" s="149"/>
      <c r="AD844" s="149"/>
      <c r="AE844" s="149"/>
      <c r="AF844" s="149"/>
      <c r="AG844" s="149"/>
      <c r="AH844" s="149"/>
      <c r="AI844" s="149"/>
      <c r="AJ844" s="149"/>
      <c r="AK844" s="149"/>
      <c r="AL844" s="149"/>
      <c r="AM844" s="149"/>
      <c r="AN844" s="149"/>
      <c r="AO844" s="149"/>
      <c r="AP844" s="149"/>
      <c r="AR844" s="149"/>
      <c r="AS844" s="149"/>
      <c r="AT844" s="149"/>
      <c r="AU844" s="149"/>
      <c r="AV844" s="149"/>
      <c r="AW844" s="149"/>
      <c r="AX844" s="149"/>
      <c r="AY844" s="149"/>
      <c r="AZ844" s="149"/>
      <c r="BA844" s="149"/>
      <c r="BB844" s="149"/>
      <c r="BC844" s="149"/>
      <c r="BD844" s="149"/>
      <c r="BE844" s="149"/>
      <c r="BF844" s="149"/>
      <c r="BG844" s="149"/>
      <c r="BH844" s="149"/>
      <c r="BI844" s="149"/>
      <c r="BJ844" s="149"/>
      <c r="BK844" s="149"/>
      <c r="BL844" s="149"/>
      <c r="BM844" s="149"/>
      <c r="BN844" s="149"/>
      <c r="BO844" s="149"/>
      <c r="BP844" s="149"/>
      <c r="BQ844" s="149"/>
      <c r="BR844" s="149"/>
    </row>
    <row r="845" ht="34" customHeight="1" spans="1:70">
      <c r="A845" s="208">
        <v>851</v>
      </c>
      <c r="B845" s="149"/>
      <c r="C845" s="149"/>
      <c r="D845" s="149"/>
      <c r="E845" s="149"/>
      <c r="F845" s="149"/>
      <c r="G845" s="149"/>
      <c r="H845" s="149"/>
      <c r="I845" s="149"/>
      <c r="J845" s="149"/>
      <c r="K845" s="149"/>
      <c r="L845" s="149"/>
      <c r="M845" s="149"/>
      <c r="N845" s="149"/>
      <c r="O845" s="149"/>
      <c r="P845" s="149"/>
      <c r="Q845" s="149"/>
      <c r="R845" s="149"/>
      <c r="S845" s="149"/>
      <c r="T845" s="149"/>
      <c r="U845" s="149"/>
      <c r="V845" s="149"/>
      <c r="W845" s="149"/>
      <c r="X845" s="149"/>
      <c r="Y845" s="149"/>
      <c r="Z845" s="149"/>
      <c r="AA845" s="149"/>
      <c r="AB845" s="149"/>
      <c r="AC845" s="149"/>
      <c r="AD845" s="149"/>
      <c r="AE845" s="149"/>
      <c r="AF845" s="149"/>
      <c r="AG845" s="149"/>
      <c r="AH845" s="149"/>
      <c r="AI845" s="149"/>
      <c r="AJ845" s="149"/>
      <c r="AK845" s="149"/>
      <c r="AL845" s="149"/>
      <c r="AM845" s="149"/>
      <c r="AN845" s="149"/>
      <c r="AO845" s="149"/>
      <c r="AP845" s="149"/>
      <c r="AR845" s="149"/>
      <c r="AS845" s="149"/>
      <c r="AT845" s="149"/>
      <c r="AU845" s="149"/>
      <c r="AV845" s="149"/>
      <c r="AW845" s="149"/>
      <c r="AX845" s="149"/>
      <c r="AY845" s="149"/>
      <c r="AZ845" s="149"/>
      <c r="BA845" s="149"/>
      <c r="BB845" s="149"/>
      <c r="BC845" s="149"/>
      <c r="BD845" s="149"/>
      <c r="BE845" s="149"/>
      <c r="BF845" s="149"/>
      <c r="BG845" s="149"/>
      <c r="BH845" s="149"/>
      <c r="BI845" s="149"/>
      <c r="BJ845" s="149"/>
      <c r="BK845" s="149"/>
      <c r="BL845" s="149"/>
      <c r="BM845" s="149"/>
      <c r="BN845" s="149"/>
      <c r="BO845" s="149"/>
      <c r="BP845" s="149"/>
      <c r="BQ845" s="149"/>
      <c r="BR845" s="149"/>
    </row>
    <row r="846" ht="34" customHeight="1" spans="1:70">
      <c r="A846" s="208">
        <v>852</v>
      </c>
      <c r="B846" s="149"/>
      <c r="C846" s="149"/>
      <c r="D846" s="149"/>
      <c r="E846" s="149"/>
      <c r="F846" s="149"/>
      <c r="G846" s="149"/>
      <c r="H846" s="149"/>
      <c r="I846" s="149"/>
      <c r="J846" s="149"/>
      <c r="K846" s="149"/>
      <c r="L846" s="149"/>
      <c r="M846" s="149"/>
      <c r="N846" s="149"/>
      <c r="O846" s="149"/>
      <c r="P846" s="149"/>
      <c r="Q846" s="149"/>
      <c r="R846" s="149"/>
      <c r="S846" s="149"/>
      <c r="T846" s="149"/>
      <c r="U846" s="149"/>
      <c r="V846" s="149"/>
      <c r="W846" s="149"/>
      <c r="X846" s="149"/>
      <c r="Y846" s="149"/>
      <c r="Z846" s="149"/>
      <c r="AA846" s="149"/>
      <c r="AB846" s="149"/>
      <c r="AC846" s="149"/>
      <c r="AD846" s="149"/>
      <c r="AE846" s="149"/>
      <c r="AF846" s="149"/>
      <c r="AG846" s="149"/>
      <c r="AH846" s="149"/>
      <c r="AI846" s="149"/>
      <c r="AJ846" s="149"/>
      <c r="AK846" s="149"/>
      <c r="AL846" s="149"/>
      <c r="AM846" s="149"/>
      <c r="AN846" s="149"/>
      <c r="AO846" s="149"/>
      <c r="AP846" s="149"/>
      <c r="AR846" s="149"/>
      <c r="AS846" s="149"/>
      <c r="AT846" s="149"/>
      <c r="AU846" s="149"/>
      <c r="AV846" s="149"/>
      <c r="AW846" s="149"/>
      <c r="AX846" s="149"/>
      <c r="AY846" s="149"/>
      <c r="AZ846" s="149"/>
      <c r="BA846" s="149"/>
      <c r="BB846" s="149"/>
      <c r="BC846" s="149"/>
      <c r="BD846" s="149"/>
      <c r="BE846" s="149"/>
      <c r="BF846" s="149"/>
      <c r="BG846" s="149"/>
      <c r="BH846" s="149"/>
      <c r="BI846" s="149"/>
      <c r="BJ846" s="149"/>
      <c r="BK846" s="149"/>
      <c r="BL846" s="149"/>
      <c r="BM846" s="149"/>
      <c r="BN846" s="149"/>
      <c r="BO846" s="149"/>
      <c r="BP846" s="149"/>
      <c r="BQ846" s="149"/>
      <c r="BR846" s="149"/>
    </row>
    <row r="847" ht="34" customHeight="1" spans="1:70">
      <c r="A847" s="208">
        <v>853</v>
      </c>
      <c r="B847" s="149"/>
      <c r="C847" s="149"/>
      <c r="D847" s="149"/>
      <c r="E847" s="149"/>
      <c r="F847" s="149"/>
      <c r="G847" s="149"/>
      <c r="H847" s="149"/>
      <c r="I847" s="149"/>
      <c r="J847" s="149"/>
      <c r="K847" s="149"/>
      <c r="L847" s="149"/>
      <c r="M847" s="149"/>
      <c r="N847" s="149"/>
      <c r="O847" s="149"/>
      <c r="P847" s="149"/>
      <c r="Q847" s="149"/>
      <c r="R847" s="149"/>
      <c r="S847" s="149"/>
      <c r="T847" s="149"/>
      <c r="U847" s="149"/>
      <c r="V847" s="149"/>
      <c r="W847" s="149"/>
      <c r="X847" s="149"/>
      <c r="Y847" s="149"/>
      <c r="Z847" s="149"/>
      <c r="AA847" s="149"/>
      <c r="AB847" s="149"/>
      <c r="AC847" s="149"/>
      <c r="AD847" s="149"/>
      <c r="AE847" s="149"/>
      <c r="AF847" s="149"/>
      <c r="AG847" s="149"/>
      <c r="AH847" s="149"/>
      <c r="AI847" s="149"/>
      <c r="AJ847" s="149"/>
      <c r="AK847" s="149"/>
      <c r="AL847" s="149"/>
      <c r="AM847" s="149"/>
      <c r="AN847" s="149"/>
      <c r="AO847" s="149"/>
      <c r="AP847" s="149"/>
      <c r="AR847" s="149"/>
      <c r="AS847" s="149"/>
      <c r="AT847" s="149"/>
      <c r="AU847" s="149"/>
      <c r="AV847" s="149"/>
      <c r="AW847" s="149"/>
      <c r="AX847" s="149"/>
      <c r="AY847" s="149"/>
      <c r="AZ847" s="149"/>
      <c r="BA847" s="149"/>
      <c r="BB847" s="149"/>
      <c r="BC847" s="149"/>
      <c r="BD847" s="149"/>
      <c r="BE847" s="149"/>
      <c r="BF847" s="149"/>
      <c r="BG847" s="149"/>
      <c r="BH847" s="149"/>
      <c r="BI847" s="149"/>
      <c r="BJ847" s="149"/>
      <c r="BK847" s="149"/>
      <c r="BL847" s="149"/>
      <c r="BM847" s="149"/>
      <c r="BN847" s="149"/>
      <c r="BO847" s="149"/>
      <c r="BP847" s="149"/>
      <c r="BQ847" s="149"/>
      <c r="BR847" s="149"/>
    </row>
    <row r="848" ht="34" customHeight="1" spans="1:70">
      <c r="A848" s="208">
        <v>854</v>
      </c>
      <c r="B848" s="149"/>
      <c r="C848" s="149"/>
      <c r="D848" s="149"/>
      <c r="E848" s="149"/>
      <c r="F848" s="149"/>
      <c r="G848" s="149"/>
      <c r="H848" s="149"/>
      <c r="I848" s="149"/>
      <c r="J848" s="149"/>
      <c r="K848" s="149"/>
      <c r="L848" s="149"/>
      <c r="M848" s="149"/>
      <c r="N848" s="149"/>
      <c r="O848" s="149"/>
      <c r="P848" s="149"/>
      <c r="Q848" s="149"/>
      <c r="R848" s="149"/>
      <c r="S848" s="149"/>
      <c r="T848" s="149"/>
      <c r="U848" s="149"/>
      <c r="V848" s="149"/>
      <c r="W848" s="149"/>
      <c r="X848" s="149"/>
      <c r="Y848" s="149"/>
      <c r="Z848" s="149"/>
      <c r="AA848" s="149"/>
      <c r="AB848" s="149"/>
      <c r="AC848" s="149"/>
      <c r="AD848" s="149"/>
      <c r="AE848" s="149"/>
      <c r="AF848" s="149"/>
      <c r="AG848" s="149"/>
      <c r="AH848" s="149"/>
      <c r="AI848" s="149"/>
      <c r="AJ848" s="149"/>
      <c r="AK848" s="149"/>
      <c r="AL848" s="149"/>
      <c r="AM848" s="149"/>
      <c r="AN848" s="149"/>
      <c r="AO848" s="149"/>
      <c r="AP848" s="149"/>
      <c r="AR848" s="149"/>
      <c r="AS848" s="149"/>
      <c r="AT848" s="149"/>
      <c r="AU848" s="149"/>
      <c r="AV848" s="149"/>
      <c r="AW848" s="149"/>
      <c r="AX848" s="149"/>
      <c r="AY848" s="149"/>
      <c r="AZ848" s="149"/>
      <c r="BA848" s="149"/>
      <c r="BB848" s="149"/>
      <c r="BC848" s="149"/>
      <c r="BD848" s="149"/>
      <c r="BE848" s="149"/>
      <c r="BF848" s="149"/>
      <c r="BG848" s="149"/>
      <c r="BH848" s="149"/>
      <c r="BI848" s="149"/>
      <c r="BJ848" s="149"/>
      <c r="BK848" s="149"/>
      <c r="BL848" s="149"/>
      <c r="BM848" s="149"/>
      <c r="BN848" s="149"/>
      <c r="BO848" s="149"/>
      <c r="BP848" s="149"/>
      <c r="BQ848" s="149"/>
      <c r="BR848" s="149"/>
    </row>
    <row r="849" ht="34" customHeight="1" spans="1:70">
      <c r="A849" s="208">
        <v>855</v>
      </c>
      <c r="B849" s="149"/>
      <c r="C849" s="149"/>
      <c r="D849" s="149"/>
      <c r="E849" s="149"/>
      <c r="F849" s="149"/>
      <c r="G849" s="149"/>
      <c r="H849" s="149"/>
      <c r="I849" s="149"/>
      <c r="J849" s="149"/>
      <c r="K849" s="149"/>
      <c r="L849" s="149"/>
      <c r="M849" s="149"/>
      <c r="N849" s="149"/>
      <c r="O849" s="149"/>
      <c r="P849" s="149"/>
      <c r="Q849" s="149"/>
      <c r="R849" s="149"/>
      <c r="S849" s="149"/>
      <c r="T849" s="149"/>
      <c r="U849" s="149"/>
      <c r="V849" s="149"/>
      <c r="W849" s="149"/>
      <c r="X849" s="149"/>
      <c r="Y849" s="149"/>
      <c r="Z849" s="149"/>
      <c r="AA849" s="149"/>
      <c r="AB849" s="149"/>
      <c r="AC849" s="149"/>
      <c r="AD849" s="149"/>
      <c r="AE849" s="149"/>
      <c r="AF849" s="149"/>
      <c r="AG849" s="149"/>
      <c r="AH849" s="149"/>
      <c r="AI849" s="149"/>
      <c r="AJ849" s="149"/>
      <c r="AK849" s="149"/>
      <c r="AL849" s="149"/>
      <c r="AM849" s="149"/>
      <c r="AN849" s="149"/>
      <c r="AO849" s="149"/>
      <c r="AP849" s="149"/>
      <c r="AR849" s="149"/>
      <c r="AS849" s="149"/>
      <c r="AT849" s="149"/>
      <c r="AU849" s="149"/>
      <c r="AV849" s="149"/>
      <c r="AW849" s="149"/>
      <c r="AX849" s="149"/>
      <c r="AY849" s="149"/>
      <c r="AZ849" s="149"/>
      <c r="BA849" s="149"/>
      <c r="BB849" s="149"/>
      <c r="BC849" s="149"/>
      <c r="BD849" s="149"/>
      <c r="BE849" s="149"/>
      <c r="BF849" s="149"/>
      <c r="BG849" s="149"/>
      <c r="BH849" s="149"/>
      <c r="BI849" s="149"/>
      <c r="BJ849" s="149"/>
      <c r="BK849" s="149"/>
      <c r="BL849" s="149"/>
      <c r="BM849" s="149"/>
      <c r="BN849" s="149"/>
      <c r="BO849" s="149"/>
      <c r="BP849" s="149"/>
      <c r="BQ849" s="149"/>
      <c r="BR849" s="149"/>
    </row>
    <row r="850" ht="34" customHeight="1" spans="1:70">
      <c r="A850" s="208">
        <v>856</v>
      </c>
      <c r="B850" s="149"/>
      <c r="C850" s="149"/>
      <c r="D850" s="149"/>
      <c r="E850" s="149"/>
      <c r="F850" s="149"/>
      <c r="G850" s="149"/>
      <c r="H850" s="149"/>
      <c r="I850" s="149"/>
      <c r="J850" s="149"/>
      <c r="K850" s="149"/>
      <c r="L850" s="149"/>
      <c r="M850" s="149"/>
      <c r="N850" s="149"/>
      <c r="O850" s="149"/>
      <c r="P850" s="149"/>
      <c r="Q850" s="149"/>
      <c r="R850" s="14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row>
    <row r="851" ht="34" customHeight="1" spans="1:70">
      <c r="A851" s="208">
        <v>857</v>
      </c>
      <c r="B851" s="149"/>
      <c r="C851" s="149"/>
      <c r="D851" s="149"/>
      <c r="E851" s="149"/>
      <c r="F851" s="149"/>
      <c r="G851" s="149"/>
      <c r="H851" s="149"/>
      <c r="I851" s="149"/>
      <c r="J851" s="149"/>
      <c r="K851" s="149"/>
      <c r="L851" s="149"/>
      <c r="M851" s="149"/>
      <c r="N851" s="149"/>
      <c r="O851" s="149"/>
      <c r="P851" s="149"/>
      <c r="Q851" s="149"/>
      <c r="R851" s="14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row>
    <row r="852" ht="34" customHeight="1" spans="1:70">
      <c r="A852" s="208">
        <v>858</v>
      </c>
      <c r="B852" s="149"/>
      <c r="C852" s="149"/>
      <c r="D852" s="149"/>
      <c r="E852" s="149"/>
      <c r="F852" s="149"/>
      <c r="G852" s="149"/>
      <c r="H852" s="149"/>
      <c r="I852" s="149"/>
      <c r="J852" s="149"/>
      <c r="K852" s="149"/>
      <c r="L852" s="149"/>
      <c r="M852" s="149"/>
      <c r="N852" s="149"/>
      <c r="O852" s="149"/>
      <c r="P852" s="149"/>
      <c r="Q852" s="149"/>
      <c r="R852" s="149"/>
      <c r="S852" s="149"/>
      <c r="T852" s="149"/>
      <c r="U852" s="149"/>
      <c r="V852" s="149"/>
      <c r="W852" s="149"/>
      <c r="X852" s="149"/>
      <c r="Y852" s="149"/>
      <c r="Z852" s="149"/>
      <c r="AA852" s="149"/>
      <c r="AB852" s="149"/>
      <c r="AC852" s="149"/>
      <c r="AD852" s="149"/>
      <c r="AE852" s="149"/>
      <c r="AF852" s="149"/>
      <c r="AG852" s="149"/>
      <c r="AH852" s="149"/>
      <c r="AI852" s="149"/>
      <c r="AJ852" s="149"/>
      <c r="AK852" s="149"/>
      <c r="AL852" s="149"/>
      <c r="AM852" s="149"/>
      <c r="AN852" s="149"/>
      <c r="AO852" s="149"/>
      <c r="AP852" s="149"/>
      <c r="AR852" s="149"/>
      <c r="AS852" s="149"/>
      <c r="AT852" s="149"/>
      <c r="AU852" s="149"/>
      <c r="AV852" s="149"/>
      <c r="AW852" s="149"/>
      <c r="AX852" s="149"/>
      <c r="AY852" s="149"/>
      <c r="AZ852" s="149"/>
      <c r="BA852" s="149"/>
      <c r="BB852" s="149"/>
      <c r="BC852" s="149"/>
      <c r="BD852" s="149"/>
      <c r="BE852" s="149"/>
      <c r="BF852" s="149"/>
      <c r="BG852" s="149"/>
      <c r="BH852" s="149"/>
      <c r="BI852" s="149"/>
      <c r="BJ852" s="149"/>
      <c r="BK852" s="149"/>
      <c r="BL852" s="149"/>
      <c r="BM852" s="149"/>
      <c r="BN852" s="149"/>
      <c r="BO852" s="149"/>
      <c r="BP852" s="149"/>
      <c r="BQ852" s="149"/>
      <c r="BR852" s="149"/>
    </row>
    <row r="853" ht="34" customHeight="1" spans="1:70">
      <c r="A853" s="208">
        <v>859</v>
      </c>
      <c r="B853" s="149"/>
      <c r="C853" s="149"/>
      <c r="D853" s="149"/>
      <c r="E853" s="149"/>
      <c r="F853" s="149"/>
      <c r="G853" s="149"/>
      <c r="H853" s="149"/>
      <c r="I853" s="149"/>
      <c r="J853" s="149"/>
      <c r="K853" s="149"/>
      <c r="L853" s="149"/>
      <c r="M853" s="149"/>
      <c r="N853" s="149"/>
      <c r="O853" s="149"/>
      <c r="P853" s="149"/>
      <c r="Q853" s="149"/>
      <c r="R853" s="149"/>
      <c r="S853" s="149"/>
      <c r="T853" s="149"/>
      <c r="U853" s="149"/>
      <c r="V853" s="149"/>
      <c r="W853" s="149"/>
      <c r="X853" s="149"/>
      <c r="Y853" s="149"/>
      <c r="Z853" s="149"/>
      <c r="AA853" s="149"/>
      <c r="AB853" s="149"/>
      <c r="AC853" s="149"/>
      <c r="AD853" s="149"/>
      <c r="AE853" s="149"/>
      <c r="AF853" s="149"/>
      <c r="AG853" s="149"/>
      <c r="AH853" s="149"/>
      <c r="AI853" s="149"/>
      <c r="AJ853" s="149"/>
      <c r="AK853" s="149"/>
      <c r="AL853" s="149"/>
      <c r="AM853" s="149"/>
      <c r="AN853" s="149"/>
      <c r="AO853" s="149"/>
      <c r="AP853" s="149"/>
      <c r="AR853" s="149"/>
      <c r="AS853" s="149"/>
      <c r="AT853" s="149"/>
      <c r="AU853" s="149"/>
      <c r="AV853" s="149"/>
      <c r="AW853" s="149"/>
      <c r="AX853" s="149"/>
      <c r="AY853" s="149"/>
      <c r="AZ853" s="149"/>
      <c r="BA853" s="149"/>
      <c r="BB853" s="149"/>
      <c r="BC853" s="149"/>
      <c r="BD853" s="149"/>
      <c r="BE853" s="149"/>
      <c r="BF853" s="149"/>
      <c r="BG853" s="149"/>
      <c r="BH853" s="149"/>
      <c r="BI853" s="149"/>
      <c r="BJ853" s="149"/>
      <c r="BK853" s="149"/>
      <c r="BL853" s="149"/>
      <c r="BM853" s="149"/>
      <c r="BN853" s="149"/>
      <c r="BO853" s="149"/>
      <c r="BP853" s="149"/>
      <c r="BQ853" s="149"/>
      <c r="BR853" s="149"/>
    </row>
    <row r="854" ht="34" customHeight="1" spans="1:70">
      <c r="A854" s="208">
        <v>860</v>
      </c>
      <c r="B854" s="149"/>
      <c r="C854" s="149"/>
      <c r="D854" s="149"/>
      <c r="E854" s="149"/>
      <c r="F854" s="149"/>
      <c r="G854" s="149"/>
      <c r="H854" s="149"/>
      <c r="I854" s="149"/>
      <c r="J854" s="149"/>
      <c r="K854" s="149"/>
      <c r="L854" s="149"/>
      <c r="M854" s="149"/>
      <c r="N854" s="149"/>
      <c r="O854" s="149"/>
      <c r="P854" s="149"/>
      <c r="Q854" s="149"/>
      <c r="R854" s="149"/>
      <c r="S854" s="149"/>
      <c r="T854" s="149"/>
      <c r="U854" s="149"/>
      <c r="V854" s="149"/>
      <c r="W854" s="149"/>
      <c r="X854" s="149"/>
      <c r="Y854" s="149"/>
      <c r="Z854" s="149"/>
      <c r="AA854" s="149"/>
      <c r="AB854" s="149"/>
      <c r="AC854" s="149"/>
      <c r="AD854" s="149"/>
      <c r="AE854" s="149"/>
      <c r="AF854" s="149"/>
      <c r="AG854" s="149"/>
      <c r="AH854" s="149"/>
      <c r="AI854" s="149"/>
      <c r="AJ854" s="149"/>
      <c r="AK854" s="149"/>
      <c r="AL854" s="149"/>
      <c r="AM854" s="149"/>
      <c r="AN854" s="149"/>
      <c r="AO854" s="149"/>
      <c r="AP854" s="149"/>
      <c r="AR854" s="149"/>
      <c r="AS854" s="149"/>
      <c r="AT854" s="149"/>
      <c r="AU854" s="149"/>
      <c r="AV854" s="149"/>
      <c r="AW854" s="149"/>
      <c r="AX854" s="149"/>
      <c r="AY854" s="149"/>
      <c r="AZ854" s="149"/>
      <c r="BA854" s="149"/>
      <c r="BB854" s="149"/>
      <c r="BC854" s="149"/>
      <c r="BD854" s="149"/>
      <c r="BE854" s="149"/>
      <c r="BF854" s="149"/>
      <c r="BG854" s="149"/>
      <c r="BH854" s="149"/>
      <c r="BI854" s="149"/>
      <c r="BJ854" s="149"/>
      <c r="BK854" s="149"/>
      <c r="BL854" s="149"/>
      <c r="BM854" s="149"/>
      <c r="BN854" s="149"/>
      <c r="BO854" s="149"/>
      <c r="BP854" s="149"/>
      <c r="BQ854" s="149"/>
      <c r="BR854" s="149"/>
    </row>
    <row r="855" ht="34" customHeight="1" spans="1:70">
      <c r="A855" s="208">
        <v>861</v>
      </c>
      <c r="B855" s="149"/>
      <c r="C855" s="149"/>
      <c r="D855" s="149"/>
      <c r="E855" s="149"/>
      <c r="F855" s="149"/>
      <c r="G855" s="149"/>
      <c r="H855" s="149"/>
      <c r="I855" s="149"/>
      <c r="J855" s="149"/>
      <c r="K855" s="149"/>
      <c r="L855" s="149"/>
      <c r="M855" s="149"/>
      <c r="N855" s="149"/>
      <c r="O855" s="149"/>
      <c r="P855" s="149"/>
      <c r="Q855" s="149"/>
      <c r="R855" s="149"/>
      <c r="S855" s="149"/>
      <c r="T855" s="149"/>
      <c r="U855" s="149"/>
      <c r="V855" s="149"/>
      <c r="W855" s="149"/>
      <c r="X855" s="149"/>
      <c r="Y855" s="149"/>
      <c r="Z855" s="149"/>
      <c r="AA855" s="149"/>
      <c r="AB855" s="149"/>
      <c r="AC855" s="149"/>
      <c r="AD855" s="149"/>
      <c r="AE855" s="149"/>
      <c r="AF855" s="149"/>
      <c r="AG855" s="149"/>
      <c r="AH855" s="149"/>
      <c r="AI855" s="149"/>
      <c r="AJ855" s="149"/>
      <c r="AK855" s="149"/>
      <c r="AL855" s="149"/>
      <c r="AM855" s="149"/>
      <c r="AN855" s="149"/>
      <c r="AO855" s="149"/>
      <c r="AP855" s="149"/>
      <c r="AR855" s="149"/>
      <c r="AS855" s="149"/>
      <c r="AT855" s="149"/>
      <c r="AU855" s="149"/>
      <c r="AV855" s="149"/>
      <c r="AW855" s="149"/>
      <c r="AX855" s="149"/>
      <c r="AY855" s="149"/>
      <c r="AZ855" s="149"/>
      <c r="BA855" s="149"/>
      <c r="BB855" s="149"/>
      <c r="BC855" s="149"/>
      <c r="BD855" s="149"/>
      <c r="BE855" s="149"/>
      <c r="BF855" s="149"/>
      <c r="BG855" s="149"/>
      <c r="BH855" s="149"/>
      <c r="BI855" s="149"/>
      <c r="BJ855" s="149"/>
      <c r="BK855" s="149"/>
      <c r="BL855" s="149"/>
      <c r="BM855" s="149"/>
      <c r="BN855" s="149"/>
      <c r="BO855" s="149"/>
      <c r="BP855" s="149"/>
      <c r="BQ855" s="149"/>
      <c r="BR855" s="149"/>
    </row>
    <row r="856" ht="34" customHeight="1" spans="1:70">
      <c r="A856" s="208">
        <v>862</v>
      </c>
      <c r="B856" s="149"/>
      <c r="C856" s="149"/>
      <c r="D856" s="149"/>
      <c r="E856" s="149"/>
      <c r="F856" s="149"/>
      <c r="G856" s="149"/>
      <c r="H856" s="149"/>
      <c r="I856" s="149"/>
      <c r="J856" s="149"/>
      <c r="K856" s="149"/>
      <c r="L856" s="149"/>
      <c r="M856" s="149"/>
      <c r="N856" s="149"/>
      <c r="O856" s="149"/>
      <c r="P856" s="149"/>
      <c r="Q856" s="149"/>
      <c r="R856" s="149"/>
      <c r="S856" s="149"/>
      <c r="T856" s="149"/>
      <c r="U856" s="149"/>
      <c r="V856" s="149"/>
      <c r="W856" s="149"/>
      <c r="X856" s="149"/>
      <c r="Y856" s="149"/>
      <c r="Z856" s="149"/>
      <c r="AA856" s="149"/>
      <c r="AB856" s="149"/>
      <c r="AC856" s="149"/>
      <c r="AD856" s="149"/>
      <c r="AE856" s="149"/>
      <c r="AF856" s="149"/>
      <c r="AG856" s="149"/>
      <c r="AH856" s="149"/>
      <c r="AI856" s="149"/>
      <c r="AJ856" s="149"/>
      <c r="AK856" s="149"/>
      <c r="AL856" s="149"/>
      <c r="AM856" s="149"/>
      <c r="AN856" s="149"/>
      <c r="AO856" s="149"/>
      <c r="AP856" s="149"/>
      <c r="AR856" s="149"/>
      <c r="AS856" s="149"/>
      <c r="AT856" s="149"/>
      <c r="AU856" s="149"/>
      <c r="AV856" s="149"/>
      <c r="AW856" s="149"/>
      <c r="AX856" s="149"/>
      <c r="AY856" s="149"/>
      <c r="AZ856" s="149"/>
      <c r="BA856" s="149"/>
      <c r="BB856" s="149"/>
      <c r="BC856" s="149"/>
      <c r="BD856" s="149"/>
      <c r="BE856" s="149"/>
      <c r="BF856" s="149"/>
      <c r="BG856" s="149"/>
      <c r="BH856" s="149"/>
      <c r="BI856" s="149"/>
      <c r="BJ856" s="149"/>
      <c r="BK856" s="149"/>
      <c r="BL856" s="149"/>
      <c r="BM856" s="149"/>
      <c r="BN856" s="149"/>
      <c r="BO856" s="149"/>
      <c r="BP856" s="149"/>
      <c r="BQ856" s="149"/>
      <c r="BR856" s="149"/>
    </row>
    <row r="857" ht="34" customHeight="1" spans="1:70">
      <c r="A857" s="208">
        <v>863</v>
      </c>
      <c r="B857" s="149"/>
      <c r="C857" s="149"/>
      <c r="D857" s="149"/>
      <c r="E857" s="149"/>
      <c r="F857" s="149"/>
      <c r="G857" s="149"/>
      <c r="H857" s="149"/>
      <c r="I857" s="149"/>
      <c r="J857" s="149"/>
      <c r="K857" s="149"/>
      <c r="L857" s="149"/>
      <c r="M857" s="149"/>
      <c r="N857" s="149"/>
      <c r="O857" s="149"/>
      <c r="P857" s="149"/>
      <c r="Q857" s="149"/>
      <c r="R857" s="149"/>
      <c r="S857" s="149"/>
      <c r="T857" s="149"/>
      <c r="U857" s="149"/>
      <c r="V857" s="149"/>
      <c r="W857" s="149"/>
      <c r="X857" s="149"/>
      <c r="Y857" s="149"/>
      <c r="Z857" s="149"/>
      <c r="AA857" s="149"/>
      <c r="AB857" s="149"/>
      <c r="AC857" s="149"/>
      <c r="AD857" s="149"/>
      <c r="AE857" s="149"/>
      <c r="AF857" s="149"/>
      <c r="AG857" s="149"/>
      <c r="AH857" s="149"/>
      <c r="AI857" s="149"/>
      <c r="AJ857" s="149"/>
      <c r="AK857" s="149"/>
      <c r="AL857" s="149"/>
      <c r="AM857" s="149"/>
      <c r="AN857" s="149"/>
      <c r="AO857" s="149"/>
      <c r="AP857" s="149"/>
      <c r="AR857" s="149"/>
      <c r="AS857" s="149"/>
      <c r="AT857" s="149"/>
      <c r="AU857" s="149"/>
      <c r="AV857" s="149"/>
      <c r="AW857" s="149"/>
      <c r="AX857" s="149"/>
      <c r="AY857" s="149"/>
      <c r="AZ857" s="149"/>
      <c r="BA857" s="149"/>
      <c r="BB857" s="149"/>
      <c r="BC857" s="149"/>
      <c r="BD857" s="149"/>
      <c r="BE857" s="149"/>
      <c r="BF857" s="149"/>
      <c r="BG857" s="149"/>
      <c r="BH857" s="149"/>
      <c r="BI857" s="149"/>
      <c r="BJ857" s="149"/>
      <c r="BK857" s="149"/>
      <c r="BL857" s="149"/>
      <c r="BM857" s="149"/>
      <c r="BN857" s="149"/>
      <c r="BO857" s="149"/>
      <c r="BP857" s="149"/>
      <c r="BQ857" s="149"/>
      <c r="BR857" s="149"/>
    </row>
    <row r="858" ht="34" customHeight="1" spans="1:70">
      <c r="A858" s="208">
        <v>864</v>
      </c>
      <c r="B858" s="149"/>
      <c r="C858" s="149"/>
      <c r="D858" s="149"/>
      <c r="E858" s="149"/>
      <c r="F858" s="149"/>
      <c r="G858" s="149"/>
      <c r="H858" s="149"/>
      <c r="I858" s="149"/>
      <c r="J858" s="149"/>
      <c r="K858" s="149"/>
      <c r="L858" s="149"/>
      <c r="M858" s="149"/>
      <c r="N858" s="149"/>
      <c r="O858" s="149"/>
      <c r="P858" s="149"/>
      <c r="Q858" s="149"/>
      <c r="R858" s="149"/>
      <c r="S858" s="149"/>
      <c r="T858" s="149"/>
      <c r="U858" s="149"/>
      <c r="V858" s="149"/>
      <c r="W858" s="149"/>
      <c r="X858" s="149"/>
      <c r="Y858" s="149"/>
      <c r="Z858" s="149"/>
      <c r="AA858" s="149"/>
      <c r="AB858" s="149"/>
      <c r="AC858" s="149"/>
      <c r="AD858" s="149"/>
      <c r="AE858" s="149"/>
      <c r="AF858" s="149"/>
      <c r="AG858" s="149"/>
      <c r="AH858" s="149"/>
      <c r="AI858" s="149"/>
      <c r="AJ858" s="149"/>
      <c r="AK858" s="149"/>
      <c r="AL858" s="149"/>
      <c r="AM858" s="149"/>
      <c r="AN858" s="149"/>
      <c r="AO858" s="149"/>
      <c r="AP858" s="149"/>
      <c r="AR858" s="149"/>
      <c r="AS858" s="149"/>
      <c r="AT858" s="149"/>
      <c r="AU858" s="149"/>
      <c r="AV858" s="149"/>
      <c r="AW858" s="149"/>
      <c r="AX858" s="149"/>
      <c r="AY858" s="149"/>
      <c r="AZ858" s="149"/>
      <c r="BA858" s="149"/>
      <c r="BB858" s="149"/>
      <c r="BC858" s="149"/>
      <c r="BD858" s="149"/>
      <c r="BE858" s="149"/>
      <c r="BF858" s="149"/>
      <c r="BG858" s="149"/>
      <c r="BH858" s="149"/>
      <c r="BI858" s="149"/>
      <c r="BJ858" s="149"/>
      <c r="BK858" s="149"/>
      <c r="BL858" s="149"/>
      <c r="BM858" s="149"/>
      <c r="BN858" s="149"/>
      <c r="BO858" s="149"/>
      <c r="BP858" s="149"/>
      <c r="BQ858" s="149"/>
      <c r="BR858" s="149"/>
    </row>
    <row r="859" ht="34" customHeight="1" spans="1:70">
      <c r="A859" s="208">
        <v>865</v>
      </c>
      <c r="B859" s="149"/>
      <c r="C859" s="149"/>
      <c r="D859" s="149"/>
      <c r="E859" s="149"/>
      <c r="F859" s="149"/>
      <c r="G859" s="149"/>
      <c r="H859" s="149"/>
      <c r="I859" s="149"/>
      <c r="J859" s="149"/>
      <c r="K859" s="149"/>
      <c r="L859" s="149"/>
      <c r="M859" s="149"/>
      <c r="N859" s="149"/>
      <c r="O859" s="149"/>
      <c r="P859" s="149"/>
      <c r="Q859" s="149"/>
      <c r="R859" s="149"/>
      <c r="S859" s="149"/>
      <c r="T859" s="149"/>
      <c r="U859" s="149"/>
      <c r="V859" s="149"/>
      <c r="W859" s="149"/>
      <c r="X859" s="149"/>
      <c r="Y859" s="149"/>
      <c r="Z859" s="149"/>
      <c r="AA859" s="149"/>
      <c r="AB859" s="149"/>
      <c r="AC859" s="149"/>
      <c r="AD859" s="149"/>
      <c r="AE859" s="149"/>
      <c r="AF859" s="149"/>
      <c r="AG859" s="149"/>
      <c r="AH859" s="149"/>
      <c r="AI859" s="149"/>
      <c r="AJ859" s="149"/>
      <c r="AK859" s="149"/>
      <c r="AL859" s="149"/>
      <c r="AM859" s="149"/>
      <c r="AN859" s="149"/>
      <c r="AO859" s="149"/>
      <c r="AP859" s="149"/>
      <c r="AR859" s="149"/>
      <c r="AS859" s="149"/>
      <c r="AT859" s="149"/>
      <c r="AU859" s="149"/>
      <c r="AV859" s="149"/>
      <c r="AW859" s="149"/>
      <c r="AX859" s="149"/>
      <c r="AY859" s="149"/>
      <c r="AZ859" s="149"/>
      <c r="BA859" s="149"/>
      <c r="BB859" s="149"/>
      <c r="BC859" s="149"/>
      <c r="BD859" s="149"/>
      <c r="BE859" s="149"/>
      <c r="BF859" s="149"/>
      <c r="BG859" s="149"/>
      <c r="BH859" s="149"/>
      <c r="BI859" s="149"/>
      <c r="BJ859" s="149"/>
      <c r="BK859" s="149"/>
      <c r="BL859" s="149"/>
      <c r="BM859" s="149"/>
      <c r="BN859" s="149"/>
      <c r="BO859" s="149"/>
      <c r="BP859" s="149"/>
      <c r="BQ859" s="149"/>
      <c r="BR859" s="149"/>
    </row>
    <row r="860" ht="34" customHeight="1" spans="1:70">
      <c r="A860" s="208">
        <v>866</v>
      </c>
      <c r="B860" s="149"/>
      <c r="C860" s="149"/>
      <c r="D860" s="149"/>
      <c r="E860" s="149"/>
      <c r="F860" s="149"/>
      <c r="G860" s="149"/>
      <c r="H860" s="149"/>
      <c r="I860" s="149"/>
      <c r="J860" s="149"/>
      <c r="K860" s="149"/>
      <c r="L860" s="149"/>
      <c r="M860" s="149"/>
      <c r="N860" s="149"/>
      <c r="O860" s="149"/>
      <c r="P860" s="149"/>
      <c r="Q860" s="149"/>
      <c r="R860" s="149"/>
      <c r="S860" s="149"/>
      <c r="T860" s="149"/>
      <c r="U860" s="149"/>
      <c r="V860" s="149"/>
      <c r="W860" s="149"/>
      <c r="X860" s="149"/>
      <c r="Y860" s="149"/>
      <c r="Z860" s="149"/>
      <c r="AA860" s="149"/>
      <c r="AB860" s="149"/>
      <c r="AC860" s="149"/>
      <c r="AD860" s="149"/>
      <c r="AE860" s="149"/>
      <c r="AF860" s="149"/>
      <c r="AG860" s="149"/>
      <c r="AH860" s="149"/>
      <c r="AI860" s="149"/>
      <c r="AJ860" s="149"/>
      <c r="AK860" s="149"/>
      <c r="AL860" s="149"/>
      <c r="AM860" s="149"/>
      <c r="AN860" s="149"/>
      <c r="AO860" s="149"/>
      <c r="AP860" s="149"/>
      <c r="AR860" s="149"/>
      <c r="AS860" s="149"/>
      <c r="AT860" s="149"/>
      <c r="AU860" s="149"/>
      <c r="AV860" s="149"/>
      <c r="AW860" s="149"/>
      <c r="AX860" s="149"/>
      <c r="AY860" s="149"/>
      <c r="AZ860" s="149"/>
      <c r="BA860" s="149"/>
      <c r="BB860" s="149"/>
      <c r="BC860" s="149"/>
      <c r="BD860" s="149"/>
      <c r="BE860" s="149"/>
      <c r="BF860" s="149"/>
      <c r="BG860" s="149"/>
      <c r="BH860" s="149"/>
      <c r="BI860" s="149"/>
      <c r="BJ860" s="149"/>
      <c r="BK860" s="149"/>
      <c r="BL860" s="149"/>
      <c r="BM860" s="149"/>
      <c r="BN860" s="149"/>
      <c r="BO860" s="149"/>
      <c r="BP860" s="149"/>
      <c r="BQ860" s="149"/>
      <c r="BR860" s="149"/>
    </row>
    <row r="861" ht="34" customHeight="1" spans="1:70">
      <c r="A861" s="208">
        <v>867</v>
      </c>
      <c r="B861" s="149"/>
      <c r="C861" s="149"/>
      <c r="D861" s="149"/>
      <c r="E861" s="149"/>
      <c r="F861" s="149"/>
      <c r="G861" s="149"/>
      <c r="H861" s="149"/>
      <c r="I861" s="149"/>
      <c r="J861" s="149"/>
      <c r="K861" s="149"/>
      <c r="L861" s="149"/>
      <c r="M861" s="149"/>
      <c r="N861" s="149"/>
      <c r="O861" s="149"/>
      <c r="P861" s="149"/>
      <c r="Q861" s="149"/>
      <c r="R861" s="149"/>
      <c r="S861" s="149"/>
      <c r="T861" s="149"/>
      <c r="U861" s="149"/>
      <c r="V861" s="149"/>
      <c r="W861" s="149"/>
      <c r="X861" s="149"/>
      <c r="Y861" s="149"/>
      <c r="Z861" s="149"/>
      <c r="AA861" s="149"/>
      <c r="AB861" s="149"/>
      <c r="AC861" s="149"/>
      <c r="AD861" s="149"/>
      <c r="AE861" s="149"/>
      <c r="AF861" s="149"/>
      <c r="AG861" s="149"/>
      <c r="AH861" s="149"/>
      <c r="AI861" s="149"/>
      <c r="AJ861" s="149"/>
      <c r="AK861" s="149"/>
      <c r="AL861" s="149"/>
      <c r="AM861" s="149"/>
      <c r="AN861" s="149"/>
      <c r="AO861" s="149"/>
      <c r="AP861" s="149"/>
      <c r="AR861" s="149"/>
      <c r="AS861" s="149"/>
      <c r="AT861" s="149"/>
      <c r="AU861" s="149"/>
      <c r="AV861" s="149"/>
      <c r="AW861" s="149"/>
      <c r="AX861" s="149"/>
      <c r="AY861" s="149"/>
      <c r="AZ861" s="149"/>
      <c r="BA861" s="149"/>
      <c r="BB861" s="149"/>
      <c r="BC861" s="149"/>
      <c r="BD861" s="149"/>
      <c r="BE861" s="149"/>
      <c r="BF861" s="149"/>
      <c r="BG861" s="149"/>
      <c r="BH861" s="149"/>
      <c r="BI861" s="149"/>
      <c r="BJ861" s="149"/>
      <c r="BK861" s="149"/>
      <c r="BL861" s="149"/>
      <c r="BM861" s="149"/>
      <c r="BN861" s="149"/>
      <c r="BO861" s="149"/>
      <c r="BP861" s="149"/>
      <c r="BQ861" s="149"/>
      <c r="BR861" s="149"/>
    </row>
    <row r="862" ht="34" customHeight="1" spans="1:70">
      <c r="A862" s="208">
        <v>868</v>
      </c>
      <c r="B862" s="149"/>
      <c r="C862" s="149"/>
      <c r="D862" s="149"/>
      <c r="E862" s="149"/>
      <c r="F862" s="149"/>
      <c r="G862" s="149"/>
      <c r="H862" s="149"/>
      <c r="I862" s="149"/>
      <c r="J862" s="149"/>
      <c r="K862" s="149"/>
      <c r="L862" s="149"/>
      <c r="M862" s="149"/>
      <c r="N862" s="149"/>
      <c r="O862" s="149"/>
      <c r="P862" s="149"/>
      <c r="Q862" s="149"/>
      <c r="R862" s="149"/>
      <c r="S862" s="149"/>
      <c r="T862" s="149"/>
      <c r="U862" s="149"/>
      <c r="V862" s="149"/>
      <c r="W862" s="149"/>
      <c r="X862" s="149"/>
      <c r="Y862" s="149"/>
      <c r="Z862" s="149"/>
      <c r="AA862" s="149"/>
      <c r="AB862" s="149"/>
      <c r="AC862" s="149"/>
      <c r="AD862" s="149"/>
      <c r="AE862" s="149"/>
      <c r="AF862" s="149"/>
      <c r="AG862" s="149"/>
      <c r="AH862" s="149"/>
      <c r="AI862" s="149"/>
      <c r="AJ862" s="149"/>
      <c r="AK862" s="149"/>
      <c r="AL862" s="149"/>
      <c r="AM862" s="149"/>
      <c r="AN862" s="149"/>
      <c r="AO862" s="149"/>
      <c r="AP862" s="149"/>
      <c r="AR862" s="149"/>
      <c r="AS862" s="149"/>
      <c r="AT862" s="149"/>
      <c r="AU862" s="149"/>
      <c r="AV862" s="149"/>
      <c r="AW862" s="149"/>
      <c r="AX862" s="149"/>
      <c r="AY862" s="149"/>
      <c r="AZ862" s="149"/>
      <c r="BA862" s="149"/>
      <c r="BB862" s="149"/>
      <c r="BC862" s="149"/>
      <c r="BD862" s="149"/>
      <c r="BE862" s="149"/>
      <c r="BF862" s="149"/>
      <c r="BG862" s="149"/>
      <c r="BH862" s="149"/>
      <c r="BI862" s="149"/>
      <c r="BJ862" s="149"/>
      <c r="BK862" s="149"/>
      <c r="BL862" s="149"/>
      <c r="BM862" s="149"/>
      <c r="BN862" s="149"/>
      <c r="BO862" s="149"/>
      <c r="BP862" s="149"/>
      <c r="BQ862" s="149"/>
      <c r="BR862" s="149"/>
    </row>
    <row r="863" ht="34" customHeight="1" spans="1:70">
      <c r="A863" s="208">
        <v>869</v>
      </c>
      <c r="B863" s="149"/>
      <c r="C863" s="149"/>
      <c r="D863" s="149"/>
      <c r="E863" s="149"/>
      <c r="F863" s="149"/>
      <c r="G863" s="149"/>
      <c r="H863" s="149"/>
      <c r="I863" s="149"/>
      <c r="J863" s="149"/>
      <c r="K863" s="149"/>
      <c r="L863" s="149"/>
      <c r="M863" s="149"/>
      <c r="N863" s="149"/>
      <c r="O863" s="149"/>
      <c r="P863" s="149"/>
      <c r="Q863" s="149"/>
      <c r="R863" s="149"/>
      <c r="S863" s="149"/>
      <c r="T863" s="149"/>
      <c r="U863" s="149"/>
      <c r="V863" s="149"/>
      <c r="W863" s="149"/>
      <c r="X863" s="149"/>
      <c r="Y863" s="149"/>
      <c r="Z863" s="149"/>
      <c r="AA863" s="149"/>
      <c r="AB863" s="149"/>
      <c r="AC863" s="149"/>
      <c r="AD863" s="149"/>
      <c r="AE863" s="149"/>
      <c r="AF863" s="149"/>
      <c r="AG863" s="149"/>
      <c r="AH863" s="149"/>
      <c r="AI863" s="149"/>
      <c r="AJ863" s="149"/>
      <c r="AK863" s="149"/>
      <c r="AL863" s="149"/>
      <c r="AM863" s="149"/>
      <c r="AN863" s="149"/>
      <c r="AO863" s="149"/>
      <c r="AP863" s="149"/>
      <c r="AR863" s="149"/>
      <c r="AS863" s="149"/>
      <c r="AT863" s="149"/>
      <c r="AU863" s="149"/>
      <c r="AV863" s="149"/>
      <c r="AW863" s="149"/>
      <c r="AX863" s="149"/>
      <c r="AY863" s="149"/>
      <c r="AZ863" s="149"/>
      <c r="BA863" s="149"/>
      <c r="BB863" s="149"/>
      <c r="BC863" s="149"/>
      <c r="BD863" s="149"/>
      <c r="BE863" s="149"/>
      <c r="BF863" s="149"/>
      <c r="BG863" s="149"/>
      <c r="BH863" s="149"/>
      <c r="BI863" s="149"/>
      <c r="BJ863" s="149"/>
      <c r="BK863" s="149"/>
      <c r="BL863" s="149"/>
      <c r="BM863" s="149"/>
      <c r="BN863" s="149"/>
      <c r="BO863" s="149"/>
      <c r="BP863" s="149"/>
      <c r="BQ863" s="149"/>
      <c r="BR863" s="149"/>
    </row>
    <row r="864" ht="34" customHeight="1" spans="1:70">
      <c r="A864" s="208">
        <v>870</v>
      </c>
      <c r="B864" s="149"/>
      <c r="C864" s="149"/>
      <c r="D864" s="149"/>
      <c r="E864" s="149"/>
      <c r="F864" s="149"/>
      <c r="G864" s="149"/>
      <c r="H864" s="149"/>
      <c r="I864" s="149"/>
      <c r="J864" s="149"/>
      <c r="K864" s="149"/>
      <c r="L864" s="149"/>
      <c r="M864" s="149"/>
      <c r="N864" s="149"/>
      <c r="O864" s="149"/>
      <c r="P864" s="149"/>
      <c r="Q864" s="149"/>
      <c r="R864" s="149"/>
      <c r="S864" s="149"/>
      <c r="T864" s="149"/>
      <c r="U864" s="149"/>
      <c r="V864" s="149"/>
      <c r="W864" s="149"/>
      <c r="X864" s="149"/>
      <c r="Y864" s="149"/>
      <c r="Z864" s="149"/>
      <c r="AA864" s="149"/>
      <c r="AB864" s="149"/>
      <c r="AC864" s="149"/>
      <c r="AD864" s="149"/>
      <c r="AE864" s="149"/>
      <c r="AF864" s="149"/>
      <c r="AG864" s="149"/>
      <c r="AH864" s="149"/>
      <c r="AI864" s="149"/>
      <c r="AJ864" s="149"/>
      <c r="AK864" s="149"/>
      <c r="AL864" s="149"/>
      <c r="AM864" s="149"/>
      <c r="AN864" s="149"/>
      <c r="AO864" s="149"/>
      <c r="AP864" s="149"/>
      <c r="AR864" s="149"/>
      <c r="AS864" s="149"/>
      <c r="AT864" s="149"/>
      <c r="AU864" s="149"/>
      <c r="AV864" s="149"/>
      <c r="AW864" s="149"/>
      <c r="AX864" s="149"/>
      <c r="AY864" s="149"/>
      <c r="AZ864" s="149"/>
      <c r="BA864" s="149"/>
      <c r="BB864" s="149"/>
      <c r="BC864" s="149"/>
      <c r="BD864" s="149"/>
      <c r="BE864" s="149"/>
      <c r="BF864" s="149"/>
      <c r="BG864" s="149"/>
      <c r="BH864" s="149"/>
      <c r="BI864" s="149"/>
      <c r="BJ864" s="149"/>
      <c r="BK864" s="149"/>
      <c r="BL864" s="149"/>
      <c r="BM864" s="149"/>
      <c r="BN864" s="149"/>
      <c r="BO864" s="149"/>
      <c r="BP864" s="149"/>
      <c r="BQ864" s="149"/>
      <c r="BR864" s="149"/>
    </row>
    <row r="865" ht="34" customHeight="1" spans="1:70">
      <c r="A865" s="208">
        <v>871</v>
      </c>
      <c r="B865" s="149"/>
      <c r="C865" s="149"/>
      <c r="D865" s="149"/>
      <c r="E865" s="149"/>
      <c r="F865" s="149"/>
      <c r="G865" s="149"/>
      <c r="H865" s="149"/>
      <c r="I865" s="149"/>
      <c r="J865" s="149"/>
      <c r="K865" s="149"/>
      <c r="L865" s="149"/>
      <c r="M865" s="149"/>
      <c r="N865" s="149"/>
      <c r="O865" s="149"/>
      <c r="P865" s="149"/>
      <c r="Q865" s="149"/>
      <c r="R865" s="149"/>
      <c r="S865" s="149"/>
      <c r="T865" s="149"/>
      <c r="U865" s="149"/>
      <c r="V865" s="149"/>
      <c r="W865" s="149"/>
      <c r="X865" s="149"/>
      <c r="Y865" s="149"/>
      <c r="Z865" s="149"/>
      <c r="AA865" s="149"/>
      <c r="AB865" s="149"/>
      <c r="AC865" s="149"/>
      <c r="AD865" s="149"/>
      <c r="AE865" s="149"/>
      <c r="AF865" s="149"/>
      <c r="AG865" s="149"/>
      <c r="AH865" s="149"/>
      <c r="AI865" s="149"/>
      <c r="AJ865" s="149"/>
      <c r="AK865" s="149"/>
      <c r="AL865" s="149"/>
      <c r="AM865" s="149"/>
      <c r="AN865" s="149"/>
      <c r="AO865" s="149"/>
      <c r="AP865" s="149"/>
      <c r="AR865" s="149"/>
      <c r="AS865" s="149"/>
      <c r="AT865" s="149"/>
      <c r="AU865" s="149"/>
      <c r="AV865" s="149"/>
      <c r="AW865" s="149"/>
      <c r="AX865" s="149"/>
      <c r="AY865" s="149"/>
      <c r="AZ865" s="149"/>
      <c r="BA865" s="149"/>
      <c r="BB865" s="149"/>
      <c r="BC865" s="149"/>
      <c r="BD865" s="149"/>
      <c r="BE865" s="149"/>
      <c r="BF865" s="149"/>
      <c r="BG865" s="149"/>
      <c r="BH865" s="149"/>
      <c r="BI865" s="149"/>
      <c r="BJ865" s="149"/>
      <c r="BK865" s="149"/>
      <c r="BL865" s="149"/>
      <c r="BM865" s="149"/>
      <c r="BN865" s="149"/>
      <c r="BO865" s="149"/>
      <c r="BP865" s="149"/>
      <c r="BQ865" s="149"/>
      <c r="BR865" s="149"/>
    </row>
    <row r="866" ht="34" customHeight="1" spans="1:70">
      <c r="A866" s="208">
        <v>872</v>
      </c>
      <c r="B866" s="149"/>
      <c r="C866" s="149"/>
      <c r="D866" s="149"/>
      <c r="E866" s="149"/>
      <c r="F866" s="149"/>
      <c r="G866" s="149"/>
      <c r="H866" s="149"/>
      <c r="I866" s="149"/>
      <c r="J866" s="149"/>
      <c r="K866" s="149"/>
      <c r="L866" s="149"/>
      <c r="M866" s="149"/>
      <c r="N866" s="149"/>
      <c r="O866" s="149"/>
      <c r="P866" s="149"/>
      <c r="Q866" s="149"/>
      <c r="R866" s="149"/>
      <c r="S866" s="149"/>
      <c r="T866" s="149"/>
      <c r="U866" s="149"/>
      <c r="V866" s="149"/>
      <c r="W866" s="149"/>
      <c r="X866" s="149"/>
      <c r="Y866" s="149"/>
      <c r="Z866" s="149"/>
      <c r="AA866" s="149"/>
      <c r="AB866" s="149"/>
      <c r="AC866" s="149"/>
      <c r="AD866" s="149"/>
      <c r="AE866" s="149"/>
      <c r="AF866" s="149"/>
      <c r="AG866" s="149"/>
      <c r="AH866" s="149"/>
      <c r="AI866" s="149"/>
      <c r="AJ866" s="149"/>
      <c r="AK866" s="149"/>
      <c r="AL866" s="149"/>
      <c r="AM866" s="149"/>
      <c r="AN866" s="149"/>
      <c r="AO866" s="149"/>
      <c r="AP866" s="149"/>
      <c r="AR866" s="149"/>
      <c r="AS866" s="149"/>
      <c r="AT866" s="149"/>
      <c r="AU866" s="149"/>
      <c r="AV866" s="149"/>
      <c r="AW866" s="149"/>
      <c r="AX866" s="149"/>
      <c r="AY866" s="149"/>
      <c r="AZ866" s="149"/>
      <c r="BA866" s="149"/>
      <c r="BB866" s="149"/>
      <c r="BC866" s="149"/>
      <c r="BD866" s="149"/>
      <c r="BE866" s="149"/>
      <c r="BF866" s="149"/>
      <c r="BG866" s="149"/>
      <c r="BH866" s="149"/>
      <c r="BI866" s="149"/>
      <c r="BJ866" s="149"/>
      <c r="BK866" s="149"/>
      <c r="BL866" s="149"/>
      <c r="BM866" s="149"/>
      <c r="BN866" s="149"/>
      <c r="BO866" s="149"/>
      <c r="BP866" s="149"/>
      <c r="BQ866" s="149"/>
      <c r="BR866" s="149"/>
    </row>
    <row r="867" ht="34" customHeight="1" spans="1:70">
      <c r="A867" s="208">
        <v>873</v>
      </c>
      <c r="B867" s="149"/>
      <c r="C867" s="149"/>
      <c r="D867" s="149"/>
      <c r="E867" s="149"/>
      <c r="F867" s="149"/>
      <c r="G867" s="149"/>
      <c r="H867" s="149"/>
      <c r="I867" s="149"/>
      <c r="J867" s="149"/>
      <c r="K867" s="149"/>
      <c r="L867" s="149"/>
      <c r="M867" s="149"/>
      <c r="N867" s="149"/>
      <c r="O867" s="149"/>
      <c r="P867" s="149"/>
      <c r="Q867" s="149"/>
      <c r="R867" s="149"/>
      <c r="S867" s="149"/>
      <c r="T867" s="149"/>
      <c r="U867" s="149"/>
      <c r="V867" s="149"/>
      <c r="W867" s="149"/>
      <c r="X867" s="149"/>
      <c r="Y867" s="149"/>
      <c r="Z867" s="149"/>
      <c r="AA867" s="149"/>
      <c r="AB867" s="149"/>
      <c r="AC867" s="149"/>
      <c r="AD867" s="149"/>
      <c r="AE867" s="149"/>
      <c r="AF867" s="149"/>
      <c r="AG867" s="149"/>
      <c r="AH867" s="149"/>
      <c r="AI867" s="149"/>
      <c r="AJ867" s="149"/>
      <c r="AK867" s="149"/>
      <c r="AL867" s="149"/>
      <c r="AM867" s="149"/>
      <c r="AN867" s="149"/>
      <c r="AO867" s="149"/>
      <c r="AP867" s="149"/>
      <c r="AR867" s="149"/>
      <c r="AS867" s="149"/>
      <c r="AT867" s="149"/>
      <c r="AU867" s="149"/>
      <c r="AV867" s="149"/>
      <c r="AW867" s="149"/>
      <c r="AX867" s="149"/>
      <c r="AY867" s="149"/>
      <c r="AZ867" s="149"/>
      <c r="BA867" s="149"/>
      <c r="BB867" s="149"/>
      <c r="BC867" s="149"/>
      <c r="BD867" s="149"/>
      <c r="BE867" s="149"/>
      <c r="BF867" s="149"/>
      <c r="BG867" s="149"/>
      <c r="BH867" s="149"/>
      <c r="BI867" s="149"/>
      <c r="BJ867" s="149"/>
      <c r="BK867" s="149"/>
      <c r="BL867" s="149"/>
      <c r="BM867" s="149"/>
      <c r="BN867" s="149"/>
      <c r="BO867" s="149"/>
      <c r="BP867" s="149"/>
      <c r="BQ867" s="149"/>
      <c r="BR867" s="149"/>
    </row>
    <row r="868" ht="34" customHeight="1" spans="1:70">
      <c r="A868" s="208">
        <v>874</v>
      </c>
      <c r="B868" s="149"/>
      <c r="C868" s="149"/>
      <c r="D868" s="149"/>
      <c r="E868" s="149"/>
      <c r="F868" s="149"/>
      <c r="G868" s="149"/>
      <c r="H868" s="149"/>
      <c r="I868" s="149"/>
      <c r="J868" s="149"/>
      <c r="K868" s="149"/>
      <c r="L868" s="149"/>
      <c r="M868" s="149"/>
      <c r="N868" s="149"/>
      <c r="O868" s="149"/>
      <c r="P868" s="149"/>
      <c r="Q868" s="149"/>
      <c r="R868" s="149"/>
      <c r="S868" s="149"/>
      <c r="T868" s="149"/>
      <c r="U868" s="149"/>
      <c r="V868" s="149"/>
      <c r="W868" s="149"/>
      <c r="X868" s="149"/>
      <c r="Y868" s="149"/>
      <c r="Z868" s="149"/>
      <c r="AA868" s="149"/>
      <c r="AB868" s="149"/>
      <c r="AC868" s="149"/>
      <c r="AD868" s="149"/>
      <c r="AE868" s="149"/>
      <c r="AF868" s="149"/>
      <c r="AG868" s="149"/>
      <c r="AH868" s="149"/>
      <c r="AI868" s="149"/>
      <c r="AJ868" s="149"/>
      <c r="AK868" s="149"/>
      <c r="AL868" s="149"/>
      <c r="AM868" s="149"/>
      <c r="AN868" s="149"/>
      <c r="AO868" s="149"/>
      <c r="AP868" s="149"/>
      <c r="AR868" s="149"/>
      <c r="AS868" s="149"/>
      <c r="AT868" s="149"/>
      <c r="AU868" s="149"/>
      <c r="AV868" s="149"/>
      <c r="AW868" s="149"/>
      <c r="AX868" s="149"/>
      <c r="AY868" s="149"/>
      <c r="AZ868" s="149"/>
      <c r="BA868" s="149"/>
      <c r="BB868" s="149"/>
      <c r="BC868" s="149"/>
      <c r="BD868" s="149"/>
      <c r="BE868" s="149"/>
      <c r="BF868" s="149"/>
      <c r="BG868" s="149"/>
      <c r="BH868" s="149"/>
      <c r="BI868" s="149"/>
      <c r="BJ868" s="149"/>
      <c r="BK868" s="149"/>
      <c r="BL868" s="149"/>
      <c r="BM868" s="149"/>
      <c r="BN868" s="149"/>
      <c r="BO868" s="149"/>
      <c r="BP868" s="149"/>
      <c r="BQ868" s="149"/>
      <c r="BR868" s="149"/>
    </row>
    <row r="869" ht="34" customHeight="1" spans="1:70">
      <c r="A869" s="208">
        <v>875</v>
      </c>
      <c r="B869" s="149"/>
      <c r="C869" s="149"/>
      <c r="D869" s="149"/>
      <c r="E869" s="149"/>
      <c r="F869" s="149"/>
      <c r="G869" s="149"/>
      <c r="H869" s="149"/>
      <c r="I869" s="149"/>
      <c r="J869" s="149"/>
      <c r="K869" s="149"/>
      <c r="L869" s="149"/>
      <c r="M869" s="149"/>
      <c r="N869" s="149"/>
      <c r="O869" s="149"/>
      <c r="P869" s="149"/>
      <c r="Q869" s="149"/>
      <c r="R869" s="149"/>
      <c r="S869" s="149"/>
      <c r="T869" s="149"/>
      <c r="U869" s="149"/>
      <c r="V869" s="149"/>
      <c r="W869" s="149"/>
      <c r="X869" s="149"/>
      <c r="Y869" s="149"/>
      <c r="Z869" s="149"/>
      <c r="AA869" s="149"/>
      <c r="AB869" s="149"/>
      <c r="AC869" s="149"/>
      <c r="AD869" s="149"/>
      <c r="AE869" s="149"/>
      <c r="AF869" s="149"/>
      <c r="AG869" s="149"/>
      <c r="AH869" s="149"/>
      <c r="AI869" s="149"/>
      <c r="AJ869" s="149"/>
      <c r="AK869" s="149"/>
      <c r="AL869" s="149"/>
      <c r="AM869" s="149"/>
      <c r="AN869" s="149"/>
      <c r="AO869" s="149"/>
      <c r="AP869" s="149"/>
      <c r="AR869" s="149"/>
      <c r="AS869" s="149"/>
      <c r="AT869" s="149"/>
      <c r="AU869" s="149"/>
      <c r="AV869" s="149"/>
      <c r="AW869" s="149"/>
      <c r="AX869" s="149"/>
      <c r="AY869" s="149"/>
      <c r="AZ869" s="149"/>
      <c r="BA869" s="149"/>
      <c r="BB869" s="149"/>
      <c r="BC869" s="149"/>
      <c r="BD869" s="149"/>
      <c r="BE869" s="149"/>
      <c r="BF869" s="149"/>
      <c r="BG869" s="149"/>
      <c r="BH869" s="149"/>
      <c r="BI869" s="149"/>
      <c r="BJ869" s="149"/>
      <c r="BK869" s="149"/>
      <c r="BL869" s="149"/>
      <c r="BM869" s="149"/>
      <c r="BN869" s="149"/>
      <c r="BO869" s="149"/>
      <c r="BP869" s="149"/>
      <c r="BQ869" s="149"/>
      <c r="BR869" s="149"/>
    </row>
    <row r="870" ht="34" customHeight="1" spans="1:70">
      <c r="A870" s="208">
        <v>876</v>
      </c>
      <c r="B870" s="149"/>
      <c r="C870" s="149"/>
      <c r="D870" s="149"/>
      <c r="E870" s="149"/>
      <c r="F870" s="149"/>
      <c r="G870" s="149"/>
      <c r="H870" s="149"/>
      <c r="I870" s="149"/>
      <c r="J870" s="149"/>
      <c r="K870" s="149"/>
      <c r="L870" s="149"/>
      <c r="M870" s="149"/>
      <c r="N870" s="149"/>
      <c r="O870" s="149"/>
      <c r="P870" s="149"/>
      <c r="Q870" s="149"/>
      <c r="R870" s="149"/>
      <c r="S870" s="149"/>
      <c r="T870" s="149"/>
      <c r="U870" s="149"/>
      <c r="V870" s="149"/>
      <c r="W870" s="149"/>
      <c r="X870" s="149"/>
      <c r="Y870" s="149"/>
      <c r="Z870" s="149"/>
      <c r="AA870" s="149"/>
      <c r="AB870" s="149"/>
      <c r="AC870" s="149"/>
      <c r="AD870" s="149"/>
      <c r="AE870" s="149"/>
      <c r="AF870" s="149"/>
      <c r="AG870" s="149"/>
      <c r="AH870" s="149"/>
      <c r="AI870" s="149"/>
      <c r="AJ870" s="149"/>
      <c r="AK870" s="149"/>
      <c r="AL870" s="149"/>
      <c r="AM870" s="149"/>
      <c r="AN870" s="149"/>
      <c r="AO870" s="149"/>
      <c r="AP870" s="149"/>
      <c r="AR870" s="149"/>
      <c r="AS870" s="149"/>
      <c r="AT870" s="149"/>
      <c r="AU870" s="149"/>
      <c r="AV870" s="149"/>
      <c r="AW870" s="149"/>
      <c r="AX870" s="149"/>
      <c r="AY870" s="149"/>
      <c r="AZ870" s="149"/>
      <c r="BA870" s="149"/>
      <c r="BB870" s="149"/>
      <c r="BC870" s="149"/>
      <c r="BD870" s="149"/>
      <c r="BE870" s="149"/>
      <c r="BF870" s="149"/>
      <c r="BG870" s="149"/>
      <c r="BH870" s="149"/>
      <c r="BI870" s="149"/>
      <c r="BJ870" s="149"/>
      <c r="BK870" s="149"/>
      <c r="BL870" s="149"/>
      <c r="BM870" s="149"/>
      <c r="BN870" s="149"/>
      <c r="BO870" s="149"/>
      <c r="BP870" s="149"/>
      <c r="BQ870" s="149"/>
      <c r="BR870" s="149"/>
    </row>
    <row r="871" ht="34" customHeight="1" spans="1:70">
      <c r="A871" s="208">
        <v>877</v>
      </c>
      <c r="B871" s="149"/>
      <c r="C871" s="149"/>
      <c r="D871" s="149"/>
      <c r="E871" s="149"/>
      <c r="F871" s="149"/>
      <c r="G871" s="149"/>
      <c r="H871" s="149"/>
      <c r="I871" s="149"/>
      <c r="J871" s="149"/>
      <c r="K871" s="149"/>
      <c r="L871" s="149"/>
      <c r="M871" s="149"/>
      <c r="N871" s="149"/>
      <c r="O871" s="149"/>
      <c r="P871" s="149"/>
      <c r="Q871" s="149"/>
      <c r="R871" s="149"/>
      <c r="S871" s="149"/>
      <c r="T871" s="149"/>
      <c r="U871" s="149"/>
      <c r="V871" s="149"/>
      <c r="W871" s="149"/>
      <c r="X871" s="149"/>
      <c r="Y871" s="149"/>
      <c r="Z871" s="149"/>
      <c r="AA871" s="149"/>
      <c r="AB871" s="149"/>
      <c r="AC871" s="149"/>
      <c r="AD871" s="149"/>
      <c r="AE871" s="149"/>
      <c r="AF871" s="149"/>
      <c r="AG871" s="149"/>
      <c r="AH871" s="149"/>
      <c r="AI871" s="149"/>
      <c r="AJ871" s="149"/>
      <c r="AK871" s="149"/>
      <c r="AL871" s="149"/>
      <c r="AM871" s="149"/>
      <c r="AN871" s="149"/>
      <c r="AO871" s="149"/>
      <c r="AP871" s="149"/>
      <c r="AR871" s="149"/>
      <c r="AS871" s="149"/>
      <c r="AT871" s="149"/>
      <c r="AU871" s="149"/>
      <c r="AV871" s="149"/>
      <c r="AW871" s="149"/>
      <c r="AX871" s="149"/>
      <c r="AY871" s="149"/>
      <c r="AZ871" s="149"/>
      <c r="BA871" s="149"/>
      <c r="BB871" s="149"/>
      <c r="BC871" s="149"/>
      <c r="BD871" s="149"/>
      <c r="BE871" s="149"/>
      <c r="BF871" s="149"/>
      <c r="BG871" s="149"/>
      <c r="BH871" s="149"/>
      <c r="BI871" s="149"/>
      <c r="BJ871" s="149"/>
      <c r="BK871" s="149"/>
      <c r="BL871" s="149"/>
      <c r="BM871" s="149"/>
      <c r="BN871" s="149"/>
      <c r="BO871" s="149"/>
      <c r="BP871" s="149"/>
      <c r="BQ871" s="149"/>
      <c r="BR871" s="149"/>
    </row>
    <row r="872" ht="34" customHeight="1" spans="1:70">
      <c r="A872" s="208">
        <v>878</v>
      </c>
      <c r="B872" s="149"/>
      <c r="C872" s="149"/>
      <c r="D872" s="149"/>
      <c r="E872" s="149"/>
      <c r="F872" s="149"/>
      <c r="G872" s="149"/>
      <c r="H872" s="149"/>
      <c r="I872" s="149"/>
      <c r="J872" s="149"/>
      <c r="K872" s="149"/>
      <c r="L872" s="149"/>
      <c r="M872" s="149"/>
      <c r="N872" s="149"/>
      <c r="O872" s="149"/>
      <c r="P872" s="149"/>
      <c r="Q872" s="149"/>
      <c r="R872" s="149"/>
      <c r="S872" s="149"/>
      <c r="T872" s="149"/>
      <c r="U872" s="149"/>
      <c r="V872" s="149"/>
      <c r="W872" s="149"/>
      <c r="X872" s="149"/>
      <c r="Y872" s="149"/>
      <c r="Z872" s="149"/>
      <c r="AA872" s="149"/>
      <c r="AB872" s="149"/>
      <c r="AC872" s="149"/>
      <c r="AD872" s="149"/>
      <c r="AE872" s="149"/>
      <c r="AF872" s="149"/>
      <c r="AG872" s="149"/>
      <c r="AH872" s="149"/>
      <c r="AI872" s="149"/>
      <c r="AJ872" s="149"/>
      <c r="AK872" s="149"/>
      <c r="AL872" s="149"/>
      <c r="AM872" s="149"/>
      <c r="AN872" s="149"/>
      <c r="AO872" s="149"/>
      <c r="AP872" s="149"/>
      <c r="AR872" s="149"/>
      <c r="AS872" s="149"/>
      <c r="AT872" s="149"/>
      <c r="AU872" s="149"/>
      <c r="AV872" s="149"/>
      <c r="AW872" s="149"/>
      <c r="AX872" s="149"/>
      <c r="AY872" s="149"/>
      <c r="AZ872" s="149"/>
      <c r="BA872" s="149"/>
      <c r="BB872" s="149"/>
      <c r="BC872" s="149"/>
      <c r="BD872" s="149"/>
      <c r="BE872" s="149"/>
      <c r="BF872" s="149"/>
      <c r="BG872" s="149"/>
      <c r="BH872" s="149"/>
      <c r="BI872" s="149"/>
      <c r="BJ872" s="149"/>
      <c r="BK872" s="149"/>
      <c r="BL872" s="149"/>
      <c r="BM872" s="149"/>
      <c r="BN872" s="149"/>
      <c r="BO872" s="149"/>
      <c r="BP872" s="149"/>
      <c r="BQ872" s="149"/>
      <c r="BR872" s="149"/>
    </row>
    <row r="873" ht="34" customHeight="1" spans="1:70">
      <c r="A873" s="208">
        <v>879</v>
      </c>
      <c r="B873" s="149"/>
      <c r="C873" s="149"/>
      <c r="D873" s="149"/>
      <c r="E873" s="149"/>
      <c r="F873" s="149"/>
      <c r="G873" s="149"/>
      <c r="H873" s="149"/>
      <c r="I873" s="149"/>
      <c r="J873" s="149"/>
      <c r="K873" s="149"/>
      <c r="L873" s="149"/>
      <c r="M873" s="149"/>
      <c r="N873" s="149"/>
      <c r="O873" s="149"/>
      <c r="P873" s="149"/>
      <c r="Q873" s="149"/>
      <c r="R873" s="149"/>
      <c r="S873" s="149"/>
      <c r="T873" s="149"/>
      <c r="U873" s="149"/>
      <c r="V873" s="149"/>
      <c r="W873" s="149"/>
      <c r="X873" s="149"/>
      <c r="Y873" s="149"/>
      <c r="Z873" s="149"/>
      <c r="AA873" s="149"/>
      <c r="AB873" s="149"/>
      <c r="AC873" s="149"/>
      <c r="AD873" s="149"/>
      <c r="AE873" s="149"/>
      <c r="AF873" s="149"/>
      <c r="AG873" s="149"/>
      <c r="AH873" s="149"/>
      <c r="AI873" s="149"/>
      <c r="AJ873" s="149"/>
      <c r="AK873" s="149"/>
      <c r="AL873" s="149"/>
      <c r="AM873" s="149"/>
      <c r="AN873" s="149"/>
      <c r="AO873" s="149"/>
      <c r="AP873" s="149"/>
      <c r="AR873" s="149"/>
      <c r="AS873" s="149"/>
      <c r="AT873" s="149"/>
      <c r="AU873" s="149"/>
      <c r="AV873" s="149"/>
      <c r="AW873" s="149"/>
      <c r="AX873" s="149"/>
      <c r="AY873" s="149"/>
      <c r="AZ873" s="149"/>
      <c r="BA873" s="149"/>
      <c r="BB873" s="149"/>
      <c r="BC873" s="149"/>
      <c r="BD873" s="149"/>
      <c r="BE873" s="149"/>
      <c r="BF873" s="149"/>
      <c r="BG873" s="149"/>
      <c r="BH873" s="149"/>
      <c r="BI873" s="149"/>
      <c r="BJ873" s="149"/>
      <c r="BK873" s="149"/>
      <c r="BL873" s="149"/>
      <c r="BM873" s="149"/>
      <c r="BN873" s="149"/>
      <c r="BO873" s="149"/>
      <c r="BP873" s="149"/>
      <c r="BQ873" s="149"/>
      <c r="BR873" s="149"/>
    </row>
    <row r="874" ht="34" customHeight="1" spans="1:70">
      <c r="A874" s="208">
        <v>880</v>
      </c>
      <c r="B874" s="149"/>
      <c r="C874" s="149"/>
      <c r="D874" s="149"/>
      <c r="E874" s="149"/>
      <c r="F874" s="149"/>
      <c r="G874" s="149"/>
      <c r="H874" s="149"/>
      <c r="I874" s="149"/>
      <c r="J874" s="149"/>
      <c r="K874" s="149"/>
      <c r="L874" s="149"/>
      <c r="M874" s="149"/>
      <c r="N874" s="149"/>
      <c r="O874" s="149"/>
      <c r="P874" s="149"/>
      <c r="Q874" s="149"/>
      <c r="R874" s="149"/>
      <c r="S874" s="149"/>
      <c r="T874" s="149"/>
      <c r="U874" s="149"/>
      <c r="V874" s="149"/>
      <c r="W874" s="149"/>
      <c r="X874" s="149"/>
      <c r="Y874" s="149"/>
      <c r="Z874" s="149"/>
      <c r="AA874" s="149"/>
      <c r="AB874" s="149"/>
      <c r="AC874" s="149"/>
      <c r="AD874" s="149"/>
      <c r="AE874" s="149"/>
      <c r="AF874" s="149"/>
      <c r="AG874" s="149"/>
      <c r="AH874" s="149"/>
      <c r="AI874" s="149"/>
      <c r="AJ874" s="149"/>
      <c r="AK874" s="149"/>
      <c r="AL874" s="149"/>
      <c r="AM874" s="149"/>
      <c r="AN874" s="149"/>
      <c r="AO874" s="149"/>
      <c r="AP874" s="149"/>
      <c r="AR874" s="149"/>
      <c r="AS874" s="149"/>
      <c r="AT874" s="149"/>
      <c r="AU874" s="149"/>
      <c r="AV874" s="149"/>
      <c r="AW874" s="149"/>
      <c r="AX874" s="149"/>
      <c r="AY874" s="149"/>
      <c r="AZ874" s="149"/>
      <c r="BA874" s="149"/>
      <c r="BB874" s="149"/>
      <c r="BC874" s="149"/>
      <c r="BD874" s="149"/>
      <c r="BE874" s="149"/>
      <c r="BF874" s="149"/>
      <c r="BG874" s="149"/>
      <c r="BH874" s="149"/>
      <c r="BI874" s="149"/>
      <c r="BJ874" s="149"/>
      <c r="BK874" s="149"/>
      <c r="BL874" s="149"/>
      <c r="BM874" s="149"/>
      <c r="BN874" s="149"/>
      <c r="BO874" s="149"/>
      <c r="BP874" s="149"/>
      <c r="BQ874" s="149"/>
      <c r="BR874" s="149"/>
    </row>
    <row r="875" ht="34" customHeight="1" spans="1:70">
      <c r="A875" s="208">
        <v>881</v>
      </c>
      <c r="B875" s="149"/>
      <c r="C875" s="149"/>
      <c r="D875" s="149"/>
      <c r="E875" s="149"/>
      <c r="F875" s="149"/>
      <c r="G875" s="149"/>
      <c r="H875" s="149"/>
      <c r="I875" s="149"/>
      <c r="J875" s="149"/>
      <c r="K875" s="149"/>
      <c r="L875" s="149"/>
      <c r="M875" s="149"/>
      <c r="N875" s="149"/>
      <c r="O875" s="149"/>
      <c r="P875" s="149"/>
      <c r="Q875" s="149"/>
      <c r="R875" s="14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row>
    <row r="876" ht="34" customHeight="1" spans="1:70">
      <c r="A876" s="208">
        <v>882</v>
      </c>
      <c r="B876" s="149"/>
      <c r="C876" s="149"/>
      <c r="D876" s="149"/>
      <c r="E876" s="149"/>
      <c r="F876" s="149"/>
      <c r="G876" s="149"/>
      <c r="H876" s="149"/>
      <c r="I876" s="149"/>
      <c r="J876" s="149"/>
      <c r="K876" s="149"/>
      <c r="L876" s="149"/>
      <c r="M876" s="149"/>
      <c r="N876" s="149"/>
      <c r="O876" s="149"/>
      <c r="P876" s="149"/>
      <c r="Q876" s="149"/>
      <c r="R876" s="149"/>
      <c r="S876" s="149"/>
      <c r="T876" s="149"/>
      <c r="U876" s="149"/>
      <c r="V876" s="149"/>
      <c r="W876" s="149"/>
      <c r="X876" s="149"/>
      <c r="Y876" s="149"/>
      <c r="Z876" s="149"/>
      <c r="AA876" s="149"/>
      <c r="AB876" s="149"/>
      <c r="AC876" s="149"/>
      <c r="AD876" s="149"/>
      <c r="AE876" s="149"/>
      <c r="AF876" s="149"/>
      <c r="AG876" s="149"/>
      <c r="AH876" s="149"/>
      <c r="AI876" s="149"/>
      <c r="AJ876" s="149"/>
      <c r="AK876" s="149"/>
      <c r="AL876" s="149"/>
      <c r="AM876" s="149"/>
      <c r="AN876" s="149"/>
      <c r="AO876" s="149"/>
      <c r="AP876" s="149"/>
      <c r="AR876" s="149"/>
      <c r="AS876" s="149"/>
      <c r="AT876" s="149"/>
      <c r="AU876" s="149"/>
      <c r="AV876" s="149"/>
      <c r="AW876" s="149"/>
      <c r="AX876" s="149"/>
      <c r="AY876" s="149"/>
      <c r="AZ876" s="149"/>
      <c r="BA876" s="149"/>
      <c r="BB876" s="149"/>
      <c r="BC876" s="149"/>
      <c r="BD876" s="149"/>
      <c r="BE876" s="149"/>
      <c r="BF876" s="149"/>
      <c r="BG876" s="149"/>
      <c r="BH876" s="149"/>
      <c r="BI876" s="149"/>
      <c r="BJ876" s="149"/>
      <c r="BK876" s="149"/>
      <c r="BL876" s="149"/>
      <c r="BM876" s="149"/>
      <c r="BN876" s="149"/>
      <c r="BO876" s="149"/>
      <c r="BP876" s="149"/>
      <c r="BQ876" s="149"/>
      <c r="BR876" s="149"/>
    </row>
    <row r="877" ht="34" customHeight="1" spans="1:70">
      <c r="A877" s="208">
        <v>883</v>
      </c>
      <c r="B877" s="149"/>
      <c r="C877" s="149"/>
      <c r="D877" s="149"/>
      <c r="E877" s="149"/>
      <c r="F877" s="149"/>
      <c r="G877" s="149"/>
      <c r="H877" s="149"/>
      <c r="I877" s="149"/>
      <c r="J877" s="149"/>
      <c r="K877" s="149"/>
      <c r="L877" s="149"/>
      <c r="M877" s="149"/>
      <c r="N877" s="149"/>
      <c r="O877" s="149"/>
      <c r="P877" s="149"/>
      <c r="Q877" s="149"/>
      <c r="R877" s="149"/>
      <c r="S877" s="149"/>
      <c r="T877" s="149"/>
      <c r="U877" s="149"/>
      <c r="V877" s="149"/>
      <c r="W877" s="149"/>
      <c r="X877" s="149"/>
      <c r="Y877" s="149"/>
      <c r="Z877" s="149"/>
      <c r="AA877" s="149"/>
      <c r="AB877" s="149"/>
      <c r="AC877" s="149"/>
      <c r="AD877" s="149"/>
      <c r="AE877" s="149"/>
      <c r="AF877" s="149"/>
      <c r="AG877" s="149"/>
      <c r="AH877" s="149"/>
      <c r="AI877" s="149"/>
      <c r="AJ877" s="149"/>
      <c r="AK877" s="149"/>
      <c r="AL877" s="149"/>
      <c r="AM877" s="149"/>
      <c r="AN877" s="149"/>
      <c r="AO877" s="149"/>
      <c r="AP877" s="149"/>
      <c r="AR877" s="149"/>
      <c r="AS877" s="149"/>
      <c r="AT877" s="149"/>
      <c r="AU877" s="149"/>
      <c r="AV877" s="149"/>
      <c r="AW877" s="149"/>
      <c r="AX877" s="149"/>
      <c r="AY877" s="149"/>
      <c r="AZ877" s="149"/>
      <c r="BA877" s="149"/>
      <c r="BB877" s="149"/>
      <c r="BC877" s="149"/>
      <c r="BD877" s="149"/>
      <c r="BE877" s="149"/>
      <c r="BF877" s="149"/>
      <c r="BG877" s="149"/>
      <c r="BH877" s="149"/>
      <c r="BI877" s="149"/>
      <c r="BJ877" s="149"/>
      <c r="BK877" s="149"/>
      <c r="BL877" s="149"/>
      <c r="BM877" s="149"/>
      <c r="BN877" s="149"/>
      <c r="BO877" s="149"/>
      <c r="BP877" s="149"/>
      <c r="BQ877" s="149"/>
      <c r="BR877" s="149"/>
    </row>
    <row r="878" ht="34" customHeight="1" spans="1:70">
      <c r="A878" s="208">
        <v>884</v>
      </c>
      <c r="B878" s="149"/>
      <c r="C878" s="149"/>
      <c r="D878" s="149"/>
      <c r="E878" s="149"/>
      <c r="F878" s="149"/>
      <c r="G878" s="149"/>
      <c r="H878" s="149"/>
      <c r="I878" s="149"/>
      <c r="J878" s="149"/>
      <c r="K878" s="149"/>
      <c r="L878" s="149"/>
      <c r="M878" s="149"/>
      <c r="N878" s="149"/>
      <c r="O878" s="149"/>
      <c r="P878" s="149"/>
      <c r="Q878" s="149"/>
      <c r="R878" s="149"/>
      <c r="S878" s="149"/>
      <c r="T878" s="149"/>
      <c r="U878" s="149"/>
      <c r="V878" s="149"/>
      <c r="W878" s="149"/>
      <c r="X878" s="149"/>
      <c r="Y878" s="149"/>
      <c r="Z878" s="149"/>
      <c r="AA878" s="149"/>
      <c r="AB878" s="149"/>
      <c r="AC878" s="149"/>
      <c r="AD878" s="149"/>
      <c r="AE878" s="149"/>
      <c r="AF878" s="149"/>
      <c r="AG878" s="149"/>
      <c r="AH878" s="149"/>
      <c r="AI878" s="149"/>
      <c r="AJ878" s="149"/>
      <c r="AK878" s="149"/>
      <c r="AL878" s="149"/>
      <c r="AM878" s="149"/>
      <c r="AN878" s="149"/>
      <c r="AO878" s="149"/>
      <c r="AP878" s="149"/>
      <c r="AR878" s="149"/>
      <c r="AS878" s="149"/>
      <c r="AT878" s="149"/>
      <c r="AU878" s="149"/>
      <c r="AV878" s="149"/>
      <c r="AW878" s="149"/>
      <c r="AX878" s="149"/>
      <c r="AY878" s="149"/>
      <c r="AZ878" s="149"/>
      <c r="BA878" s="149"/>
      <c r="BB878" s="149"/>
      <c r="BC878" s="149"/>
      <c r="BD878" s="149"/>
      <c r="BE878" s="149"/>
      <c r="BF878" s="149"/>
      <c r="BG878" s="149"/>
      <c r="BH878" s="149"/>
      <c r="BI878" s="149"/>
      <c r="BJ878" s="149"/>
      <c r="BK878" s="149"/>
      <c r="BL878" s="149"/>
      <c r="BM878" s="149"/>
      <c r="BN878" s="149"/>
      <c r="BO878" s="149"/>
      <c r="BP878" s="149"/>
      <c r="BQ878" s="149"/>
      <c r="BR878" s="149"/>
    </row>
    <row r="879" ht="34" customHeight="1" spans="1:70">
      <c r="A879" s="208">
        <v>885</v>
      </c>
      <c r="B879" s="149"/>
      <c r="C879" s="149"/>
      <c r="D879" s="149"/>
      <c r="E879" s="149"/>
      <c r="F879" s="149"/>
      <c r="G879" s="149"/>
      <c r="H879" s="149"/>
      <c r="I879" s="149"/>
      <c r="J879" s="149"/>
      <c r="K879" s="149"/>
      <c r="L879" s="149"/>
      <c r="M879" s="149"/>
      <c r="N879" s="149"/>
      <c r="O879" s="149"/>
      <c r="P879" s="149"/>
      <c r="Q879" s="149"/>
      <c r="R879" s="149"/>
      <c r="S879" s="149"/>
      <c r="T879" s="149"/>
      <c r="U879" s="149"/>
      <c r="V879" s="149"/>
      <c r="W879" s="149"/>
      <c r="X879" s="149"/>
      <c r="Y879" s="149"/>
      <c r="Z879" s="149"/>
      <c r="AA879" s="149"/>
      <c r="AB879" s="149"/>
      <c r="AC879" s="149"/>
      <c r="AD879" s="149"/>
      <c r="AE879" s="149"/>
      <c r="AF879" s="149"/>
      <c r="AG879" s="149"/>
      <c r="AH879" s="149"/>
      <c r="AI879" s="149"/>
      <c r="AJ879" s="149"/>
      <c r="AK879" s="149"/>
      <c r="AL879" s="149"/>
      <c r="AM879" s="149"/>
      <c r="AN879" s="149"/>
      <c r="AO879" s="149"/>
      <c r="AP879" s="149"/>
      <c r="AR879" s="149"/>
      <c r="AS879" s="149"/>
      <c r="AT879" s="149"/>
      <c r="AU879" s="149"/>
      <c r="AV879" s="149"/>
      <c r="AW879" s="149"/>
      <c r="AX879" s="149"/>
      <c r="AY879" s="149"/>
      <c r="AZ879" s="149"/>
      <c r="BA879" s="149"/>
      <c r="BB879" s="149"/>
      <c r="BC879" s="149"/>
      <c r="BD879" s="149"/>
      <c r="BE879" s="149"/>
      <c r="BF879" s="149"/>
      <c r="BG879" s="149"/>
      <c r="BH879" s="149"/>
      <c r="BI879" s="149"/>
      <c r="BJ879" s="149"/>
      <c r="BK879" s="149"/>
      <c r="BL879" s="149"/>
      <c r="BM879" s="149"/>
      <c r="BN879" s="149"/>
      <c r="BO879" s="149"/>
      <c r="BP879" s="149"/>
      <c r="BQ879" s="149"/>
      <c r="BR879" s="149"/>
    </row>
    <row r="880" ht="34" customHeight="1" spans="1:70">
      <c r="A880" s="208">
        <v>886</v>
      </c>
      <c r="B880" s="149"/>
      <c r="C880" s="149"/>
      <c r="D880" s="149"/>
      <c r="E880" s="149"/>
      <c r="F880" s="149"/>
      <c r="G880" s="149"/>
      <c r="H880" s="149"/>
      <c r="I880" s="149"/>
      <c r="J880" s="149"/>
      <c r="K880" s="149"/>
      <c r="L880" s="149"/>
      <c r="M880" s="149"/>
      <c r="N880" s="149"/>
      <c r="O880" s="149"/>
      <c r="P880" s="149"/>
      <c r="Q880" s="149"/>
      <c r="R880" s="149"/>
      <c r="S880" s="149"/>
      <c r="T880" s="149"/>
      <c r="U880" s="149"/>
      <c r="V880" s="149"/>
      <c r="W880" s="149"/>
      <c r="X880" s="149"/>
      <c r="Y880" s="149"/>
      <c r="Z880" s="149"/>
      <c r="AA880" s="149"/>
      <c r="AB880" s="149"/>
      <c r="AC880" s="149"/>
      <c r="AD880" s="149"/>
      <c r="AE880" s="149"/>
      <c r="AF880" s="149"/>
      <c r="AG880" s="149"/>
      <c r="AH880" s="149"/>
      <c r="AI880" s="149"/>
      <c r="AJ880" s="149"/>
      <c r="AK880" s="149"/>
      <c r="AL880" s="149"/>
      <c r="AM880" s="149"/>
      <c r="AN880" s="149"/>
      <c r="AO880" s="149"/>
      <c r="AP880" s="149"/>
      <c r="AR880" s="149"/>
      <c r="AS880" s="149"/>
      <c r="AT880" s="149"/>
      <c r="AU880" s="149"/>
      <c r="AV880" s="149"/>
      <c r="AW880" s="149"/>
      <c r="AX880" s="149"/>
      <c r="AY880" s="149"/>
      <c r="AZ880" s="149"/>
      <c r="BA880" s="149"/>
      <c r="BB880" s="149"/>
      <c r="BC880" s="149"/>
      <c r="BD880" s="149"/>
      <c r="BE880" s="149"/>
      <c r="BF880" s="149"/>
      <c r="BG880" s="149"/>
      <c r="BH880" s="149"/>
      <c r="BI880" s="149"/>
      <c r="BJ880" s="149"/>
      <c r="BK880" s="149"/>
      <c r="BL880" s="149"/>
      <c r="BM880" s="149"/>
      <c r="BN880" s="149"/>
      <c r="BO880" s="149"/>
      <c r="BP880" s="149"/>
      <c r="BQ880" s="149"/>
      <c r="BR880" s="149"/>
    </row>
    <row r="881" ht="34" customHeight="1" spans="1:70">
      <c r="A881" s="208">
        <v>887</v>
      </c>
      <c r="B881" s="149"/>
      <c r="C881" s="149"/>
      <c r="D881" s="149"/>
      <c r="E881" s="149"/>
      <c r="F881" s="149"/>
      <c r="G881" s="149"/>
      <c r="H881" s="149"/>
      <c r="I881" s="149"/>
      <c r="J881" s="149"/>
      <c r="K881" s="149"/>
      <c r="L881" s="149"/>
      <c r="M881" s="149"/>
      <c r="N881" s="149"/>
      <c r="O881" s="149"/>
      <c r="P881" s="149"/>
      <c r="Q881" s="149"/>
      <c r="R881" s="149"/>
      <c r="S881" s="149"/>
      <c r="T881" s="149"/>
      <c r="U881" s="149"/>
      <c r="V881" s="149"/>
      <c r="W881" s="149"/>
      <c r="X881" s="149"/>
      <c r="Y881" s="149"/>
      <c r="Z881" s="149"/>
      <c r="AA881" s="149"/>
      <c r="AB881" s="149"/>
      <c r="AC881" s="149"/>
      <c r="AD881" s="149"/>
      <c r="AE881" s="149"/>
      <c r="AF881" s="149"/>
      <c r="AG881" s="149"/>
      <c r="AH881" s="149"/>
      <c r="AI881" s="149"/>
      <c r="AJ881" s="149"/>
      <c r="AK881" s="149"/>
      <c r="AL881" s="149"/>
      <c r="AM881" s="149"/>
      <c r="AN881" s="149"/>
      <c r="AO881" s="149"/>
      <c r="AP881" s="149"/>
      <c r="AR881" s="149"/>
      <c r="AS881" s="149"/>
      <c r="AT881" s="149"/>
      <c r="AU881" s="149"/>
      <c r="AV881" s="149"/>
      <c r="AW881" s="149"/>
      <c r="AX881" s="149"/>
      <c r="AY881" s="149"/>
      <c r="AZ881" s="149"/>
      <c r="BA881" s="149"/>
      <c r="BB881" s="149"/>
      <c r="BC881" s="149"/>
      <c r="BD881" s="149"/>
      <c r="BE881" s="149"/>
      <c r="BF881" s="149"/>
      <c r="BG881" s="149"/>
      <c r="BH881" s="149"/>
      <c r="BI881" s="149"/>
      <c r="BJ881" s="149"/>
      <c r="BK881" s="149"/>
      <c r="BL881" s="149"/>
      <c r="BM881" s="149"/>
      <c r="BN881" s="149"/>
      <c r="BO881" s="149"/>
      <c r="BP881" s="149"/>
      <c r="BQ881" s="149"/>
      <c r="BR881" s="149"/>
    </row>
    <row r="882" ht="34" customHeight="1" spans="1:70">
      <c r="A882" s="208">
        <v>888</v>
      </c>
      <c r="B882" s="149"/>
      <c r="C882" s="149"/>
      <c r="D882" s="149"/>
      <c r="E882" s="149"/>
      <c r="F882" s="149"/>
      <c r="G882" s="149"/>
      <c r="H882" s="149"/>
      <c r="I882" s="149"/>
      <c r="J882" s="149"/>
      <c r="K882" s="149"/>
      <c r="L882" s="149"/>
      <c r="M882" s="149"/>
      <c r="N882" s="149"/>
      <c r="O882" s="149"/>
      <c r="P882" s="149"/>
      <c r="Q882" s="149"/>
      <c r="R882" s="149"/>
      <c r="S882" s="149"/>
      <c r="T882" s="149"/>
      <c r="U882" s="149"/>
      <c r="V882" s="149"/>
      <c r="W882" s="149"/>
      <c r="X882" s="149"/>
      <c r="Y882" s="149"/>
      <c r="Z882" s="149"/>
      <c r="AA882" s="149"/>
      <c r="AB882" s="149"/>
      <c r="AC882" s="149"/>
      <c r="AD882" s="149"/>
      <c r="AE882" s="149"/>
      <c r="AF882" s="149"/>
      <c r="AG882" s="149"/>
      <c r="AH882" s="149"/>
      <c r="AI882" s="149"/>
      <c r="AJ882" s="149"/>
      <c r="AK882" s="149"/>
      <c r="AL882" s="149"/>
      <c r="AM882" s="149"/>
      <c r="AN882" s="149"/>
      <c r="AO882" s="149"/>
      <c r="AP882" s="149"/>
      <c r="AR882" s="149"/>
      <c r="AS882" s="149"/>
      <c r="AT882" s="149"/>
      <c r="AU882" s="149"/>
      <c r="AV882" s="149"/>
      <c r="AW882" s="149"/>
      <c r="AX882" s="149"/>
      <c r="AY882" s="149"/>
      <c r="AZ882" s="149"/>
      <c r="BA882" s="149"/>
      <c r="BB882" s="149"/>
      <c r="BC882" s="149"/>
      <c r="BD882" s="149"/>
      <c r="BE882" s="149"/>
      <c r="BF882" s="149"/>
      <c r="BG882" s="149"/>
      <c r="BH882" s="149"/>
      <c r="BI882" s="149"/>
      <c r="BJ882" s="149"/>
      <c r="BK882" s="149"/>
      <c r="BL882" s="149"/>
      <c r="BM882" s="149"/>
      <c r="BN882" s="149"/>
      <c r="BO882" s="149"/>
      <c r="BP882" s="149"/>
      <c r="BQ882" s="149"/>
      <c r="BR882" s="149"/>
    </row>
    <row r="883" ht="34" customHeight="1" spans="1:70">
      <c r="A883" s="208">
        <v>889</v>
      </c>
      <c r="B883" s="149"/>
      <c r="C883" s="149"/>
      <c r="D883" s="149"/>
      <c r="E883" s="149"/>
      <c r="F883" s="149"/>
      <c r="G883" s="149"/>
      <c r="H883" s="149"/>
      <c r="I883" s="149"/>
      <c r="J883" s="149"/>
      <c r="K883" s="149"/>
      <c r="L883" s="149"/>
      <c r="M883" s="149"/>
      <c r="N883" s="149"/>
      <c r="O883" s="149"/>
      <c r="P883" s="149"/>
      <c r="Q883" s="149"/>
      <c r="R883" s="149"/>
      <c r="S883" s="149"/>
      <c r="T883" s="149"/>
      <c r="U883" s="149"/>
      <c r="V883" s="149"/>
      <c r="W883" s="149"/>
      <c r="X883" s="149"/>
      <c r="Y883" s="149"/>
      <c r="Z883" s="149"/>
      <c r="AA883" s="149"/>
      <c r="AB883" s="149"/>
      <c r="AC883" s="149"/>
      <c r="AD883" s="149"/>
      <c r="AE883" s="149"/>
      <c r="AF883" s="149"/>
      <c r="AG883" s="149"/>
      <c r="AH883" s="149"/>
      <c r="AI883" s="149"/>
      <c r="AJ883" s="149"/>
      <c r="AK883" s="149"/>
      <c r="AL883" s="149"/>
      <c r="AM883" s="149"/>
      <c r="AN883" s="149"/>
      <c r="AO883" s="149"/>
      <c r="AP883" s="149"/>
      <c r="AR883" s="149"/>
      <c r="AS883" s="149"/>
      <c r="AT883" s="149"/>
      <c r="AU883" s="149"/>
      <c r="AV883" s="149"/>
      <c r="AW883" s="149"/>
      <c r="AX883" s="149"/>
      <c r="AY883" s="149"/>
      <c r="AZ883" s="149"/>
      <c r="BA883" s="149"/>
      <c r="BB883" s="149"/>
      <c r="BC883" s="149"/>
      <c r="BD883" s="149"/>
      <c r="BE883" s="149"/>
      <c r="BF883" s="149"/>
      <c r="BG883" s="149"/>
      <c r="BH883" s="149"/>
      <c r="BI883" s="149"/>
      <c r="BJ883" s="149"/>
      <c r="BK883" s="149"/>
      <c r="BL883" s="149"/>
      <c r="BM883" s="149"/>
      <c r="BN883" s="149"/>
      <c r="BO883" s="149"/>
      <c r="BP883" s="149"/>
      <c r="BQ883" s="149"/>
      <c r="BR883" s="149"/>
    </row>
    <row r="884" ht="34" customHeight="1" spans="1:70">
      <c r="A884" s="208">
        <v>890</v>
      </c>
      <c r="B884" s="149"/>
      <c r="C884" s="149"/>
      <c r="D884" s="149"/>
      <c r="E884" s="149"/>
      <c r="F884" s="149"/>
      <c r="G884" s="149"/>
      <c r="H884" s="149"/>
      <c r="I884" s="149"/>
      <c r="J884" s="149"/>
      <c r="K884" s="149"/>
      <c r="L884" s="149"/>
      <c r="M884" s="149"/>
      <c r="N884" s="149"/>
      <c r="O884" s="149"/>
      <c r="P884" s="149"/>
      <c r="Q884" s="149"/>
      <c r="R884" s="149"/>
      <c r="S884" s="149"/>
      <c r="T884" s="149"/>
      <c r="U884" s="149"/>
      <c r="V884" s="149"/>
      <c r="W884" s="149"/>
      <c r="X884" s="149"/>
      <c r="Y884" s="149"/>
      <c r="Z884" s="149"/>
      <c r="AA884" s="149"/>
      <c r="AB884" s="149"/>
      <c r="AC884" s="149"/>
      <c r="AD884" s="149"/>
      <c r="AE884" s="149"/>
      <c r="AF884" s="149"/>
      <c r="AG884" s="149"/>
      <c r="AH884" s="149"/>
      <c r="AI884" s="149"/>
      <c r="AJ884" s="149"/>
      <c r="AK884" s="149"/>
      <c r="AL884" s="149"/>
      <c r="AM884" s="149"/>
      <c r="AN884" s="149"/>
      <c r="AO884" s="149"/>
      <c r="AP884" s="149"/>
      <c r="AR884" s="149"/>
      <c r="AS884" s="149"/>
      <c r="AT884" s="149"/>
      <c r="AU884" s="149"/>
      <c r="AV884" s="149"/>
      <c r="AW884" s="149"/>
      <c r="AX884" s="149"/>
      <c r="AY884" s="149"/>
      <c r="AZ884" s="149"/>
      <c r="BA884" s="149"/>
      <c r="BB884" s="149"/>
      <c r="BC884" s="149"/>
      <c r="BD884" s="149"/>
      <c r="BE884" s="149"/>
      <c r="BF884" s="149"/>
      <c r="BG884" s="149"/>
      <c r="BH884" s="149"/>
      <c r="BI884" s="149"/>
      <c r="BJ884" s="149"/>
      <c r="BK884" s="149"/>
      <c r="BL884" s="149"/>
      <c r="BM884" s="149"/>
      <c r="BN884" s="149"/>
      <c r="BO884" s="149"/>
      <c r="BP884" s="149"/>
      <c r="BQ884" s="149"/>
      <c r="BR884" s="149"/>
    </row>
    <row r="885" ht="34" customHeight="1" spans="1:70">
      <c r="A885" s="208">
        <v>891</v>
      </c>
      <c r="B885" s="149"/>
      <c r="C885" s="149"/>
      <c r="D885" s="149"/>
      <c r="E885" s="149"/>
      <c r="F885" s="149"/>
      <c r="G885" s="149"/>
      <c r="H885" s="149"/>
      <c r="I885" s="149"/>
      <c r="J885" s="149"/>
      <c r="K885" s="149"/>
      <c r="L885" s="149"/>
      <c r="M885" s="149"/>
      <c r="N885" s="149"/>
      <c r="O885" s="149"/>
      <c r="P885" s="149"/>
      <c r="Q885" s="149"/>
      <c r="R885" s="149"/>
      <c r="S885" s="149"/>
      <c r="T885" s="149"/>
      <c r="U885" s="149"/>
      <c r="V885" s="149"/>
      <c r="W885" s="149"/>
      <c r="X885" s="149"/>
      <c r="Y885" s="149"/>
      <c r="Z885" s="149"/>
      <c r="AA885" s="149"/>
      <c r="AB885" s="149"/>
      <c r="AC885" s="149"/>
      <c r="AD885" s="149"/>
      <c r="AE885" s="149"/>
      <c r="AF885" s="149"/>
      <c r="AG885" s="149"/>
      <c r="AH885" s="149"/>
      <c r="AI885" s="149"/>
      <c r="AJ885" s="149"/>
      <c r="AK885" s="149"/>
      <c r="AL885" s="149"/>
      <c r="AM885" s="149"/>
      <c r="AN885" s="149"/>
      <c r="AO885" s="149"/>
      <c r="AP885" s="149"/>
      <c r="AR885" s="149"/>
      <c r="AS885" s="149"/>
      <c r="AT885" s="149"/>
      <c r="AU885" s="149"/>
      <c r="AV885" s="149"/>
      <c r="AW885" s="149"/>
      <c r="AX885" s="149"/>
      <c r="AY885" s="149"/>
      <c r="AZ885" s="149"/>
      <c r="BA885" s="149"/>
      <c r="BB885" s="149"/>
      <c r="BC885" s="149"/>
      <c r="BD885" s="149"/>
      <c r="BE885" s="149"/>
      <c r="BF885" s="149"/>
      <c r="BG885" s="149"/>
      <c r="BH885" s="149"/>
      <c r="BI885" s="149"/>
      <c r="BJ885" s="149"/>
      <c r="BK885" s="149"/>
      <c r="BL885" s="149"/>
      <c r="BM885" s="149"/>
      <c r="BN885" s="149"/>
      <c r="BO885" s="149"/>
      <c r="BP885" s="149"/>
      <c r="BQ885" s="149"/>
      <c r="BR885" s="149"/>
    </row>
    <row r="886" ht="34" customHeight="1" spans="1:70">
      <c r="A886" s="208">
        <v>892</v>
      </c>
      <c r="B886" s="149"/>
      <c r="C886" s="149"/>
      <c r="D886" s="149"/>
      <c r="E886" s="149"/>
      <c r="F886" s="149"/>
      <c r="G886" s="149"/>
      <c r="H886" s="149"/>
      <c r="I886" s="149"/>
      <c r="J886" s="149"/>
      <c r="K886" s="149"/>
      <c r="L886" s="149"/>
      <c r="M886" s="149"/>
      <c r="N886" s="149"/>
      <c r="O886" s="149"/>
      <c r="P886" s="149"/>
      <c r="Q886" s="149"/>
      <c r="R886" s="149"/>
      <c r="S886" s="149"/>
      <c r="T886" s="149"/>
      <c r="U886" s="149"/>
      <c r="V886" s="149"/>
      <c r="W886" s="149"/>
      <c r="X886" s="149"/>
      <c r="Y886" s="149"/>
      <c r="Z886" s="149"/>
      <c r="AA886" s="149"/>
      <c r="AB886" s="149"/>
      <c r="AC886" s="149"/>
      <c r="AD886" s="149"/>
      <c r="AE886" s="149"/>
      <c r="AF886" s="149"/>
      <c r="AG886" s="149"/>
      <c r="AH886" s="149"/>
      <c r="AI886" s="149"/>
      <c r="AJ886" s="149"/>
      <c r="AK886" s="149"/>
      <c r="AL886" s="149"/>
      <c r="AM886" s="149"/>
      <c r="AN886" s="149"/>
      <c r="AO886" s="149"/>
      <c r="AP886" s="149"/>
      <c r="AR886" s="149"/>
      <c r="AS886" s="149"/>
      <c r="AT886" s="149"/>
      <c r="AU886" s="149"/>
      <c r="AV886" s="149"/>
      <c r="AW886" s="149"/>
      <c r="AX886" s="149"/>
      <c r="AY886" s="149"/>
      <c r="AZ886" s="149"/>
      <c r="BA886" s="149"/>
      <c r="BB886" s="149"/>
      <c r="BC886" s="149"/>
      <c r="BD886" s="149"/>
      <c r="BE886" s="149"/>
      <c r="BF886" s="149"/>
      <c r="BG886" s="149"/>
      <c r="BH886" s="149"/>
      <c r="BI886" s="149"/>
      <c r="BJ886" s="149"/>
      <c r="BK886" s="149"/>
      <c r="BL886" s="149"/>
      <c r="BM886" s="149"/>
      <c r="BN886" s="149"/>
      <c r="BO886" s="149"/>
      <c r="BP886" s="149"/>
      <c r="BQ886" s="149"/>
      <c r="BR886" s="149"/>
    </row>
    <row r="887" ht="34" customHeight="1" spans="1:70">
      <c r="A887" s="208">
        <v>893</v>
      </c>
      <c r="B887" s="149"/>
      <c r="C887" s="149"/>
      <c r="D887" s="149"/>
      <c r="E887" s="149"/>
      <c r="F887" s="149"/>
      <c r="G887" s="149"/>
      <c r="H887" s="149"/>
      <c r="I887" s="149"/>
      <c r="J887" s="149"/>
      <c r="K887" s="149"/>
      <c r="L887" s="149"/>
      <c r="M887" s="149"/>
      <c r="N887" s="149"/>
      <c r="O887" s="149"/>
      <c r="P887" s="149"/>
      <c r="Q887" s="149"/>
      <c r="R887" s="149"/>
      <c r="S887" s="149"/>
      <c r="T887" s="149"/>
      <c r="U887" s="149"/>
      <c r="V887" s="149"/>
      <c r="W887" s="149"/>
      <c r="X887" s="149"/>
      <c r="Y887" s="149"/>
      <c r="Z887" s="149"/>
      <c r="AA887" s="149"/>
      <c r="AB887" s="149"/>
      <c r="AC887" s="149"/>
      <c r="AD887" s="149"/>
      <c r="AE887" s="149"/>
      <c r="AF887" s="149"/>
      <c r="AG887" s="149"/>
      <c r="AH887" s="149"/>
      <c r="AI887" s="149"/>
      <c r="AJ887" s="149"/>
      <c r="AK887" s="149"/>
      <c r="AL887" s="149"/>
      <c r="AM887" s="149"/>
      <c r="AN887" s="149"/>
      <c r="AO887" s="149"/>
      <c r="AP887" s="149"/>
      <c r="AR887" s="149"/>
      <c r="AS887" s="149"/>
      <c r="AT887" s="149"/>
      <c r="AU887" s="149"/>
      <c r="AV887" s="149"/>
      <c r="AW887" s="149"/>
      <c r="AX887" s="149"/>
      <c r="AY887" s="149"/>
      <c r="AZ887" s="149"/>
      <c r="BA887" s="149"/>
      <c r="BB887" s="149"/>
      <c r="BC887" s="149"/>
      <c r="BD887" s="149"/>
      <c r="BE887" s="149"/>
      <c r="BF887" s="149"/>
      <c r="BG887" s="149"/>
      <c r="BH887" s="149"/>
      <c r="BI887" s="149"/>
      <c r="BJ887" s="149"/>
      <c r="BK887" s="149"/>
      <c r="BL887" s="149"/>
      <c r="BM887" s="149"/>
      <c r="BN887" s="149"/>
      <c r="BO887" s="149"/>
      <c r="BP887" s="149"/>
      <c r="BQ887" s="149"/>
      <c r="BR887" s="149"/>
    </row>
    <row r="888" ht="34" customHeight="1" spans="1:70">
      <c r="A888" s="208">
        <v>894</v>
      </c>
      <c r="B888" s="149"/>
      <c r="C888" s="149"/>
      <c r="D888" s="149"/>
      <c r="E888" s="149"/>
      <c r="F888" s="149"/>
      <c r="G888" s="149"/>
      <c r="H888" s="149"/>
      <c r="I888" s="149"/>
      <c r="J888" s="149"/>
      <c r="K888" s="149"/>
      <c r="L888" s="149"/>
      <c r="M888" s="149"/>
      <c r="N888" s="149"/>
      <c r="O888" s="149"/>
      <c r="P888" s="149"/>
      <c r="Q888" s="149"/>
      <c r="R888" s="149"/>
      <c r="S888" s="149"/>
      <c r="T888" s="149"/>
      <c r="U888" s="149"/>
      <c r="V888" s="149"/>
      <c r="W888" s="149"/>
      <c r="X888" s="149"/>
      <c r="Y888" s="149"/>
      <c r="Z888" s="149"/>
      <c r="AA888" s="149"/>
      <c r="AB888" s="149"/>
      <c r="AC888" s="149"/>
      <c r="AD888" s="149"/>
      <c r="AE888" s="149"/>
      <c r="AF888" s="149"/>
      <c r="AG888" s="149"/>
      <c r="AH888" s="149"/>
      <c r="AI888" s="149"/>
      <c r="AJ888" s="149"/>
      <c r="AK888" s="149"/>
      <c r="AL888" s="149"/>
      <c r="AM888" s="149"/>
      <c r="AN888" s="149"/>
      <c r="AO888" s="149"/>
      <c r="AP888" s="149"/>
      <c r="AR888" s="149"/>
      <c r="AS888" s="149"/>
      <c r="AT888" s="149"/>
      <c r="AU888" s="149"/>
      <c r="AV888" s="149"/>
      <c r="AW888" s="149"/>
      <c r="AX888" s="149"/>
      <c r="AY888" s="149"/>
      <c r="AZ888" s="149"/>
      <c r="BA888" s="149"/>
      <c r="BB888" s="149"/>
      <c r="BC888" s="149"/>
      <c r="BD888" s="149"/>
      <c r="BE888" s="149"/>
      <c r="BF888" s="149"/>
      <c r="BG888" s="149"/>
      <c r="BH888" s="149"/>
      <c r="BI888" s="149"/>
      <c r="BJ888" s="149"/>
      <c r="BK888" s="149"/>
      <c r="BL888" s="149"/>
      <c r="BM888" s="149"/>
      <c r="BN888" s="149"/>
      <c r="BO888" s="149"/>
      <c r="BP888" s="149"/>
      <c r="BQ888" s="149"/>
      <c r="BR888" s="149"/>
    </row>
    <row r="889" ht="34" customHeight="1" spans="1:70">
      <c r="A889" s="208">
        <v>895</v>
      </c>
      <c r="B889" s="149"/>
      <c r="C889" s="149"/>
      <c r="D889" s="149"/>
      <c r="E889" s="149"/>
      <c r="F889" s="149"/>
      <c r="G889" s="149"/>
      <c r="H889" s="149"/>
      <c r="I889" s="149"/>
      <c r="J889" s="149"/>
      <c r="K889" s="149"/>
      <c r="L889" s="149"/>
      <c r="M889" s="149"/>
      <c r="N889" s="149"/>
      <c r="O889" s="149"/>
      <c r="P889" s="149"/>
      <c r="Q889" s="149"/>
      <c r="R889" s="149"/>
      <c r="S889" s="149"/>
      <c r="T889" s="149"/>
      <c r="U889" s="149"/>
      <c r="V889" s="149"/>
      <c r="W889" s="149"/>
      <c r="X889" s="149"/>
      <c r="Y889" s="149"/>
      <c r="Z889" s="149"/>
      <c r="AA889" s="149"/>
      <c r="AB889" s="149"/>
      <c r="AC889" s="149"/>
      <c r="AD889" s="149"/>
      <c r="AE889" s="149"/>
      <c r="AF889" s="149"/>
      <c r="AG889" s="149"/>
      <c r="AH889" s="149"/>
      <c r="AI889" s="149"/>
      <c r="AJ889" s="149"/>
      <c r="AK889" s="149"/>
      <c r="AL889" s="149"/>
      <c r="AM889" s="149"/>
      <c r="AN889" s="149"/>
      <c r="AO889" s="149"/>
      <c r="AP889" s="149"/>
      <c r="AR889" s="149"/>
      <c r="AS889" s="149"/>
      <c r="AT889" s="149"/>
      <c r="AU889" s="149"/>
      <c r="AV889" s="149"/>
      <c r="AW889" s="149"/>
      <c r="AX889" s="149"/>
      <c r="AY889" s="149"/>
      <c r="AZ889" s="149"/>
      <c r="BA889" s="149"/>
      <c r="BB889" s="149"/>
      <c r="BC889" s="149"/>
      <c r="BD889" s="149"/>
      <c r="BE889" s="149"/>
      <c r="BF889" s="149"/>
      <c r="BG889" s="149"/>
      <c r="BH889" s="149"/>
      <c r="BI889" s="149"/>
      <c r="BJ889" s="149"/>
      <c r="BK889" s="149"/>
      <c r="BL889" s="149"/>
      <c r="BM889" s="149"/>
      <c r="BN889" s="149"/>
      <c r="BO889" s="149"/>
      <c r="BP889" s="149"/>
      <c r="BQ889" s="149"/>
      <c r="BR889" s="149"/>
    </row>
    <row r="890" ht="34" customHeight="1" spans="1:70">
      <c r="A890" s="208">
        <v>896</v>
      </c>
      <c r="B890" s="149"/>
      <c r="C890" s="149"/>
      <c r="D890" s="149"/>
      <c r="E890" s="149"/>
      <c r="F890" s="149"/>
      <c r="G890" s="149"/>
      <c r="H890" s="149"/>
      <c r="I890" s="149"/>
      <c r="J890" s="149"/>
      <c r="K890" s="149"/>
      <c r="L890" s="149"/>
      <c r="M890" s="149"/>
      <c r="N890" s="149"/>
      <c r="O890" s="149"/>
      <c r="P890" s="149"/>
      <c r="Q890" s="149"/>
      <c r="R890" s="149"/>
      <c r="S890" s="149"/>
      <c r="T890" s="149"/>
      <c r="U890" s="149"/>
      <c r="V890" s="149"/>
      <c r="W890" s="149"/>
      <c r="X890" s="149"/>
      <c r="Y890" s="149"/>
      <c r="Z890" s="149"/>
      <c r="AA890" s="149"/>
      <c r="AB890" s="149"/>
      <c r="AC890" s="149"/>
      <c r="AD890" s="149"/>
      <c r="AE890" s="149"/>
      <c r="AF890" s="149"/>
      <c r="AG890" s="149"/>
      <c r="AH890" s="149"/>
      <c r="AI890" s="149"/>
      <c r="AJ890" s="149"/>
      <c r="AK890" s="149"/>
      <c r="AL890" s="149"/>
      <c r="AM890" s="149"/>
      <c r="AN890" s="149"/>
      <c r="AO890" s="149"/>
      <c r="AP890" s="149"/>
      <c r="AR890" s="149"/>
      <c r="AS890" s="149"/>
      <c r="AT890" s="149"/>
      <c r="AU890" s="149"/>
      <c r="AV890" s="149"/>
      <c r="AW890" s="149"/>
      <c r="AX890" s="149"/>
      <c r="AY890" s="149"/>
      <c r="AZ890" s="149"/>
      <c r="BA890" s="149"/>
      <c r="BB890" s="149"/>
      <c r="BC890" s="149"/>
      <c r="BD890" s="149"/>
      <c r="BE890" s="149"/>
      <c r="BF890" s="149"/>
      <c r="BG890" s="149"/>
      <c r="BH890" s="149"/>
      <c r="BI890" s="149"/>
      <c r="BJ890" s="149"/>
      <c r="BK890" s="149"/>
      <c r="BL890" s="149"/>
      <c r="BM890" s="149"/>
      <c r="BN890" s="149"/>
      <c r="BO890" s="149"/>
      <c r="BP890" s="149"/>
      <c r="BQ890" s="149"/>
      <c r="BR890" s="149"/>
    </row>
    <row r="891" ht="34" customHeight="1" spans="1:70">
      <c r="A891" s="208">
        <v>897</v>
      </c>
      <c r="B891" s="149"/>
      <c r="C891" s="149"/>
      <c r="D891" s="149"/>
      <c r="E891" s="149"/>
      <c r="F891" s="149"/>
      <c r="G891" s="149"/>
      <c r="H891" s="149"/>
      <c r="I891" s="149"/>
      <c r="J891" s="149"/>
      <c r="K891" s="149"/>
      <c r="L891" s="149"/>
      <c r="M891" s="149"/>
      <c r="N891" s="149"/>
      <c r="O891" s="149"/>
      <c r="P891" s="149"/>
      <c r="Q891" s="149"/>
      <c r="R891" s="149"/>
      <c r="S891" s="149"/>
      <c r="T891" s="149"/>
      <c r="U891" s="149"/>
      <c r="V891" s="149"/>
      <c r="W891" s="149"/>
      <c r="X891" s="149"/>
      <c r="Y891" s="149"/>
      <c r="Z891" s="149"/>
      <c r="AA891" s="149"/>
      <c r="AB891" s="149"/>
      <c r="AC891" s="149"/>
      <c r="AD891" s="149"/>
      <c r="AE891" s="149"/>
      <c r="AF891" s="149"/>
      <c r="AG891" s="149"/>
      <c r="AH891" s="149"/>
      <c r="AI891" s="149"/>
      <c r="AJ891" s="149"/>
      <c r="AK891" s="149"/>
      <c r="AL891" s="149"/>
      <c r="AM891" s="149"/>
      <c r="AN891" s="149"/>
      <c r="AO891" s="149"/>
      <c r="AP891" s="149"/>
      <c r="AR891" s="149"/>
      <c r="AS891" s="149"/>
      <c r="AT891" s="149"/>
      <c r="AU891" s="149"/>
      <c r="AV891" s="149"/>
      <c r="AW891" s="149"/>
      <c r="AX891" s="149"/>
      <c r="AY891" s="149"/>
      <c r="AZ891" s="149"/>
      <c r="BA891" s="149"/>
      <c r="BB891" s="149"/>
      <c r="BC891" s="149"/>
      <c r="BD891" s="149"/>
      <c r="BE891" s="149"/>
      <c r="BF891" s="149"/>
      <c r="BG891" s="149"/>
      <c r="BH891" s="149"/>
      <c r="BI891" s="149"/>
      <c r="BJ891" s="149"/>
      <c r="BK891" s="149"/>
      <c r="BL891" s="149"/>
      <c r="BM891" s="149"/>
      <c r="BN891" s="149"/>
      <c r="BO891" s="149"/>
      <c r="BP891" s="149"/>
      <c r="BQ891" s="149"/>
      <c r="BR891" s="149"/>
    </row>
    <row r="892" ht="34" customHeight="1" spans="1:70">
      <c r="A892" s="208">
        <v>898</v>
      </c>
      <c r="B892" s="149"/>
      <c r="C892" s="149"/>
      <c r="D892" s="149"/>
      <c r="E892" s="149"/>
      <c r="F892" s="149"/>
      <c r="G892" s="149"/>
      <c r="H892" s="149"/>
      <c r="I892" s="149"/>
      <c r="J892" s="149"/>
      <c r="K892" s="149"/>
      <c r="L892" s="149"/>
      <c r="M892" s="149"/>
      <c r="N892" s="149"/>
      <c r="O892" s="149"/>
      <c r="P892" s="149"/>
      <c r="Q892" s="149"/>
      <c r="R892" s="149"/>
      <c r="S892" s="149"/>
      <c r="T892" s="149"/>
      <c r="U892" s="149"/>
      <c r="V892" s="149"/>
      <c r="W892" s="149"/>
      <c r="X892" s="149"/>
      <c r="Y892" s="149"/>
      <c r="Z892" s="149"/>
      <c r="AA892" s="149"/>
      <c r="AB892" s="149"/>
      <c r="AC892" s="149"/>
      <c r="AD892" s="149"/>
      <c r="AE892" s="149"/>
      <c r="AF892" s="149"/>
      <c r="AG892" s="149"/>
      <c r="AH892" s="149"/>
      <c r="AI892" s="149"/>
      <c r="AJ892" s="149"/>
      <c r="AK892" s="149"/>
      <c r="AL892" s="149"/>
      <c r="AM892" s="149"/>
      <c r="AN892" s="149"/>
      <c r="AO892" s="149"/>
      <c r="AP892" s="149"/>
      <c r="AR892" s="149"/>
      <c r="AS892" s="149"/>
      <c r="AT892" s="149"/>
      <c r="AU892" s="149"/>
      <c r="AV892" s="149"/>
      <c r="AW892" s="149"/>
      <c r="AX892" s="149"/>
      <c r="AY892" s="149"/>
      <c r="AZ892" s="149"/>
      <c r="BA892" s="149"/>
      <c r="BB892" s="149"/>
      <c r="BC892" s="149"/>
      <c r="BD892" s="149"/>
      <c r="BE892" s="149"/>
      <c r="BF892" s="149"/>
      <c r="BG892" s="149"/>
      <c r="BH892" s="149"/>
      <c r="BI892" s="149"/>
      <c r="BJ892" s="149"/>
      <c r="BK892" s="149"/>
      <c r="BL892" s="149"/>
      <c r="BM892" s="149"/>
      <c r="BN892" s="149"/>
      <c r="BO892" s="149"/>
      <c r="BP892" s="149"/>
      <c r="BQ892" s="149"/>
      <c r="BR892" s="149"/>
    </row>
    <row r="893" ht="34" customHeight="1" spans="1:70">
      <c r="A893" s="208">
        <v>899</v>
      </c>
      <c r="B893" s="149"/>
      <c r="C893" s="149"/>
      <c r="D893" s="149"/>
      <c r="E893" s="149"/>
      <c r="F893" s="149"/>
      <c r="G893" s="149"/>
      <c r="H893" s="149"/>
      <c r="I893" s="149"/>
      <c r="J893" s="149"/>
      <c r="K893" s="149"/>
      <c r="L893" s="149"/>
      <c r="M893" s="149"/>
      <c r="N893" s="149"/>
      <c r="O893" s="149"/>
      <c r="P893" s="149"/>
      <c r="Q893" s="149"/>
      <c r="R893" s="149"/>
      <c r="S893" s="149"/>
      <c r="T893" s="149"/>
      <c r="U893" s="149"/>
      <c r="V893" s="149"/>
      <c r="W893" s="149"/>
      <c r="X893" s="149"/>
      <c r="Y893" s="149"/>
      <c r="Z893" s="149"/>
      <c r="AA893" s="149"/>
      <c r="AB893" s="149"/>
      <c r="AC893" s="149"/>
      <c r="AD893" s="149"/>
      <c r="AE893" s="149"/>
      <c r="AF893" s="149"/>
      <c r="AG893" s="149"/>
      <c r="AH893" s="149"/>
      <c r="AI893" s="149"/>
      <c r="AJ893" s="149"/>
      <c r="AK893" s="149"/>
      <c r="AL893" s="149"/>
      <c r="AM893" s="149"/>
      <c r="AN893" s="149"/>
      <c r="AO893" s="149"/>
      <c r="AP893" s="149"/>
      <c r="AR893" s="149"/>
      <c r="AS893" s="149"/>
      <c r="AT893" s="149"/>
      <c r="AU893" s="149"/>
      <c r="AV893" s="149"/>
      <c r="AW893" s="149"/>
      <c r="AX893" s="149"/>
      <c r="AY893" s="149"/>
      <c r="AZ893" s="149"/>
      <c r="BA893" s="149"/>
      <c r="BB893" s="149"/>
      <c r="BC893" s="149"/>
      <c r="BD893" s="149"/>
      <c r="BE893" s="149"/>
      <c r="BF893" s="149"/>
      <c r="BG893" s="149"/>
      <c r="BH893" s="149"/>
      <c r="BI893" s="149"/>
      <c r="BJ893" s="149"/>
      <c r="BK893" s="149"/>
      <c r="BL893" s="149"/>
      <c r="BM893" s="149"/>
      <c r="BN893" s="149"/>
      <c r="BO893" s="149"/>
      <c r="BP893" s="149"/>
      <c r="BQ893" s="149"/>
      <c r="BR893" s="149"/>
    </row>
    <row r="894" ht="34" customHeight="1" spans="1:70">
      <c r="A894" s="208">
        <v>900</v>
      </c>
      <c r="B894" s="149"/>
      <c r="C894" s="149"/>
      <c r="D894" s="149"/>
      <c r="E894" s="149"/>
      <c r="F894" s="149"/>
      <c r="G894" s="149"/>
      <c r="H894" s="149"/>
      <c r="I894" s="149"/>
      <c r="J894" s="149"/>
      <c r="K894" s="149"/>
      <c r="L894" s="149"/>
      <c r="M894" s="149"/>
      <c r="N894" s="149"/>
      <c r="O894" s="149"/>
      <c r="P894" s="149"/>
      <c r="Q894" s="149"/>
      <c r="R894" s="149"/>
      <c r="S894" s="149"/>
      <c r="T894" s="149"/>
      <c r="U894" s="149"/>
      <c r="V894" s="149"/>
      <c r="W894" s="149"/>
      <c r="X894" s="149"/>
      <c r="Y894" s="149"/>
      <c r="Z894" s="149"/>
      <c r="AA894" s="149"/>
      <c r="AB894" s="149"/>
      <c r="AC894" s="149"/>
      <c r="AD894" s="149"/>
      <c r="AE894" s="149"/>
      <c r="AF894" s="149"/>
      <c r="AG894" s="149"/>
      <c r="AH894" s="149"/>
      <c r="AI894" s="149"/>
      <c r="AJ894" s="149"/>
      <c r="AK894" s="149"/>
      <c r="AL894" s="149"/>
      <c r="AM894" s="149"/>
      <c r="AN894" s="149"/>
      <c r="AO894" s="149"/>
      <c r="AP894" s="149"/>
      <c r="AR894" s="149"/>
      <c r="AS894" s="149"/>
      <c r="AT894" s="149"/>
      <c r="AU894" s="149"/>
      <c r="AV894" s="149"/>
      <c r="AW894" s="149"/>
      <c r="AX894" s="149"/>
      <c r="AY894" s="149"/>
      <c r="AZ894" s="149"/>
      <c r="BA894" s="149"/>
      <c r="BB894" s="149"/>
      <c r="BC894" s="149"/>
      <c r="BD894" s="149"/>
      <c r="BE894" s="149"/>
      <c r="BF894" s="149"/>
      <c r="BG894" s="149"/>
      <c r="BH894" s="149"/>
      <c r="BI894" s="149"/>
      <c r="BJ894" s="149"/>
      <c r="BK894" s="149"/>
      <c r="BL894" s="149"/>
      <c r="BM894" s="149"/>
      <c r="BN894" s="149"/>
      <c r="BO894" s="149"/>
      <c r="BP894" s="149"/>
      <c r="BQ894" s="149"/>
      <c r="BR894" s="149"/>
    </row>
    <row r="895" ht="34" customHeight="1" spans="1:70">
      <c r="A895" s="208">
        <v>901</v>
      </c>
      <c r="B895" s="149"/>
      <c r="C895" s="149"/>
      <c r="D895" s="149"/>
      <c r="E895" s="149"/>
      <c r="F895" s="149"/>
      <c r="G895" s="149"/>
      <c r="H895" s="149"/>
      <c r="I895" s="149"/>
      <c r="J895" s="149"/>
      <c r="K895" s="149"/>
      <c r="L895" s="149"/>
      <c r="M895" s="149"/>
      <c r="N895" s="149"/>
      <c r="O895" s="149"/>
      <c r="P895" s="149"/>
      <c r="Q895" s="149"/>
      <c r="R895" s="149"/>
      <c r="S895" s="149"/>
      <c r="T895" s="149"/>
      <c r="U895" s="149"/>
      <c r="V895" s="149"/>
      <c r="W895" s="149"/>
      <c r="X895" s="149"/>
      <c r="Y895" s="149"/>
      <c r="Z895" s="149"/>
      <c r="AA895" s="149"/>
      <c r="AB895" s="149"/>
      <c r="AC895" s="149"/>
      <c r="AD895" s="149"/>
      <c r="AE895" s="149"/>
      <c r="AF895" s="149"/>
      <c r="AG895" s="149"/>
      <c r="AH895" s="149"/>
      <c r="AI895" s="149"/>
      <c r="AJ895" s="149"/>
      <c r="AK895" s="149"/>
      <c r="AL895" s="149"/>
      <c r="AM895" s="149"/>
      <c r="AN895" s="149"/>
      <c r="AO895" s="149"/>
      <c r="AP895" s="149"/>
      <c r="AR895" s="149"/>
      <c r="AS895" s="149"/>
      <c r="AT895" s="149"/>
      <c r="AU895" s="149"/>
      <c r="AV895" s="149"/>
      <c r="AW895" s="149"/>
      <c r="AX895" s="149"/>
      <c r="AY895" s="149"/>
      <c r="AZ895" s="149"/>
      <c r="BA895" s="149"/>
      <c r="BB895" s="149"/>
      <c r="BC895" s="149"/>
      <c r="BD895" s="149"/>
      <c r="BE895" s="149"/>
      <c r="BF895" s="149"/>
      <c r="BG895" s="149"/>
      <c r="BH895" s="149"/>
      <c r="BI895" s="149"/>
      <c r="BJ895" s="149"/>
      <c r="BK895" s="149"/>
      <c r="BL895" s="149"/>
      <c r="BM895" s="149"/>
      <c r="BN895" s="149"/>
      <c r="BO895" s="149"/>
      <c r="BP895" s="149"/>
      <c r="BQ895" s="149"/>
      <c r="BR895" s="149"/>
    </row>
    <row r="896" ht="34" customHeight="1" spans="1:70">
      <c r="A896" s="208">
        <v>902</v>
      </c>
      <c r="B896" s="149"/>
      <c r="C896" s="149"/>
      <c r="D896" s="149"/>
      <c r="E896" s="149"/>
      <c r="F896" s="149"/>
      <c r="G896" s="149"/>
      <c r="H896" s="149"/>
      <c r="I896" s="149"/>
      <c r="J896" s="149"/>
      <c r="K896" s="149"/>
      <c r="L896" s="149"/>
      <c r="M896" s="149"/>
      <c r="N896" s="149"/>
      <c r="O896" s="149"/>
      <c r="P896" s="149"/>
      <c r="Q896" s="149"/>
      <c r="R896" s="149"/>
      <c r="S896" s="149"/>
      <c r="T896" s="149"/>
      <c r="U896" s="149"/>
      <c r="V896" s="149"/>
      <c r="W896" s="149"/>
      <c r="X896" s="149"/>
      <c r="Y896" s="149"/>
      <c r="Z896" s="149"/>
      <c r="AA896" s="149"/>
      <c r="AB896" s="149"/>
      <c r="AC896" s="149"/>
      <c r="AD896" s="149"/>
      <c r="AE896" s="149"/>
      <c r="AF896" s="149"/>
      <c r="AG896" s="149"/>
      <c r="AH896" s="149"/>
      <c r="AI896" s="149"/>
      <c r="AJ896" s="149"/>
      <c r="AK896" s="149"/>
      <c r="AL896" s="149"/>
      <c r="AM896" s="149"/>
      <c r="AN896" s="149"/>
      <c r="AO896" s="149"/>
      <c r="AP896" s="149"/>
      <c r="AR896" s="149"/>
      <c r="AS896" s="149"/>
      <c r="AT896" s="149"/>
      <c r="AU896" s="149"/>
      <c r="AV896" s="149"/>
      <c r="AW896" s="149"/>
      <c r="AX896" s="149"/>
      <c r="AY896" s="149"/>
      <c r="AZ896" s="149"/>
      <c r="BA896" s="149"/>
      <c r="BB896" s="149"/>
      <c r="BC896" s="149"/>
      <c r="BD896" s="149"/>
      <c r="BE896" s="149"/>
      <c r="BF896" s="149"/>
      <c r="BG896" s="149"/>
      <c r="BH896" s="149"/>
      <c r="BI896" s="149"/>
      <c r="BJ896" s="149"/>
      <c r="BK896" s="149"/>
      <c r="BL896" s="149"/>
      <c r="BM896" s="149"/>
      <c r="BN896" s="149"/>
      <c r="BO896" s="149"/>
      <c r="BP896" s="149"/>
      <c r="BQ896" s="149"/>
      <c r="BR896" s="149"/>
    </row>
    <row r="897" ht="34" customHeight="1" spans="1:70">
      <c r="A897" s="208">
        <v>903</v>
      </c>
      <c r="B897" s="149"/>
      <c r="C897" s="149"/>
      <c r="D897" s="149"/>
      <c r="E897" s="149"/>
      <c r="F897" s="149"/>
      <c r="G897" s="149"/>
      <c r="H897" s="149"/>
      <c r="I897" s="149"/>
      <c r="J897" s="149"/>
      <c r="K897" s="149"/>
      <c r="L897" s="149"/>
      <c r="M897" s="149"/>
      <c r="N897" s="149"/>
      <c r="O897" s="149"/>
      <c r="P897" s="149"/>
      <c r="Q897" s="149"/>
      <c r="R897" s="149"/>
      <c r="S897" s="149"/>
      <c r="T897" s="149"/>
      <c r="U897" s="149"/>
      <c r="V897" s="149"/>
      <c r="W897" s="149"/>
      <c r="X897" s="149"/>
      <c r="Y897" s="149"/>
      <c r="Z897" s="149"/>
      <c r="AA897" s="149"/>
      <c r="AB897" s="149"/>
      <c r="AC897" s="149"/>
      <c r="AD897" s="149"/>
      <c r="AE897" s="149"/>
      <c r="AF897" s="149"/>
      <c r="AG897" s="149"/>
      <c r="AH897" s="149"/>
      <c r="AI897" s="149"/>
      <c r="AJ897" s="149"/>
      <c r="AK897" s="149"/>
      <c r="AL897" s="149"/>
      <c r="AM897" s="149"/>
      <c r="AN897" s="149"/>
      <c r="AO897" s="149"/>
      <c r="AP897" s="149"/>
      <c r="AR897" s="149"/>
      <c r="AS897" s="149"/>
      <c r="AT897" s="149"/>
      <c r="AU897" s="149"/>
      <c r="AV897" s="149"/>
      <c r="AW897" s="149"/>
      <c r="AX897" s="149"/>
      <c r="AY897" s="149"/>
      <c r="AZ897" s="149"/>
      <c r="BA897" s="149"/>
      <c r="BB897" s="149"/>
      <c r="BC897" s="149"/>
      <c r="BD897" s="149"/>
      <c r="BE897" s="149"/>
      <c r="BF897" s="149"/>
      <c r="BG897" s="149"/>
      <c r="BH897" s="149"/>
      <c r="BI897" s="149"/>
      <c r="BJ897" s="149"/>
      <c r="BK897" s="149"/>
      <c r="BL897" s="149"/>
      <c r="BM897" s="149"/>
      <c r="BN897" s="149"/>
      <c r="BO897" s="149"/>
      <c r="BP897" s="149"/>
      <c r="BQ897" s="149"/>
      <c r="BR897" s="149"/>
    </row>
    <row r="898" ht="34" customHeight="1" spans="1:70">
      <c r="A898" s="208">
        <v>904</v>
      </c>
      <c r="B898" s="149"/>
      <c r="C898" s="149"/>
      <c r="D898" s="149"/>
      <c r="E898" s="149"/>
      <c r="F898" s="149"/>
      <c r="G898" s="149"/>
      <c r="H898" s="149"/>
      <c r="I898" s="149"/>
      <c r="J898" s="149"/>
      <c r="K898" s="149"/>
      <c r="L898" s="149"/>
      <c r="M898" s="149"/>
      <c r="N898" s="149"/>
      <c r="O898" s="149"/>
      <c r="P898" s="149"/>
      <c r="Q898" s="149"/>
      <c r="R898" s="149"/>
      <c r="S898" s="149"/>
      <c r="T898" s="149"/>
      <c r="U898" s="149"/>
      <c r="V898" s="149"/>
      <c r="W898" s="149"/>
      <c r="X898" s="149"/>
      <c r="Y898" s="149"/>
      <c r="Z898" s="149"/>
      <c r="AA898" s="149"/>
      <c r="AB898" s="149"/>
      <c r="AC898" s="149"/>
      <c r="AD898" s="149"/>
      <c r="AE898" s="149"/>
      <c r="AF898" s="149"/>
      <c r="AG898" s="149"/>
      <c r="AH898" s="149"/>
      <c r="AI898" s="149"/>
      <c r="AJ898" s="149"/>
      <c r="AK898" s="149"/>
      <c r="AL898" s="149"/>
      <c r="AM898" s="149"/>
      <c r="AN898" s="149"/>
      <c r="AO898" s="149"/>
      <c r="AP898" s="149"/>
      <c r="AR898" s="149"/>
      <c r="AS898" s="149"/>
      <c r="AT898" s="149"/>
      <c r="AU898" s="149"/>
      <c r="AV898" s="149"/>
      <c r="AW898" s="149"/>
      <c r="AX898" s="149"/>
      <c r="AY898" s="149"/>
      <c r="AZ898" s="149"/>
      <c r="BA898" s="149"/>
      <c r="BB898" s="149"/>
      <c r="BC898" s="149"/>
      <c r="BD898" s="149"/>
      <c r="BE898" s="149"/>
      <c r="BF898" s="149"/>
      <c r="BG898" s="149"/>
      <c r="BH898" s="149"/>
      <c r="BI898" s="149"/>
      <c r="BJ898" s="149"/>
      <c r="BK898" s="149"/>
      <c r="BL898" s="149"/>
      <c r="BM898" s="149"/>
      <c r="BN898" s="149"/>
      <c r="BO898" s="149"/>
      <c r="BP898" s="149"/>
      <c r="BQ898" s="149"/>
      <c r="BR898" s="149"/>
    </row>
    <row r="899" ht="34" customHeight="1" spans="1:70">
      <c r="A899" s="208">
        <v>905</v>
      </c>
      <c r="B899" s="149"/>
      <c r="C899" s="149"/>
      <c r="D899" s="149"/>
      <c r="E899" s="149"/>
      <c r="F899" s="149"/>
      <c r="G899" s="149"/>
      <c r="H899" s="149"/>
      <c r="I899" s="149"/>
      <c r="J899" s="149"/>
      <c r="K899" s="149"/>
      <c r="L899" s="149"/>
      <c r="M899" s="149"/>
      <c r="N899" s="149"/>
      <c r="O899" s="149"/>
      <c r="P899" s="149"/>
      <c r="Q899" s="149"/>
      <c r="R899" s="149"/>
      <c r="S899" s="149"/>
      <c r="T899" s="149"/>
      <c r="U899" s="149"/>
      <c r="V899" s="149"/>
      <c r="W899" s="149"/>
      <c r="X899" s="149"/>
      <c r="Y899" s="149"/>
      <c r="Z899" s="149"/>
      <c r="AA899" s="149"/>
      <c r="AB899" s="149"/>
      <c r="AC899" s="149"/>
      <c r="AD899" s="149"/>
      <c r="AE899" s="149"/>
      <c r="AF899" s="149"/>
      <c r="AG899" s="149"/>
      <c r="AH899" s="149"/>
      <c r="AI899" s="149"/>
      <c r="AJ899" s="149"/>
      <c r="AK899" s="149"/>
      <c r="AL899" s="149"/>
      <c r="AM899" s="149"/>
      <c r="AN899" s="149"/>
      <c r="AO899" s="149"/>
      <c r="AP899" s="149"/>
      <c r="AR899" s="149"/>
      <c r="AS899" s="149"/>
      <c r="AT899" s="149"/>
      <c r="AU899" s="149"/>
      <c r="AV899" s="149"/>
      <c r="AW899" s="149"/>
      <c r="AX899" s="149"/>
      <c r="AY899" s="149"/>
      <c r="AZ899" s="149"/>
      <c r="BA899" s="149"/>
      <c r="BB899" s="149"/>
      <c r="BC899" s="149"/>
      <c r="BD899" s="149"/>
      <c r="BE899" s="149"/>
      <c r="BF899" s="149"/>
      <c r="BG899" s="149"/>
      <c r="BH899" s="149"/>
      <c r="BI899" s="149"/>
      <c r="BJ899" s="149"/>
      <c r="BK899" s="149"/>
      <c r="BL899" s="149"/>
      <c r="BM899" s="149"/>
      <c r="BN899" s="149"/>
      <c r="BO899" s="149"/>
      <c r="BP899" s="149"/>
      <c r="BQ899" s="149"/>
      <c r="BR899" s="149"/>
    </row>
    <row r="900" ht="34" customHeight="1" spans="1:70">
      <c r="A900" s="208">
        <v>906</v>
      </c>
      <c r="B900" s="149"/>
      <c r="C900" s="149"/>
      <c r="D900" s="149"/>
      <c r="E900" s="149"/>
      <c r="F900" s="149"/>
      <c r="G900" s="149"/>
      <c r="H900" s="149"/>
      <c r="I900" s="149"/>
      <c r="J900" s="149"/>
      <c r="K900" s="149"/>
      <c r="L900" s="149"/>
      <c r="M900" s="149"/>
      <c r="N900" s="149"/>
      <c r="O900" s="149"/>
      <c r="P900" s="149"/>
      <c r="Q900" s="149"/>
      <c r="R900" s="149"/>
      <c r="S900" s="149"/>
      <c r="T900" s="149"/>
      <c r="U900" s="149"/>
      <c r="V900" s="149"/>
      <c r="W900" s="149"/>
      <c r="X900" s="149"/>
      <c r="Y900" s="149"/>
      <c r="Z900" s="149"/>
      <c r="AA900" s="149"/>
      <c r="AB900" s="149"/>
      <c r="AC900" s="149"/>
      <c r="AD900" s="149"/>
      <c r="AE900" s="149"/>
      <c r="AF900" s="149"/>
      <c r="AG900" s="149"/>
      <c r="AH900" s="149"/>
      <c r="AI900" s="149"/>
      <c r="AJ900" s="149"/>
      <c r="AK900" s="149"/>
      <c r="AL900" s="149"/>
      <c r="AM900" s="149"/>
      <c r="AN900" s="149"/>
      <c r="AO900" s="149"/>
      <c r="AP900" s="149"/>
      <c r="AR900" s="149"/>
      <c r="AS900" s="149"/>
      <c r="AT900" s="149"/>
      <c r="AU900" s="149"/>
      <c r="AV900" s="149"/>
      <c r="AW900" s="149"/>
      <c r="AX900" s="149"/>
      <c r="AY900" s="149"/>
      <c r="AZ900" s="149"/>
      <c r="BA900" s="149"/>
      <c r="BB900" s="149"/>
      <c r="BC900" s="149"/>
      <c r="BD900" s="149"/>
      <c r="BE900" s="149"/>
      <c r="BF900" s="149"/>
      <c r="BG900" s="149"/>
      <c r="BH900" s="149"/>
      <c r="BI900" s="149"/>
      <c r="BJ900" s="149"/>
      <c r="BK900" s="149"/>
      <c r="BL900" s="149"/>
      <c r="BM900" s="149"/>
      <c r="BN900" s="149"/>
      <c r="BO900" s="149"/>
      <c r="BP900" s="149"/>
      <c r="BQ900" s="149"/>
      <c r="BR900" s="149"/>
    </row>
    <row r="901" ht="34" customHeight="1" spans="1:70">
      <c r="A901" s="208">
        <v>907</v>
      </c>
      <c r="B901" s="149"/>
      <c r="C901" s="149"/>
      <c r="D901" s="149"/>
      <c r="E901" s="149"/>
      <c r="F901" s="149"/>
      <c r="G901" s="149"/>
      <c r="H901" s="149"/>
      <c r="I901" s="149"/>
      <c r="J901" s="149"/>
      <c r="K901" s="149"/>
      <c r="L901" s="149"/>
      <c r="M901" s="149"/>
      <c r="N901" s="149"/>
      <c r="O901" s="149"/>
      <c r="P901" s="149"/>
      <c r="Q901" s="149"/>
      <c r="R901" s="149"/>
      <c r="S901" s="149"/>
      <c r="T901" s="149"/>
      <c r="U901" s="149"/>
      <c r="V901" s="149"/>
      <c r="W901" s="149"/>
      <c r="X901" s="149"/>
      <c r="Y901" s="149"/>
      <c r="Z901" s="149"/>
      <c r="AA901" s="149"/>
      <c r="AB901" s="149"/>
      <c r="AC901" s="149"/>
      <c r="AD901" s="149"/>
      <c r="AE901" s="149"/>
      <c r="AF901" s="149"/>
      <c r="AG901" s="149"/>
      <c r="AH901" s="149"/>
      <c r="AI901" s="149"/>
      <c r="AJ901" s="149"/>
      <c r="AK901" s="149"/>
      <c r="AL901" s="149"/>
      <c r="AM901" s="149"/>
      <c r="AN901" s="149"/>
      <c r="AO901" s="149"/>
      <c r="AP901" s="149"/>
      <c r="AR901" s="149"/>
      <c r="AS901" s="149"/>
      <c r="AT901" s="149"/>
      <c r="AU901" s="149"/>
      <c r="AV901" s="149"/>
      <c r="AW901" s="149"/>
      <c r="AX901" s="149"/>
      <c r="AY901" s="149"/>
      <c r="AZ901" s="149"/>
      <c r="BA901" s="149"/>
      <c r="BB901" s="149"/>
      <c r="BC901" s="149"/>
      <c r="BD901" s="149"/>
      <c r="BE901" s="149"/>
      <c r="BF901" s="149"/>
      <c r="BG901" s="149"/>
      <c r="BH901" s="149"/>
      <c r="BI901" s="149"/>
      <c r="BJ901" s="149"/>
      <c r="BK901" s="149"/>
      <c r="BL901" s="149"/>
      <c r="BM901" s="149"/>
      <c r="BN901" s="149"/>
      <c r="BO901" s="149"/>
      <c r="BP901" s="149"/>
      <c r="BQ901" s="149"/>
      <c r="BR901" s="149"/>
    </row>
    <row r="902" ht="34" customHeight="1" spans="1:70">
      <c r="A902" s="208">
        <v>908</v>
      </c>
      <c r="B902" s="149"/>
      <c r="C902" s="149"/>
      <c r="D902" s="149"/>
      <c r="E902" s="149"/>
      <c r="F902" s="149"/>
      <c r="G902" s="149"/>
      <c r="H902" s="149"/>
      <c r="I902" s="149"/>
      <c r="J902" s="149"/>
      <c r="K902" s="149"/>
      <c r="L902" s="149"/>
      <c r="M902" s="149"/>
      <c r="N902" s="149"/>
      <c r="O902" s="149"/>
      <c r="P902" s="149"/>
      <c r="Q902" s="149"/>
      <c r="R902" s="149"/>
      <c r="S902" s="149"/>
      <c r="T902" s="149"/>
      <c r="U902" s="149"/>
      <c r="V902" s="149"/>
      <c r="W902" s="149"/>
      <c r="X902" s="149"/>
      <c r="Y902" s="149"/>
      <c r="Z902" s="149"/>
      <c r="AA902" s="149"/>
      <c r="AB902" s="149"/>
      <c r="AC902" s="149"/>
      <c r="AD902" s="149"/>
      <c r="AE902" s="149"/>
      <c r="AF902" s="149"/>
      <c r="AG902" s="149"/>
      <c r="AH902" s="149"/>
      <c r="AI902" s="149"/>
      <c r="AJ902" s="149"/>
      <c r="AK902" s="149"/>
      <c r="AL902" s="149"/>
      <c r="AM902" s="149"/>
      <c r="AN902" s="149"/>
      <c r="AO902" s="149"/>
      <c r="AP902" s="149"/>
      <c r="AR902" s="149"/>
      <c r="AS902" s="149"/>
      <c r="AT902" s="149"/>
      <c r="AU902" s="149"/>
      <c r="AV902" s="149"/>
      <c r="AW902" s="149"/>
      <c r="AX902" s="149"/>
      <c r="AY902" s="149"/>
      <c r="AZ902" s="149"/>
      <c r="BA902" s="149"/>
      <c r="BB902" s="149"/>
      <c r="BC902" s="149"/>
      <c r="BD902" s="149"/>
      <c r="BE902" s="149"/>
      <c r="BF902" s="149"/>
      <c r="BG902" s="149"/>
      <c r="BH902" s="149"/>
      <c r="BI902" s="149"/>
      <c r="BJ902" s="149"/>
      <c r="BK902" s="149"/>
      <c r="BL902" s="149"/>
      <c r="BM902" s="149"/>
      <c r="BN902" s="149"/>
      <c r="BO902" s="149"/>
      <c r="BP902" s="149"/>
      <c r="BQ902" s="149"/>
      <c r="BR902" s="149"/>
    </row>
    <row r="903" ht="34" customHeight="1" spans="1:70">
      <c r="A903" s="208">
        <v>909</v>
      </c>
      <c r="B903" s="149"/>
      <c r="C903" s="149"/>
      <c r="D903" s="149"/>
      <c r="E903" s="149"/>
      <c r="F903" s="149"/>
      <c r="G903" s="149"/>
      <c r="H903" s="149"/>
      <c r="I903" s="149"/>
      <c r="J903" s="149"/>
      <c r="K903" s="149"/>
      <c r="L903" s="149"/>
      <c r="M903" s="149"/>
      <c r="N903" s="149"/>
      <c r="O903" s="149"/>
      <c r="P903" s="149"/>
      <c r="Q903" s="149"/>
      <c r="R903" s="149"/>
      <c r="S903" s="149"/>
      <c r="T903" s="149"/>
      <c r="U903" s="149"/>
      <c r="V903" s="149"/>
      <c r="W903" s="149"/>
      <c r="X903" s="149"/>
      <c r="Y903" s="149"/>
      <c r="Z903" s="149"/>
      <c r="AA903" s="149"/>
      <c r="AB903" s="149"/>
      <c r="AC903" s="149"/>
      <c r="AD903" s="149"/>
      <c r="AE903" s="149"/>
      <c r="AF903" s="149"/>
      <c r="AG903" s="149"/>
      <c r="AH903" s="149"/>
      <c r="AI903" s="149"/>
      <c r="AJ903" s="149"/>
      <c r="AK903" s="149"/>
      <c r="AL903" s="149"/>
      <c r="AM903" s="149"/>
      <c r="AN903" s="149"/>
      <c r="AO903" s="149"/>
      <c r="AP903" s="149"/>
      <c r="AR903" s="149"/>
      <c r="AS903" s="149"/>
      <c r="AT903" s="149"/>
      <c r="AU903" s="149"/>
      <c r="AV903" s="149"/>
      <c r="AW903" s="149"/>
      <c r="AX903" s="149"/>
      <c r="AY903" s="149"/>
      <c r="AZ903" s="149"/>
      <c r="BA903" s="149"/>
      <c r="BB903" s="149"/>
      <c r="BC903" s="149"/>
      <c r="BD903" s="149"/>
      <c r="BE903" s="149"/>
      <c r="BF903" s="149"/>
      <c r="BG903" s="149"/>
      <c r="BH903" s="149"/>
      <c r="BI903" s="149"/>
      <c r="BJ903" s="149"/>
      <c r="BK903" s="149"/>
      <c r="BL903" s="149"/>
      <c r="BM903" s="149"/>
      <c r="BN903" s="149"/>
      <c r="BO903" s="149"/>
      <c r="BP903" s="149"/>
      <c r="BQ903" s="149"/>
      <c r="BR903" s="149"/>
    </row>
    <row r="904" ht="34" customHeight="1" spans="1:70">
      <c r="A904" s="208">
        <v>910</v>
      </c>
      <c r="B904" s="149"/>
      <c r="C904" s="149"/>
      <c r="D904" s="149"/>
      <c r="E904" s="149"/>
      <c r="F904" s="149"/>
      <c r="G904" s="149"/>
      <c r="H904" s="149"/>
      <c r="I904" s="149"/>
      <c r="J904" s="149"/>
      <c r="K904" s="149"/>
      <c r="L904" s="149"/>
      <c r="M904" s="149"/>
      <c r="N904" s="149"/>
      <c r="O904" s="149"/>
      <c r="P904" s="149"/>
      <c r="Q904" s="149"/>
      <c r="R904" s="149"/>
      <c r="S904" s="149"/>
      <c r="T904" s="149"/>
      <c r="U904" s="149"/>
      <c r="V904" s="149"/>
      <c r="W904" s="149"/>
      <c r="X904" s="149"/>
      <c r="Y904" s="149"/>
      <c r="Z904" s="149"/>
      <c r="AA904" s="149"/>
      <c r="AB904" s="149"/>
      <c r="AC904" s="149"/>
      <c r="AD904" s="149"/>
      <c r="AE904" s="149"/>
      <c r="AF904" s="149"/>
      <c r="AG904" s="149"/>
      <c r="AH904" s="149"/>
      <c r="AI904" s="149"/>
      <c r="AJ904" s="149"/>
      <c r="AK904" s="149"/>
      <c r="AL904" s="149"/>
      <c r="AM904" s="149"/>
      <c r="AN904" s="149"/>
      <c r="AO904" s="149"/>
      <c r="AP904" s="149"/>
      <c r="AR904" s="149"/>
      <c r="AS904" s="149"/>
      <c r="AT904" s="149"/>
      <c r="AU904" s="149"/>
      <c r="AV904" s="149"/>
      <c r="AW904" s="149"/>
      <c r="AX904" s="149"/>
      <c r="AY904" s="149"/>
      <c r="AZ904" s="149"/>
      <c r="BA904" s="149"/>
      <c r="BB904" s="149"/>
      <c r="BC904" s="149"/>
      <c r="BD904" s="149"/>
      <c r="BE904" s="149"/>
      <c r="BF904" s="149"/>
      <c r="BG904" s="149"/>
      <c r="BH904" s="149"/>
      <c r="BI904" s="149"/>
      <c r="BJ904" s="149"/>
      <c r="BK904" s="149"/>
      <c r="BL904" s="149"/>
      <c r="BM904" s="149"/>
      <c r="BN904" s="149"/>
      <c r="BO904" s="149"/>
      <c r="BP904" s="149"/>
      <c r="BQ904" s="149"/>
      <c r="BR904" s="149"/>
    </row>
    <row r="905" ht="34" customHeight="1" spans="1:70">
      <c r="A905" s="208">
        <v>911</v>
      </c>
      <c r="B905" s="149"/>
      <c r="C905" s="149"/>
      <c r="D905" s="149"/>
      <c r="E905" s="149"/>
      <c r="F905" s="149"/>
      <c r="G905" s="149"/>
      <c r="H905" s="149"/>
      <c r="I905" s="149"/>
      <c r="J905" s="149"/>
      <c r="K905" s="149"/>
      <c r="L905" s="149"/>
      <c r="M905" s="149"/>
      <c r="N905" s="149"/>
      <c r="O905" s="149"/>
      <c r="P905" s="149"/>
      <c r="Q905" s="149"/>
      <c r="R905" s="149"/>
      <c r="S905" s="149"/>
      <c r="T905" s="149"/>
      <c r="U905" s="149"/>
      <c r="V905" s="149"/>
      <c r="W905" s="149"/>
      <c r="X905" s="149"/>
      <c r="Y905" s="149"/>
      <c r="Z905" s="149"/>
      <c r="AA905" s="149"/>
      <c r="AB905" s="149"/>
      <c r="AC905" s="149"/>
      <c r="AD905" s="149"/>
      <c r="AE905" s="149"/>
      <c r="AF905" s="149"/>
      <c r="AG905" s="149"/>
      <c r="AH905" s="149"/>
      <c r="AI905" s="149"/>
      <c r="AJ905" s="149"/>
      <c r="AK905" s="149"/>
      <c r="AL905" s="149"/>
      <c r="AM905" s="149"/>
      <c r="AN905" s="149"/>
      <c r="AO905" s="149"/>
      <c r="AP905" s="149"/>
      <c r="AR905" s="149"/>
      <c r="AS905" s="149"/>
      <c r="AT905" s="149"/>
      <c r="AU905" s="149"/>
      <c r="AV905" s="149"/>
      <c r="AW905" s="149"/>
      <c r="AX905" s="149"/>
      <c r="AY905" s="149"/>
      <c r="AZ905" s="149"/>
      <c r="BA905" s="149"/>
      <c r="BB905" s="149"/>
      <c r="BC905" s="149"/>
      <c r="BD905" s="149"/>
      <c r="BE905" s="149"/>
      <c r="BF905" s="149"/>
      <c r="BG905" s="149"/>
      <c r="BH905" s="149"/>
      <c r="BI905" s="149"/>
      <c r="BJ905" s="149"/>
      <c r="BK905" s="149"/>
      <c r="BL905" s="149"/>
      <c r="BM905" s="149"/>
      <c r="BN905" s="149"/>
      <c r="BO905" s="149"/>
      <c r="BP905" s="149"/>
      <c r="BQ905" s="149"/>
      <c r="BR905" s="149"/>
    </row>
    <row r="906" ht="34" customHeight="1" spans="1:70">
      <c r="A906" s="208">
        <v>912</v>
      </c>
      <c r="B906" s="149"/>
      <c r="C906" s="149"/>
      <c r="D906" s="149"/>
      <c r="E906" s="149"/>
      <c r="F906" s="149"/>
      <c r="G906" s="149"/>
      <c r="H906" s="149"/>
      <c r="I906" s="149"/>
      <c r="J906" s="149"/>
      <c r="K906" s="149"/>
      <c r="L906" s="149"/>
      <c r="M906" s="149"/>
      <c r="N906" s="149"/>
      <c r="O906" s="149"/>
      <c r="P906" s="149"/>
      <c r="Q906" s="149"/>
      <c r="R906" s="149"/>
      <c r="S906" s="149"/>
      <c r="T906" s="149"/>
      <c r="U906" s="149"/>
      <c r="V906" s="149"/>
      <c r="W906" s="149"/>
      <c r="X906" s="149"/>
      <c r="Y906" s="149"/>
      <c r="Z906" s="149"/>
      <c r="AA906" s="149"/>
      <c r="AB906" s="149"/>
      <c r="AC906" s="149"/>
      <c r="AD906" s="149"/>
      <c r="AE906" s="149"/>
      <c r="AF906" s="149"/>
      <c r="AG906" s="149"/>
      <c r="AH906" s="149"/>
      <c r="AI906" s="149"/>
      <c r="AJ906" s="149"/>
      <c r="AK906" s="149"/>
      <c r="AL906" s="149"/>
      <c r="AM906" s="149"/>
      <c r="AN906" s="149"/>
      <c r="AO906" s="149"/>
      <c r="AP906" s="149"/>
      <c r="AR906" s="149"/>
      <c r="AS906" s="149"/>
      <c r="AT906" s="149"/>
      <c r="AU906" s="149"/>
      <c r="AV906" s="149"/>
      <c r="AW906" s="149"/>
      <c r="AX906" s="149"/>
      <c r="AY906" s="149"/>
      <c r="AZ906" s="149"/>
      <c r="BA906" s="149"/>
      <c r="BB906" s="149"/>
      <c r="BC906" s="149"/>
      <c r="BD906" s="149"/>
      <c r="BE906" s="149"/>
      <c r="BF906" s="149"/>
      <c r="BG906" s="149"/>
      <c r="BH906" s="149"/>
      <c r="BI906" s="149"/>
      <c r="BJ906" s="149"/>
      <c r="BK906" s="149"/>
      <c r="BL906" s="149"/>
      <c r="BM906" s="149"/>
      <c r="BN906" s="149"/>
      <c r="BO906" s="149"/>
      <c r="BP906" s="149"/>
      <c r="BQ906" s="149"/>
      <c r="BR906" s="149"/>
    </row>
    <row r="907" ht="34" customHeight="1" spans="1:70">
      <c r="A907" s="208">
        <v>913</v>
      </c>
      <c r="B907" s="149"/>
      <c r="C907" s="149"/>
      <c r="D907" s="149"/>
      <c r="E907" s="149"/>
      <c r="F907" s="149"/>
      <c r="G907" s="149"/>
      <c r="H907" s="149"/>
      <c r="I907" s="149"/>
      <c r="J907" s="149"/>
      <c r="K907" s="149"/>
      <c r="L907" s="149"/>
      <c r="M907" s="149"/>
      <c r="N907" s="149"/>
      <c r="O907" s="149"/>
      <c r="P907" s="149"/>
      <c r="Q907" s="149"/>
      <c r="R907" s="149"/>
      <c r="S907" s="149"/>
      <c r="T907" s="149"/>
      <c r="U907" s="149"/>
      <c r="V907" s="149"/>
      <c r="W907" s="149"/>
      <c r="X907" s="149"/>
      <c r="Y907" s="149"/>
      <c r="Z907" s="149"/>
      <c r="AA907" s="149"/>
      <c r="AB907" s="149"/>
      <c r="AC907" s="149"/>
      <c r="AD907" s="149"/>
      <c r="AE907" s="149"/>
      <c r="AF907" s="149"/>
      <c r="AG907" s="149"/>
      <c r="AH907" s="149"/>
      <c r="AI907" s="149"/>
      <c r="AJ907" s="149"/>
      <c r="AK907" s="149"/>
      <c r="AL907" s="149"/>
      <c r="AM907" s="149"/>
      <c r="AN907" s="149"/>
      <c r="AO907" s="149"/>
      <c r="AP907" s="149"/>
      <c r="AR907" s="149"/>
      <c r="AS907" s="149"/>
      <c r="AT907" s="149"/>
      <c r="AU907" s="149"/>
      <c r="AV907" s="149"/>
      <c r="AW907" s="149"/>
      <c r="AX907" s="149"/>
      <c r="AY907" s="149"/>
      <c r="AZ907" s="149"/>
      <c r="BA907" s="149"/>
      <c r="BB907" s="149"/>
      <c r="BC907" s="149"/>
      <c r="BD907" s="149"/>
      <c r="BE907" s="149"/>
      <c r="BF907" s="149"/>
      <c r="BG907" s="149"/>
      <c r="BH907" s="149"/>
      <c r="BI907" s="149"/>
      <c r="BJ907" s="149"/>
      <c r="BK907" s="149"/>
      <c r="BL907" s="149"/>
      <c r="BM907" s="149"/>
      <c r="BN907" s="149"/>
      <c r="BO907" s="149"/>
      <c r="BP907" s="149"/>
      <c r="BQ907" s="149"/>
      <c r="BR907" s="149"/>
    </row>
    <row r="908" ht="34" customHeight="1" spans="1:70">
      <c r="A908" s="208">
        <v>914</v>
      </c>
      <c r="B908" s="149"/>
      <c r="C908" s="149"/>
      <c r="D908" s="149"/>
      <c r="E908" s="149"/>
      <c r="F908" s="149"/>
      <c r="G908" s="149"/>
      <c r="H908" s="149"/>
      <c r="I908" s="149"/>
      <c r="J908" s="149"/>
      <c r="K908" s="149"/>
      <c r="L908" s="149"/>
      <c r="M908" s="149"/>
      <c r="N908" s="149"/>
      <c r="O908" s="149"/>
      <c r="P908" s="149"/>
      <c r="Q908" s="149"/>
      <c r="R908" s="149"/>
      <c r="S908" s="149"/>
      <c r="T908" s="149"/>
      <c r="U908" s="149"/>
      <c r="V908" s="149"/>
      <c r="W908" s="149"/>
      <c r="X908" s="149"/>
      <c r="Y908" s="149"/>
      <c r="Z908" s="149"/>
      <c r="AA908" s="149"/>
      <c r="AB908" s="149"/>
      <c r="AC908" s="149"/>
      <c r="AD908" s="149"/>
      <c r="AE908" s="149"/>
      <c r="AF908" s="149"/>
      <c r="AG908" s="149"/>
      <c r="AH908" s="149"/>
      <c r="AI908" s="149"/>
      <c r="AJ908" s="149"/>
      <c r="AK908" s="149"/>
      <c r="AL908" s="149"/>
      <c r="AM908" s="149"/>
      <c r="AN908" s="149"/>
      <c r="AO908" s="149"/>
      <c r="AP908" s="149"/>
      <c r="AR908" s="149"/>
      <c r="AS908" s="149"/>
      <c r="AT908" s="149"/>
      <c r="AU908" s="149"/>
      <c r="AV908" s="149"/>
      <c r="AW908" s="149"/>
      <c r="AX908" s="149"/>
      <c r="AY908" s="149"/>
      <c r="AZ908" s="149"/>
      <c r="BA908" s="149"/>
      <c r="BB908" s="149"/>
      <c r="BC908" s="149"/>
      <c r="BD908" s="149"/>
      <c r="BE908" s="149"/>
      <c r="BF908" s="149"/>
      <c r="BG908" s="149"/>
      <c r="BH908" s="149"/>
      <c r="BI908" s="149"/>
      <c r="BJ908" s="149"/>
      <c r="BK908" s="149"/>
      <c r="BL908" s="149"/>
      <c r="BM908" s="149"/>
      <c r="BN908" s="149"/>
      <c r="BO908" s="149"/>
      <c r="BP908" s="149"/>
      <c r="BQ908" s="149"/>
      <c r="BR908" s="149"/>
    </row>
    <row r="909" ht="34" customHeight="1" spans="1:70">
      <c r="A909" s="208">
        <v>915</v>
      </c>
      <c r="B909" s="149"/>
      <c r="C909" s="149"/>
      <c r="D909" s="149"/>
      <c r="E909" s="149"/>
      <c r="F909" s="149"/>
      <c r="G909" s="149"/>
      <c r="H909" s="149"/>
      <c r="I909" s="149"/>
      <c r="J909" s="149"/>
      <c r="K909" s="149"/>
      <c r="L909" s="149"/>
      <c r="M909" s="149"/>
      <c r="N909" s="149"/>
      <c r="O909" s="149"/>
      <c r="P909" s="149"/>
      <c r="Q909" s="149"/>
      <c r="R909" s="149"/>
      <c r="S909" s="149"/>
      <c r="T909" s="149"/>
      <c r="U909" s="149"/>
      <c r="V909" s="149"/>
      <c r="W909" s="149"/>
      <c r="X909" s="149"/>
      <c r="Y909" s="149"/>
      <c r="Z909" s="149"/>
      <c r="AA909" s="149"/>
      <c r="AB909" s="149"/>
      <c r="AC909" s="149"/>
      <c r="AD909" s="149"/>
      <c r="AE909" s="149"/>
      <c r="AF909" s="149"/>
      <c r="AG909" s="149"/>
      <c r="AH909" s="149"/>
      <c r="AI909" s="149"/>
      <c r="AJ909" s="149"/>
      <c r="AK909" s="149"/>
      <c r="AL909" s="149"/>
      <c r="AM909" s="149"/>
      <c r="AN909" s="149"/>
      <c r="AO909" s="149"/>
      <c r="AP909" s="149"/>
      <c r="AR909" s="149"/>
      <c r="AS909" s="149"/>
      <c r="AT909" s="149"/>
      <c r="AU909" s="149"/>
      <c r="AV909" s="149"/>
      <c r="AW909" s="149"/>
      <c r="AX909" s="149"/>
      <c r="AY909" s="149"/>
      <c r="AZ909" s="149"/>
      <c r="BA909" s="149"/>
      <c r="BB909" s="149"/>
      <c r="BC909" s="149"/>
      <c r="BD909" s="149"/>
      <c r="BE909" s="149"/>
      <c r="BF909" s="149"/>
      <c r="BG909" s="149"/>
      <c r="BH909" s="149"/>
      <c r="BI909" s="149"/>
      <c r="BJ909" s="149"/>
      <c r="BK909" s="149"/>
      <c r="BL909" s="149"/>
      <c r="BM909" s="149"/>
      <c r="BN909" s="149"/>
      <c r="BO909" s="149"/>
      <c r="BP909" s="149"/>
      <c r="BQ909" s="149"/>
      <c r="BR909" s="149"/>
    </row>
    <row r="910" ht="34" customHeight="1" spans="1:70">
      <c r="A910" s="208">
        <v>916</v>
      </c>
      <c r="B910" s="149"/>
      <c r="C910" s="149"/>
      <c r="D910" s="149"/>
      <c r="E910" s="149"/>
      <c r="F910" s="149"/>
      <c r="G910" s="149"/>
      <c r="H910" s="149"/>
      <c r="I910" s="149"/>
      <c r="J910" s="149"/>
      <c r="K910" s="149"/>
      <c r="L910" s="149"/>
      <c r="M910" s="149"/>
      <c r="N910" s="149"/>
      <c r="O910" s="149"/>
      <c r="P910" s="149"/>
      <c r="Q910" s="149"/>
      <c r="R910" s="149"/>
      <c r="S910" s="149"/>
      <c r="T910" s="149"/>
      <c r="U910" s="149"/>
      <c r="V910" s="149"/>
      <c r="W910" s="149"/>
      <c r="X910" s="149"/>
      <c r="Y910" s="149"/>
      <c r="Z910" s="149"/>
      <c r="AA910" s="149"/>
      <c r="AB910" s="149"/>
      <c r="AC910" s="149"/>
      <c r="AD910" s="149"/>
      <c r="AE910" s="149"/>
      <c r="AF910" s="149"/>
      <c r="AG910" s="149"/>
      <c r="AH910" s="149"/>
      <c r="AI910" s="149"/>
      <c r="AJ910" s="149"/>
      <c r="AK910" s="149"/>
      <c r="AL910" s="149"/>
      <c r="AM910" s="149"/>
      <c r="AN910" s="149"/>
      <c r="AO910" s="149"/>
      <c r="AP910" s="149"/>
      <c r="AR910" s="149"/>
      <c r="AS910" s="149"/>
      <c r="AT910" s="149"/>
      <c r="AU910" s="149"/>
      <c r="AV910" s="149"/>
      <c r="AW910" s="149"/>
      <c r="AX910" s="149"/>
      <c r="AY910" s="149"/>
      <c r="AZ910" s="149"/>
      <c r="BA910" s="149"/>
      <c r="BB910" s="149"/>
      <c r="BC910" s="149"/>
      <c r="BD910" s="149"/>
      <c r="BE910" s="149"/>
      <c r="BF910" s="149"/>
      <c r="BG910" s="149"/>
      <c r="BH910" s="149"/>
      <c r="BI910" s="149"/>
      <c r="BJ910" s="149"/>
      <c r="BK910" s="149"/>
      <c r="BL910" s="149"/>
      <c r="BM910" s="149"/>
      <c r="BN910" s="149"/>
      <c r="BO910" s="149"/>
      <c r="BP910" s="149"/>
      <c r="BQ910" s="149"/>
      <c r="BR910" s="149"/>
    </row>
    <row r="911" ht="34" customHeight="1" spans="1:70">
      <c r="A911" s="208">
        <v>917</v>
      </c>
      <c r="B911" s="149"/>
      <c r="C911" s="149"/>
      <c r="D911" s="149"/>
      <c r="E911" s="149"/>
      <c r="F911" s="149"/>
      <c r="G911" s="149"/>
      <c r="H911" s="149"/>
      <c r="I911" s="149"/>
      <c r="J911" s="149"/>
      <c r="K911" s="149"/>
      <c r="L911" s="149"/>
      <c r="M911" s="149"/>
      <c r="N911" s="149"/>
      <c r="O911" s="149"/>
      <c r="P911" s="149"/>
      <c r="Q911" s="149"/>
      <c r="R911" s="149"/>
      <c r="S911" s="149"/>
      <c r="T911" s="149"/>
      <c r="U911" s="149"/>
      <c r="V911" s="149"/>
      <c r="W911" s="149"/>
      <c r="X911" s="149"/>
      <c r="Y911" s="149"/>
      <c r="Z911" s="149"/>
      <c r="AA911" s="149"/>
      <c r="AB911" s="149"/>
      <c r="AC911" s="149"/>
      <c r="AD911" s="149"/>
      <c r="AE911" s="149"/>
      <c r="AF911" s="149"/>
      <c r="AG911" s="149"/>
      <c r="AH911" s="149"/>
      <c r="AI911" s="149"/>
      <c r="AJ911" s="149"/>
      <c r="AK911" s="149"/>
      <c r="AL911" s="149"/>
      <c r="AM911" s="149"/>
      <c r="AN911" s="149"/>
      <c r="AO911" s="149"/>
      <c r="AP911" s="149"/>
      <c r="AR911" s="149"/>
      <c r="AS911" s="149"/>
      <c r="AT911" s="149"/>
      <c r="AU911" s="149"/>
      <c r="AV911" s="149"/>
      <c r="AW911" s="149"/>
      <c r="AX911" s="149"/>
      <c r="AY911" s="149"/>
      <c r="AZ911" s="149"/>
      <c r="BA911" s="149"/>
      <c r="BB911" s="149"/>
      <c r="BC911" s="149"/>
      <c r="BD911" s="149"/>
      <c r="BE911" s="149"/>
      <c r="BF911" s="149"/>
      <c r="BG911" s="149"/>
      <c r="BH911" s="149"/>
      <c r="BI911" s="149"/>
      <c r="BJ911" s="149"/>
      <c r="BK911" s="149"/>
      <c r="BL911" s="149"/>
      <c r="BM911" s="149"/>
      <c r="BN911" s="149"/>
      <c r="BO911" s="149"/>
      <c r="BP911" s="149"/>
      <c r="BQ911" s="149"/>
      <c r="BR911" s="149"/>
    </row>
    <row r="912" ht="34" customHeight="1" spans="1:70">
      <c r="A912" s="208">
        <v>918</v>
      </c>
      <c r="B912" s="149"/>
      <c r="C912" s="149"/>
      <c r="D912" s="149"/>
      <c r="E912" s="149"/>
      <c r="F912" s="149"/>
      <c r="G912" s="149"/>
      <c r="H912" s="149"/>
      <c r="I912" s="149"/>
      <c r="J912" s="149"/>
      <c r="K912" s="149"/>
      <c r="L912" s="149"/>
      <c r="M912" s="149"/>
      <c r="N912" s="149"/>
      <c r="O912" s="149"/>
      <c r="P912" s="149"/>
      <c r="Q912" s="149"/>
      <c r="R912" s="149"/>
      <c r="S912" s="149"/>
      <c r="T912" s="149"/>
      <c r="U912" s="149"/>
      <c r="V912" s="149"/>
      <c r="W912" s="149"/>
      <c r="X912" s="149"/>
      <c r="Y912" s="149"/>
      <c r="Z912" s="149"/>
      <c r="AA912" s="149"/>
      <c r="AB912" s="149"/>
      <c r="AC912" s="149"/>
      <c r="AD912" s="149"/>
      <c r="AE912" s="149"/>
      <c r="AF912" s="149"/>
      <c r="AG912" s="149"/>
      <c r="AH912" s="149"/>
      <c r="AI912" s="149"/>
      <c r="AJ912" s="149"/>
      <c r="AK912" s="149"/>
      <c r="AL912" s="149"/>
      <c r="AM912" s="149"/>
      <c r="AN912" s="149"/>
      <c r="AO912" s="149"/>
      <c r="AP912" s="149"/>
      <c r="AR912" s="149"/>
      <c r="AS912" s="149"/>
      <c r="AT912" s="149"/>
      <c r="AU912" s="149"/>
      <c r="AV912" s="149"/>
      <c r="AW912" s="149"/>
      <c r="AX912" s="149"/>
      <c r="AY912" s="149"/>
      <c r="AZ912" s="149"/>
      <c r="BA912" s="149"/>
      <c r="BB912" s="149"/>
      <c r="BC912" s="149"/>
      <c r="BD912" s="149"/>
      <c r="BE912" s="149"/>
      <c r="BF912" s="149"/>
      <c r="BG912" s="149"/>
      <c r="BH912" s="149"/>
      <c r="BI912" s="149"/>
      <c r="BJ912" s="149"/>
      <c r="BK912" s="149"/>
      <c r="BL912" s="149"/>
      <c r="BM912" s="149"/>
      <c r="BN912" s="149"/>
      <c r="BO912" s="149"/>
      <c r="BP912" s="149"/>
      <c r="BQ912" s="149"/>
      <c r="BR912" s="149"/>
    </row>
    <row r="913" ht="34" customHeight="1" spans="1:70">
      <c r="A913" s="208">
        <v>919</v>
      </c>
      <c r="B913" s="149"/>
      <c r="C913" s="149"/>
      <c r="D913" s="149"/>
      <c r="E913" s="149"/>
      <c r="F913" s="149"/>
      <c r="G913" s="149"/>
      <c r="H913" s="149"/>
      <c r="I913" s="149"/>
      <c r="J913" s="149"/>
      <c r="K913" s="149"/>
      <c r="L913" s="149"/>
      <c r="M913" s="149"/>
      <c r="N913" s="149"/>
      <c r="O913" s="149"/>
      <c r="P913" s="149"/>
      <c r="Q913" s="149"/>
      <c r="R913" s="149"/>
      <c r="S913" s="149"/>
      <c r="T913" s="149"/>
      <c r="U913" s="149"/>
      <c r="V913" s="149"/>
      <c r="W913" s="149"/>
      <c r="X913" s="149"/>
      <c r="Y913" s="149"/>
      <c r="Z913" s="149"/>
      <c r="AA913" s="149"/>
      <c r="AB913" s="149"/>
      <c r="AC913" s="149"/>
      <c r="AD913" s="149"/>
      <c r="AE913" s="149"/>
      <c r="AF913" s="149"/>
      <c r="AG913" s="149"/>
      <c r="AH913" s="149"/>
      <c r="AI913" s="149"/>
      <c r="AJ913" s="149"/>
      <c r="AK913" s="149"/>
      <c r="AL913" s="149"/>
      <c r="AM913" s="149"/>
      <c r="AN913" s="149"/>
      <c r="AO913" s="149"/>
      <c r="AP913" s="149"/>
      <c r="AR913" s="149"/>
      <c r="AS913" s="149"/>
      <c r="AT913" s="149"/>
      <c r="AU913" s="149"/>
      <c r="AV913" s="149"/>
      <c r="AW913" s="149"/>
      <c r="AX913" s="149"/>
      <c r="AY913" s="149"/>
      <c r="AZ913" s="149"/>
      <c r="BA913" s="149"/>
      <c r="BB913" s="149"/>
      <c r="BC913" s="149"/>
      <c r="BD913" s="149"/>
      <c r="BE913" s="149"/>
      <c r="BF913" s="149"/>
      <c r="BG913" s="149"/>
      <c r="BH913" s="149"/>
      <c r="BI913" s="149"/>
      <c r="BJ913" s="149"/>
      <c r="BK913" s="149"/>
      <c r="BL913" s="149"/>
      <c r="BM913" s="149"/>
      <c r="BN913" s="149"/>
      <c r="BO913" s="149"/>
      <c r="BP913" s="149"/>
      <c r="BQ913" s="149"/>
      <c r="BR913" s="149"/>
    </row>
    <row r="914" ht="34" customHeight="1" spans="1:70">
      <c r="A914" s="208">
        <v>920</v>
      </c>
      <c r="B914" s="149"/>
      <c r="C914" s="149"/>
      <c r="D914" s="149"/>
      <c r="E914" s="149"/>
      <c r="F914" s="149"/>
      <c r="G914" s="149"/>
      <c r="H914" s="149"/>
      <c r="I914" s="149"/>
      <c r="J914" s="149"/>
      <c r="K914" s="149"/>
      <c r="L914" s="149"/>
      <c r="M914" s="149"/>
      <c r="N914" s="149"/>
      <c r="O914" s="149"/>
      <c r="P914" s="149"/>
      <c r="Q914" s="149"/>
      <c r="R914" s="149"/>
      <c r="S914" s="149"/>
      <c r="T914" s="149"/>
      <c r="U914" s="149"/>
      <c r="V914" s="149"/>
      <c r="W914" s="149"/>
      <c r="X914" s="149"/>
      <c r="Y914" s="149"/>
      <c r="Z914" s="149"/>
      <c r="AA914" s="149"/>
      <c r="AB914" s="149"/>
      <c r="AC914" s="149"/>
      <c r="AD914" s="149"/>
      <c r="AE914" s="149"/>
      <c r="AF914" s="149"/>
      <c r="AG914" s="149"/>
      <c r="AH914" s="149"/>
      <c r="AI914" s="149"/>
      <c r="AJ914" s="149"/>
      <c r="AK914" s="149"/>
      <c r="AL914" s="149"/>
      <c r="AM914" s="149"/>
      <c r="AN914" s="149"/>
      <c r="AO914" s="149"/>
      <c r="AP914" s="149"/>
      <c r="AR914" s="149"/>
      <c r="AS914" s="149"/>
      <c r="AT914" s="149"/>
      <c r="AU914" s="149"/>
      <c r="AV914" s="149"/>
      <c r="AW914" s="149"/>
      <c r="AX914" s="149"/>
      <c r="AY914" s="149"/>
      <c r="AZ914" s="149"/>
      <c r="BA914" s="149"/>
      <c r="BB914" s="149"/>
      <c r="BC914" s="149"/>
      <c r="BD914" s="149"/>
      <c r="BE914" s="149"/>
      <c r="BF914" s="149"/>
      <c r="BG914" s="149"/>
      <c r="BH914" s="149"/>
      <c r="BI914" s="149"/>
      <c r="BJ914" s="149"/>
      <c r="BK914" s="149"/>
      <c r="BL914" s="149"/>
      <c r="BM914" s="149"/>
      <c r="BN914" s="149"/>
      <c r="BO914" s="149"/>
      <c r="BP914" s="149"/>
      <c r="BQ914" s="149"/>
      <c r="BR914" s="149"/>
    </row>
    <row r="915" ht="34" customHeight="1" spans="1:70">
      <c r="A915" s="208">
        <v>921</v>
      </c>
      <c r="B915" s="149"/>
      <c r="C915" s="149"/>
      <c r="D915" s="149"/>
      <c r="E915" s="149"/>
      <c r="F915" s="149"/>
      <c r="G915" s="149"/>
      <c r="H915" s="149"/>
      <c r="I915" s="149"/>
      <c r="J915" s="149"/>
      <c r="K915" s="149"/>
      <c r="L915" s="149"/>
      <c r="M915" s="149"/>
      <c r="N915" s="149"/>
      <c r="O915" s="149"/>
      <c r="P915" s="149"/>
      <c r="Q915" s="149"/>
      <c r="R915" s="149"/>
      <c r="S915" s="149"/>
      <c r="T915" s="149"/>
      <c r="U915" s="149"/>
      <c r="V915" s="149"/>
      <c r="W915" s="149"/>
      <c r="X915" s="149"/>
      <c r="Y915" s="149"/>
      <c r="Z915" s="149"/>
      <c r="AA915" s="149"/>
      <c r="AB915" s="149"/>
      <c r="AC915" s="149"/>
      <c r="AD915" s="149"/>
      <c r="AE915" s="149"/>
      <c r="AF915" s="149"/>
      <c r="AG915" s="149"/>
      <c r="AH915" s="149"/>
      <c r="AI915" s="149"/>
      <c r="AJ915" s="149"/>
      <c r="AK915" s="149"/>
      <c r="AL915" s="149"/>
      <c r="AM915" s="149"/>
      <c r="AN915" s="149"/>
      <c r="AO915" s="149"/>
      <c r="AP915" s="149"/>
      <c r="AR915" s="149"/>
      <c r="AS915" s="149"/>
      <c r="AT915" s="149"/>
      <c r="AU915" s="149"/>
      <c r="AV915" s="149"/>
      <c r="AW915" s="149"/>
      <c r="AX915" s="149"/>
      <c r="AY915" s="149"/>
      <c r="AZ915" s="149"/>
      <c r="BA915" s="149"/>
      <c r="BB915" s="149"/>
      <c r="BC915" s="149"/>
      <c r="BD915" s="149"/>
      <c r="BE915" s="149"/>
      <c r="BF915" s="149"/>
      <c r="BG915" s="149"/>
      <c r="BH915" s="149"/>
      <c r="BI915" s="149"/>
      <c r="BJ915" s="149"/>
      <c r="BK915" s="149"/>
      <c r="BL915" s="149"/>
      <c r="BM915" s="149"/>
      <c r="BN915" s="149"/>
      <c r="BO915" s="149"/>
      <c r="BP915" s="149"/>
      <c r="BQ915" s="149"/>
      <c r="BR915" s="149"/>
    </row>
    <row r="916" ht="34" customHeight="1" spans="1:70">
      <c r="A916" s="208">
        <v>922</v>
      </c>
      <c r="B916" s="149"/>
      <c r="C916" s="149"/>
      <c r="D916" s="149"/>
      <c r="E916" s="149"/>
      <c r="F916" s="149"/>
      <c r="G916" s="149"/>
      <c r="H916" s="149"/>
      <c r="I916" s="149"/>
      <c r="J916" s="149"/>
      <c r="K916" s="149"/>
      <c r="L916" s="149"/>
      <c r="M916" s="149"/>
      <c r="N916" s="149"/>
      <c r="O916" s="149"/>
      <c r="P916" s="149"/>
      <c r="Q916" s="149"/>
      <c r="R916" s="149"/>
      <c r="S916" s="149"/>
      <c r="T916" s="149"/>
      <c r="U916" s="149"/>
      <c r="V916" s="149"/>
      <c r="W916" s="149"/>
      <c r="X916" s="149"/>
      <c r="Y916" s="149"/>
      <c r="Z916" s="149"/>
      <c r="AA916" s="149"/>
      <c r="AB916" s="149"/>
      <c r="AC916" s="149"/>
      <c r="AD916" s="149"/>
      <c r="AE916" s="149"/>
      <c r="AF916" s="149"/>
      <c r="AG916" s="149"/>
      <c r="AH916" s="149"/>
      <c r="AI916" s="149"/>
      <c r="AJ916" s="149"/>
      <c r="AK916" s="149"/>
      <c r="AL916" s="149"/>
      <c r="AM916" s="149"/>
      <c r="AN916" s="149"/>
      <c r="AO916" s="149"/>
      <c r="AP916" s="149"/>
      <c r="AR916" s="149"/>
      <c r="AS916" s="149"/>
      <c r="AT916" s="149"/>
      <c r="AU916" s="149"/>
      <c r="AV916" s="149"/>
      <c r="AW916" s="149"/>
      <c r="AX916" s="149"/>
      <c r="AY916" s="149"/>
      <c r="AZ916" s="149"/>
      <c r="BA916" s="149"/>
      <c r="BB916" s="149"/>
      <c r="BC916" s="149"/>
      <c r="BD916" s="149"/>
      <c r="BE916" s="149"/>
      <c r="BF916" s="149"/>
      <c r="BG916" s="149"/>
      <c r="BH916" s="149"/>
      <c r="BI916" s="149"/>
      <c r="BJ916" s="149"/>
      <c r="BK916" s="149"/>
      <c r="BL916" s="149"/>
      <c r="BM916" s="149"/>
      <c r="BN916" s="149"/>
      <c r="BO916" s="149"/>
      <c r="BP916" s="149"/>
      <c r="BQ916" s="149"/>
      <c r="BR916" s="149"/>
    </row>
    <row r="917" ht="34" customHeight="1" spans="1:70">
      <c r="A917" s="208">
        <v>923</v>
      </c>
      <c r="B917" s="149"/>
      <c r="C917" s="149"/>
      <c r="D917" s="149"/>
      <c r="E917" s="149"/>
      <c r="F917" s="149"/>
      <c r="G917" s="149"/>
      <c r="H917" s="149"/>
      <c r="I917" s="149"/>
      <c r="J917" s="149"/>
      <c r="K917" s="149"/>
      <c r="L917" s="149"/>
      <c r="M917" s="149"/>
      <c r="N917" s="149"/>
      <c r="O917" s="149"/>
      <c r="P917" s="149"/>
      <c r="Q917" s="149"/>
      <c r="R917" s="149"/>
      <c r="S917" s="149"/>
      <c r="T917" s="149"/>
      <c r="U917" s="149"/>
      <c r="V917" s="149"/>
      <c r="W917" s="149"/>
      <c r="X917" s="149"/>
      <c r="Y917" s="149"/>
      <c r="Z917" s="149"/>
      <c r="AA917" s="149"/>
      <c r="AB917" s="149"/>
      <c r="AC917" s="149"/>
      <c r="AD917" s="149"/>
      <c r="AE917" s="149"/>
      <c r="AF917" s="149"/>
      <c r="AG917" s="149"/>
      <c r="AH917" s="149"/>
      <c r="AI917" s="149"/>
      <c r="AJ917" s="149"/>
      <c r="AK917" s="149"/>
      <c r="AL917" s="149"/>
      <c r="AM917" s="149"/>
      <c r="AN917" s="149"/>
      <c r="AO917" s="149"/>
      <c r="AP917" s="149"/>
      <c r="AR917" s="149"/>
      <c r="AS917" s="149"/>
      <c r="AT917" s="149"/>
      <c r="AU917" s="149"/>
      <c r="AV917" s="149"/>
      <c r="AW917" s="149"/>
      <c r="AX917" s="149"/>
      <c r="AY917" s="149"/>
      <c r="AZ917" s="149"/>
      <c r="BA917" s="149"/>
      <c r="BB917" s="149"/>
      <c r="BC917" s="149"/>
      <c r="BD917" s="149"/>
      <c r="BE917" s="149"/>
      <c r="BF917" s="149"/>
      <c r="BG917" s="149"/>
      <c r="BH917" s="149"/>
      <c r="BI917" s="149"/>
      <c r="BJ917" s="149"/>
      <c r="BK917" s="149"/>
      <c r="BL917" s="149"/>
      <c r="BM917" s="149"/>
      <c r="BN917" s="149"/>
      <c r="BO917" s="149"/>
      <c r="BP917" s="149"/>
      <c r="BQ917" s="149"/>
      <c r="BR917" s="149"/>
    </row>
    <row r="918" ht="34" customHeight="1" spans="1:70">
      <c r="A918" s="208">
        <v>924</v>
      </c>
      <c r="B918" s="149"/>
      <c r="C918" s="149"/>
      <c r="D918" s="149"/>
      <c r="E918" s="149"/>
      <c r="F918" s="149"/>
      <c r="G918" s="149"/>
      <c r="H918" s="149"/>
      <c r="I918" s="149"/>
      <c r="J918" s="149"/>
      <c r="K918" s="149"/>
      <c r="L918" s="149"/>
      <c r="M918" s="149"/>
      <c r="N918" s="149"/>
      <c r="O918" s="149"/>
      <c r="P918" s="149"/>
      <c r="Q918" s="149"/>
      <c r="R918" s="149"/>
      <c r="S918" s="149"/>
      <c r="T918" s="149"/>
      <c r="U918" s="149"/>
      <c r="V918" s="149"/>
      <c r="W918" s="149"/>
      <c r="X918" s="149"/>
      <c r="Y918" s="149"/>
      <c r="Z918" s="149"/>
      <c r="AA918" s="149"/>
      <c r="AB918" s="149"/>
      <c r="AC918" s="149"/>
      <c r="AD918" s="149"/>
      <c r="AE918" s="149"/>
      <c r="AF918" s="149"/>
      <c r="AG918" s="149"/>
      <c r="AH918" s="149"/>
      <c r="AI918" s="149"/>
      <c r="AJ918" s="149"/>
      <c r="AK918" s="149"/>
      <c r="AL918" s="149"/>
      <c r="AM918" s="149"/>
      <c r="AN918" s="149"/>
      <c r="AO918" s="149"/>
      <c r="AP918" s="149"/>
      <c r="AR918" s="149"/>
      <c r="AS918" s="149"/>
      <c r="AT918" s="149"/>
      <c r="AU918" s="149"/>
      <c r="AV918" s="149"/>
      <c r="AW918" s="149"/>
      <c r="AX918" s="149"/>
      <c r="AY918" s="149"/>
      <c r="AZ918" s="149"/>
      <c r="BA918" s="149"/>
      <c r="BB918" s="149"/>
      <c r="BC918" s="149"/>
      <c r="BD918" s="149"/>
      <c r="BE918" s="149"/>
      <c r="BF918" s="149"/>
      <c r="BG918" s="149"/>
      <c r="BH918" s="149"/>
      <c r="BI918" s="149"/>
      <c r="BJ918" s="149"/>
      <c r="BK918" s="149"/>
      <c r="BL918" s="149"/>
      <c r="BM918" s="149"/>
      <c r="BN918" s="149"/>
      <c r="BO918" s="149"/>
      <c r="BP918" s="149"/>
      <c r="BQ918" s="149"/>
      <c r="BR918" s="149"/>
    </row>
    <row r="919" ht="34" customHeight="1" spans="1:70">
      <c r="A919" s="208">
        <v>925</v>
      </c>
      <c r="B919" s="149"/>
      <c r="C919" s="149"/>
      <c r="D919" s="149"/>
      <c r="E919" s="149"/>
      <c r="F919" s="149"/>
      <c r="G919" s="149"/>
      <c r="H919" s="149"/>
      <c r="I919" s="149"/>
      <c r="J919" s="149"/>
      <c r="K919" s="149"/>
      <c r="L919" s="149"/>
      <c r="M919" s="149"/>
      <c r="N919" s="149"/>
      <c r="O919" s="149"/>
      <c r="P919" s="149"/>
      <c r="Q919" s="149"/>
      <c r="R919" s="149"/>
      <c r="S919" s="149"/>
      <c r="T919" s="149"/>
      <c r="U919" s="149"/>
      <c r="V919" s="149"/>
      <c r="W919" s="149"/>
      <c r="X919" s="149"/>
      <c r="Y919" s="149"/>
      <c r="Z919" s="149"/>
      <c r="AA919" s="149"/>
      <c r="AB919" s="149"/>
      <c r="AC919" s="149"/>
      <c r="AD919" s="149"/>
      <c r="AE919" s="149"/>
      <c r="AF919" s="149"/>
      <c r="AG919" s="149"/>
      <c r="AH919" s="149"/>
      <c r="AI919" s="149"/>
      <c r="AJ919" s="149"/>
      <c r="AK919" s="149"/>
      <c r="AL919" s="149"/>
      <c r="AM919" s="149"/>
      <c r="AN919" s="149"/>
      <c r="AO919" s="149"/>
      <c r="AP919" s="149"/>
      <c r="AR919" s="149"/>
      <c r="AS919" s="149"/>
      <c r="AT919" s="149"/>
      <c r="AU919" s="149"/>
      <c r="AV919" s="149"/>
      <c r="AW919" s="149"/>
      <c r="AX919" s="149"/>
      <c r="AY919" s="149"/>
      <c r="AZ919" s="149"/>
      <c r="BA919" s="149"/>
      <c r="BB919" s="149"/>
      <c r="BC919" s="149"/>
      <c r="BD919" s="149"/>
      <c r="BE919" s="149"/>
      <c r="BF919" s="149"/>
      <c r="BG919" s="149"/>
      <c r="BH919" s="149"/>
      <c r="BI919" s="149"/>
      <c r="BJ919" s="149"/>
      <c r="BK919" s="149"/>
      <c r="BL919" s="149"/>
      <c r="BM919" s="149"/>
      <c r="BN919" s="149"/>
      <c r="BO919" s="149"/>
      <c r="BP919" s="149"/>
      <c r="BQ919" s="149"/>
      <c r="BR919" s="149"/>
    </row>
    <row r="920" ht="34" customHeight="1" spans="1:70">
      <c r="A920" s="208">
        <v>926</v>
      </c>
      <c r="B920" s="149"/>
      <c r="C920" s="149"/>
      <c r="D920" s="149"/>
      <c r="E920" s="149"/>
      <c r="F920" s="149"/>
      <c r="G920" s="149"/>
      <c r="H920" s="149"/>
      <c r="I920" s="149"/>
      <c r="J920" s="149"/>
      <c r="K920" s="149"/>
      <c r="L920" s="149"/>
      <c r="M920" s="149"/>
      <c r="N920" s="149"/>
      <c r="O920" s="149"/>
      <c r="P920" s="149"/>
      <c r="Q920" s="149"/>
      <c r="R920" s="149"/>
      <c r="S920" s="149"/>
      <c r="T920" s="149"/>
      <c r="U920" s="149"/>
      <c r="V920" s="149"/>
      <c r="W920" s="149"/>
      <c r="X920" s="149"/>
      <c r="Y920" s="149"/>
      <c r="Z920" s="149"/>
      <c r="AA920" s="149"/>
      <c r="AB920" s="149"/>
      <c r="AC920" s="149"/>
      <c r="AD920" s="149"/>
      <c r="AE920" s="149"/>
      <c r="AF920" s="149"/>
      <c r="AG920" s="149"/>
      <c r="AH920" s="149"/>
      <c r="AI920" s="149"/>
      <c r="AJ920" s="149"/>
      <c r="AK920" s="149"/>
      <c r="AL920" s="149"/>
      <c r="AM920" s="149"/>
      <c r="AN920" s="149"/>
      <c r="AO920" s="149"/>
      <c r="AP920" s="149"/>
      <c r="AR920" s="149"/>
      <c r="AS920" s="149"/>
      <c r="AT920" s="149"/>
      <c r="AU920" s="149"/>
      <c r="AV920" s="149"/>
      <c r="AW920" s="149"/>
      <c r="AX920" s="149"/>
      <c r="AY920" s="149"/>
      <c r="AZ920" s="149"/>
      <c r="BA920" s="149"/>
      <c r="BB920" s="149"/>
      <c r="BC920" s="149"/>
      <c r="BD920" s="149"/>
      <c r="BE920" s="149"/>
      <c r="BF920" s="149"/>
      <c r="BG920" s="149"/>
      <c r="BH920" s="149"/>
      <c r="BI920" s="149"/>
      <c r="BJ920" s="149"/>
      <c r="BK920" s="149"/>
      <c r="BL920" s="149"/>
      <c r="BM920" s="149"/>
      <c r="BN920" s="149"/>
      <c r="BO920" s="149"/>
      <c r="BP920" s="149"/>
      <c r="BQ920" s="149"/>
      <c r="BR920" s="149"/>
    </row>
    <row r="921" ht="34" customHeight="1" spans="1:70">
      <c r="A921" s="208">
        <v>927</v>
      </c>
      <c r="B921" s="149"/>
      <c r="C921" s="149"/>
      <c r="D921" s="149"/>
      <c r="E921" s="149"/>
      <c r="F921" s="149"/>
      <c r="G921" s="149"/>
      <c r="H921" s="149"/>
      <c r="I921" s="149"/>
      <c r="J921" s="149"/>
      <c r="K921" s="149"/>
      <c r="L921" s="149"/>
      <c r="M921" s="149"/>
      <c r="N921" s="149"/>
      <c r="O921" s="149"/>
      <c r="P921" s="149"/>
      <c r="Q921" s="149"/>
      <c r="R921" s="149"/>
      <c r="S921" s="149"/>
      <c r="T921" s="149"/>
      <c r="U921" s="149"/>
      <c r="V921" s="149"/>
      <c r="W921" s="149"/>
      <c r="X921" s="149"/>
      <c r="Y921" s="149"/>
      <c r="Z921" s="149"/>
      <c r="AA921" s="149"/>
      <c r="AB921" s="149"/>
      <c r="AC921" s="149"/>
      <c r="AD921" s="149"/>
      <c r="AE921" s="149"/>
      <c r="AF921" s="149"/>
      <c r="AG921" s="149"/>
      <c r="AH921" s="149"/>
      <c r="AI921" s="149"/>
      <c r="AJ921" s="149"/>
      <c r="AK921" s="149"/>
      <c r="AL921" s="149"/>
      <c r="AM921" s="149"/>
      <c r="AN921" s="149"/>
      <c r="AO921" s="149"/>
      <c r="AP921" s="149"/>
      <c r="AR921" s="149"/>
      <c r="AS921" s="149"/>
      <c r="AT921" s="149"/>
      <c r="AU921" s="149"/>
      <c r="AV921" s="149"/>
      <c r="AW921" s="149"/>
      <c r="AX921" s="149"/>
      <c r="AY921" s="149"/>
      <c r="AZ921" s="149"/>
      <c r="BA921" s="149"/>
      <c r="BB921" s="149"/>
      <c r="BC921" s="149"/>
      <c r="BD921" s="149"/>
      <c r="BE921" s="149"/>
      <c r="BF921" s="149"/>
      <c r="BG921" s="149"/>
      <c r="BH921" s="149"/>
      <c r="BI921" s="149"/>
      <c r="BJ921" s="149"/>
      <c r="BK921" s="149"/>
      <c r="BL921" s="149"/>
      <c r="BM921" s="149"/>
      <c r="BN921" s="149"/>
      <c r="BO921" s="149"/>
      <c r="BP921" s="149"/>
      <c r="BQ921" s="149"/>
      <c r="BR921" s="149"/>
    </row>
    <row r="922" ht="34" customHeight="1" spans="1:70">
      <c r="A922" s="208">
        <v>928</v>
      </c>
      <c r="B922" s="149"/>
      <c r="C922" s="149"/>
      <c r="D922" s="149"/>
      <c r="E922" s="149"/>
      <c r="F922" s="149"/>
      <c r="G922" s="149"/>
      <c r="H922" s="149"/>
      <c r="I922" s="149"/>
      <c r="J922" s="149"/>
      <c r="K922" s="149"/>
      <c r="L922" s="149"/>
      <c r="M922" s="149"/>
      <c r="N922" s="149"/>
      <c r="O922" s="149"/>
      <c r="P922" s="149"/>
      <c r="Q922" s="149"/>
      <c r="R922" s="149"/>
      <c r="S922" s="149"/>
      <c r="T922" s="149"/>
      <c r="U922" s="149"/>
      <c r="V922" s="149"/>
      <c r="W922" s="149"/>
      <c r="X922" s="149"/>
      <c r="Y922" s="149"/>
      <c r="Z922" s="149"/>
      <c r="AA922" s="149"/>
      <c r="AB922" s="149"/>
      <c r="AC922" s="149"/>
      <c r="AD922" s="149"/>
      <c r="AE922" s="149"/>
      <c r="AF922" s="149"/>
      <c r="AG922" s="149"/>
      <c r="AH922" s="149"/>
      <c r="AI922" s="149"/>
      <c r="AJ922" s="149"/>
      <c r="AK922" s="149"/>
      <c r="AL922" s="149"/>
      <c r="AM922" s="149"/>
      <c r="AN922" s="149"/>
      <c r="AO922" s="149"/>
      <c r="AP922" s="149"/>
      <c r="AR922" s="149"/>
      <c r="AS922" s="149"/>
      <c r="AT922" s="149"/>
      <c r="AU922" s="149"/>
      <c r="AV922" s="149"/>
      <c r="AW922" s="149"/>
      <c r="AX922" s="149"/>
      <c r="AY922" s="149"/>
      <c r="AZ922" s="149"/>
      <c r="BA922" s="149"/>
      <c r="BB922" s="149"/>
      <c r="BC922" s="149"/>
      <c r="BD922" s="149"/>
      <c r="BE922" s="149"/>
      <c r="BF922" s="149"/>
      <c r="BG922" s="149"/>
      <c r="BH922" s="149"/>
      <c r="BI922" s="149"/>
      <c r="BJ922" s="149"/>
      <c r="BK922" s="149"/>
      <c r="BL922" s="149"/>
      <c r="BM922" s="149"/>
      <c r="BN922" s="149"/>
      <c r="BO922" s="149"/>
      <c r="BP922" s="149"/>
      <c r="BQ922" s="149"/>
      <c r="BR922" s="149"/>
    </row>
    <row r="923" ht="34" customHeight="1" spans="1:70">
      <c r="A923" s="208">
        <v>929</v>
      </c>
      <c r="B923" s="149"/>
      <c r="C923" s="149"/>
      <c r="D923" s="149"/>
      <c r="E923" s="149"/>
      <c r="F923" s="149"/>
      <c r="G923" s="149"/>
      <c r="H923" s="149"/>
      <c r="I923" s="149"/>
      <c r="J923" s="149"/>
      <c r="K923" s="149"/>
      <c r="L923" s="149"/>
      <c r="M923" s="149"/>
      <c r="N923" s="149"/>
      <c r="O923" s="149"/>
      <c r="P923" s="149"/>
      <c r="Q923" s="149"/>
      <c r="R923" s="149"/>
      <c r="S923" s="149"/>
      <c r="T923" s="149"/>
      <c r="U923" s="149"/>
      <c r="V923" s="149"/>
      <c r="W923" s="149"/>
      <c r="X923" s="149"/>
      <c r="Y923" s="149"/>
      <c r="Z923" s="149"/>
      <c r="AA923" s="149"/>
      <c r="AB923" s="149"/>
      <c r="AC923" s="149"/>
      <c r="AD923" s="149"/>
      <c r="AE923" s="149"/>
      <c r="AF923" s="149"/>
      <c r="AG923" s="149"/>
      <c r="AH923" s="149"/>
      <c r="AI923" s="149"/>
      <c r="AJ923" s="149"/>
      <c r="AK923" s="149"/>
      <c r="AL923" s="149"/>
      <c r="AM923" s="149"/>
      <c r="AN923" s="149"/>
      <c r="AO923" s="149"/>
      <c r="AP923" s="149"/>
      <c r="AR923" s="149"/>
      <c r="AS923" s="149"/>
      <c r="AT923" s="149"/>
      <c r="AU923" s="149"/>
      <c r="AV923" s="149"/>
      <c r="AW923" s="149"/>
      <c r="AX923" s="149"/>
      <c r="AY923" s="149"/>
      <c r="AZ923" s="149"/>
      <c r="BA923" s="149"/>
      <c r="BB923" s="149"/>
      <c r="BC923" s="149"/>
      <c r="BD923" s="149"/>
      <c r="BE923" s="149"/>
      <c r="BF923" s="149"/>
      <c r="BG923" s="149"/>
      <c r="BH923" s="149"/>
      <c r="BI923" s="149"/>
      <c r="BJ923" s="149"/>
      <c r="BK923" s="149"/>
      <c r="BL923" s="149"/>
      <c r="BM923" s="149"/>
      <c r="BN923" s="149"/>
      <c r="BO923" s="149"/>
      <c r="BP923" s="149"/>
      <c r="BQ923" s="149"/>
      <c r="BR923" s="149"/>
    </row>
    <row r="924" ht="34" customHeight="1" spans="1:70">
      <c r="A924" s="208">
        <v>930</v>
      </c>
      <c r="B924" s="149"/>
      <c r="C924" s="149"/>
      <c r="D924" s="149"/>
      <c r="E924" s="149"/>
      <c r="F924" s="149"/>
      <c r="G924" s="149"/>
      <c r="H924" s="149"/>
      <c r="I924" s="149"/>
      <c r="J924" s="149"/>
      <c r="K924" s="149"/>
      <c r="L924" s="149"/>
      <c r="M924" s="149"/>
      <c r="N924" s="149"/>
      <c r="O924" s="149"/>
      <c r="P924" s="149"/>
      <c r="Q924" s="149"/>
      <c r="R924" s="149"/>
      <c r="S924" s="149"/>
      <c r="T924" s="149"/>
      <c r="U924" s="149"/>
      <c r="V924" s="149"/>
      <c r="W924" s="149"/>
      <c r="X924" s="149"/>
      <c r="Y924" s="149"/>
      <c r="Z924" s="149"/>
      <c r="AA924" s="149"/>
      <c r="AB924" s="149"/>
      <c r="AC924" s="149"/>
      <c r="AD924" s="149"/>
      <c r="AE924" s="149"/>
      <c r="AF924" s="149"/>
      <c r="AG924" s="149"/>
      <c r="AH924" s="149"/>
      <c r="AI924" s="149"/>
      <c r="AJ924" s="149"/>
      <c r="AK924" s="149"/>
      <c r="AL924" s="149"/>
      <c r="AM924" s="149"/>
      <c r="AN924" s="149"/>
      <c r="AO924" s="149"/>
      <c r="AP924" s="149"/>
      <c r="AR924" s="149"/>
      <c r="AS924" s="149"/>
      <c r="AT924" s="149"/>
      <c r="AU924" s="149"/>
      <c r="AV924" s="149"/>
      <c r="AW924" s="149"/>
      <c r="AX924" s="149"/>
      <c r="AY924" s="149"/>
      <c r="AZ924" s="149"/>
      <c r="BA924" s="149"/>
      <c r="BB924" s="149"/>
      <c r="BC924" s="149"/>
      <c r="BD924" s="149"/>
      <c r="BE924" s="149"/>
      <c r="BF924" s="149"/>
      <c r="BG924" s="149"/>
      <c r="BH924" s="149"/>
      <c r="BI924" s="149"/>
      <c r="BJ924" s="149"/>
      <c r="BK924" s="149"/>
      <c r="BL924" s="149"/>
      <c r="BM924" s="149"/>
      <c r="BN924" s="149"/>
      <c r="BO924" s="149"/>
      <c r="BP924" s="149"/>
      <c r="BQ924" s="149"/>
      <c r="BR924" s="149"/>
    </row>
    <row r="925" ht="34" customHeight="1" spans="1:70">
      <c r="A925" s="208">
        <v>931</v>
      </c>
      <c r="B925" s="149"/>
      <c r="C925" s="149"/>
      <c r="D925" s="149"/>
      <c r="E925" s="149"/>
      <c r="F925" s="149"/>
      <c r="G925" s="149"/>
      <c r="H925" s="149"/>
      <c r="I925" s="149"/>
      <c r="J925" s="149"/>
      <c r="K925" s="149"/>
      <c r="L925" s="149"/>
      <c r="M925" s="149"/>
      <c r="N925" s="149"/>
      <c r="O925" s="149"/>
      <c r="P925" s="149"/>
      <c r="Q925" s="149"/>
      <c r="R925" s="149"/>
      <c r="S925" s="149"/>
      <c r="T925" s="149"/>
      <c r="U925" s="149"/>
      <c r="V925" s="149"/>
      <c r="W925" s="149"/>
      <c r="X925" s="149"/>
      <c r="Y925" s="149"/>
      <c r="Z925" s="149"/>
      <c r="AA925" s="149"/>
      <c r="AB925" s="149"/>
      <c r="AC925" s="149"/>
      <c r="AD925" s="149"/>
      <c r="AE925" s="149"/>
      <c r="AF925" s="149"/>
      <c r="AG925" s="149"/>
      <c r="AH925" s="149"/>
      <c r="AI925" s="149"/>
      <c r="AJ925" s="149"/>
      <c r="AK925" s="149"/>
      <c r="AL925" s="149"/>
      <c r="AM925" s="149"/>
      <c r="AN925" s="149"/>
      <c r="AO925" s="149"/>
      <c r="AP925" s="149"/>
      <c r="AR925" s="149"/>
      <c r="AS925" s="149"/>
      <c r="AT925" s="149"/>
      <c r="AU925" s="149"/>
      <c r="AV925" s="149"/>
      <c r="AW925" s="149"/>
      <c r="AX925" s="149"/>
      <c r="AY925" s="149"/>
      <c r="AZ925" s="149"/>
      <c r="BA925" s="149"/>
      <c r="BB925" s="149"/>
      <c r="BC925" s="149"/>
      <c r="BD925" s="149"/>
      <c r="BE925" s="149"/>
      <c r="BF925" s="149"/>
      <c r="BG925" s="149"/>
      <c r="BH925" s="149"/>
      <c r="BI925" s="149"/>
      <c r="BJ925" s="149"/>
      <c r="BK925" s="149"/>
      <c r="BL925" s="149"/>
      <c r="BM925" s="149"/>
      <c r="BN925" s="149"/>
      <c r="BO925" s="149"/>
      <c r="BP925" s="149"/>
      <c r="BQ925" s="149"/>
      <c r="BR925" s="149"/>
    </row>
    <row r="926" ht="34" customHeight="1" spans="1:70">
      <c r="A926" s="208">
        <v>932</v>
      </c>
      <c r="B926" s="149"/>
      <c r="C926" s="149"/>
      <c r="D926" s="149"/>
      <c r="E926" s="149"/>
      <c r="F926" s="149"/>
      <c r="G926" s="149"/>
      <c r="H926" s="149"/>
      <c r="I926" s="149"/>
      <c r="J926" s="149"/>
      <c r="K926" s="149"/>
      <c r="L926" s="149"/>
      <c r="M926" s="149"/>
      <c r="N926" s="149"/>
      <c r="O926" s="149"/>
      <c r="P926" s="149"/>
      <c r="Q926" s="149"/>
      <c r="R926" s="149"/>
      <c r="S926" s="149"/>
      <c r="T926" s="149"/>
      <c r="U926" s="149"/>
      <c r="V926" s="149"/>
      <c r="W926" s="149"/>
      <c r="X926" s="149"/>
      <c r="Y926" s="149"/>
      <c r="Z926" s="149"/>
      <c r="AA926" s="149"/>
      <c r="AB926" s="149"/>
      <c r="AC926" s="149"/>
      <c r="AD926" s="149"/>
      <c r="AE926" s="149"/>
      <c r="AF926" s="149"/>
      <c r="AG926" s="149"/>
      <c r="AH926" s="149"/>
      <c r="AI926" s="149"/>
      <c r="AJ926" s="149"/>
      <c r="AK926" s="149"/>
      <c r="AL926" s="149"/>
      <c r="AM926" s="149"/>
      <c r="AN926" s="149"/>
      <c r="AO926" s="149"/>
      <c r="AP926" s="149"/>
      <c r="AR926" s="149"/>
      <c r="AS926" s="149"/>
      <c r="AT926" s="149"/>
      <c r="AU926" s="149"/>
      <c r="AV926" s="149"/>
      <c r="AW926" s="149"/>
      <c r="AX926" s="149"/>
      <c r="AY926" s="149"/>
      <c r="AZ926" s="149"/>
      <c r="BA926" s="149"/>
      <c r="BB926" s="149"/>
      <c r="BC926" s="149"/>
      <c r="BD926" s="149"/>
      <c r="BE926" s="149"/>
      <c r="BF926" s="149"/>
      <c r="BG926" s="149"/>
      <c r="BH926" s="149"/>
      <c r="BI926" s="149"/>
      <c r="BJ926" s="149"/>
      <c r="BK926" s="149"/>
      <c r="BL926" s="149"/>
      <c r="BM926" s="149"/>
      <c r="BN926" s="149"/>
      <c r="BO926" s="149"/>
      <c r="BP926" s="149"/>
      <c r="BQ926" s="149"/>
      <c r="BR926" s="149"/>
    </row>
    <row r="927" ht="34" customHeight="1" spans="1:70">
      <c r="A927" s="208">
        <v>933</v>
      </c>
      <c r="B927" s="149"/>
      <c r="C927" s="149"/>
      <c r="D927" s="149"/>
      <c r="E927" s="149"/>
      <c r="F927" s="149"/>
      <c r="G927" s="149"/>
      <c r="H927" s="149"/>
      <c r="I927" s="149"/>
      <c r="J927" s="149"/>
      <c r="K927" s="149"/>
      <c r="L927" s="149"/>
      <c r="M927" s="149"/>
      <c r="N927" s="149"/>
      <c r="O927" s="149"/>
      <c r="P927" s="149"/>
      <c r="Q927" s="149"/>
      <c r="R927" s="149"/>
      <c r="S927" s="149"/>
      <c r="T927" s="149"/>
      <c r="U927" s="149"/>
      <c r="V927" s="149"/>
      <c r="W927" s="149"/>
      <c r="X927" s="149"/>
      <c r="Y927" s="149"/>
      <c r="Z927" s="149"/>
      <c r="AA927" s="149"/>
      <c r="AB927" s="149"/>
      <c r="AC927" s="149"/>
      <c r="AD927" s="149"/>
      <c r="AE927" s="149"/>
      <c r="AF927" s="149"/>
      <c r="AG927" s="149"/>
      <c r="AH927" s="149"/>
      <c r="AI927" s="149"/>
      <c r="AJ927" s="149"/>
      <c r="AK927" s="149"/>
      <c r="AL927" s="149"/>
      <c r="AM927" s="149"/>
      <c r="AN927" s="149"/>
      <c r="AO927" s="149"/>
      <c r="AP927" s="149"/>
      <c r="AR927" s="149"/>
      <c r="AS927" s="149"/>
      <c r="AT927" s="149"/>
      <c r="AU927" s="149"/>
      <c r="AV927" s="149"/>
      <c r="AW927" s="149"/>
      <c r="AX927" s="149"/>
      <c r="AY927" s="149"/>
      <c r="AZ927" s="149"/>
      <c r="BA927" s="149"/>
      <c r="BB927" s="149"/>
      <c r="BC927" s="149"/>
      <c r="BD927" s="149"/>
      <c r="BE927" s="149"/>
      <c r="BF927" s="149"/>
      <c r="BG927" s="149"/>
      <c r="BH927" s="149"/>
      <c r="BI927" s="149"/>
      <c r="BJ927" s="149"/>
      <c r="BK927" s="149"/>
      <c r="BL927" s="149"/>
      <c r="BM927" s="149"/>
      <c r="BN927" s="149"/>
      <c r="BO927" s="149"/>
      <c r="BP927" s="149"/>
      <c r="BQ927" s="149"/>
      <c r="BR927" s="149"/>
    </row>
    <row r="928" ht="34" customHeight="1" spans="1:70">
      <c r="A928" s="208">
        <v>934</v>
      </c>
      <c r="B928" s="149"/>
      <c r="C928" s="149"/>
      <c r="D928" s="149"/>
      <c r="E928" s="149"/>
      <c r="F928" s="149"/>
      <c r="G928" s="149"/>
      <c r="H928" s="149"/>
      <c r="I928" s="149"/>
      <c r="J928" s="149"/>
      <c r="K928" s="149"/>
      <c r="L928" s="149"/>
      <c r="M928" s="149"/>
      <c r="N928" s="149"/>
      <c r="O928" s="149"/>
      <c r="P928" s="149"/>
      <c r="Q928" s="149"/>
      <c r="R928" s="149"/>
      <c r="S928" s="149"/>
      <c r="T928" s="149"/>
      <c r="U928" s="149"/>
      <c r="V928" s="149"/>
      <c r="W928" s="149"/>
      <c r="X928" s="149"/>
      <c r="Y928" s="149"/>
      <c r="Z928" s="149"/>
      <c r="AA928" s="149"/>
      <c r="AB928" s="149"/>
      <c r="AC928" s="149"/>
      <c r="AD928" s="149"/>
      <c r="AE928" s="149"/>
      <c r="AF928" s="149"/>
      <c r="AG928" s="149"/>
      <c r="AH928" s="149"/>
      <c r="AI928" s="149"/>
      <c r="AJ928" s="149"/>
      <c r="AK928" s="149"/>
      <c r="AL928" s="149"/>
      <c r="AM928" s="149"/>
      <c r="AN928" s="149"/>
      <c r="AO928" s="149"/>
      <c r="AP928" s="149"/>
      <c r="AR928" s="149"/>
      <c r="AS928" s="149"/>
      <c r="AT928" s="149"/>
      <c r="AU928" s="149"/>
      <c r="AV928" s="149"/>
      <c r="AW928" s="149"/>
      <c r="AX928" s="149"/>
      <c r="AY928" s="149"/>
      <c r="AZ928" s="149"/>
      <c r="BA928" s="149"/>
      <c r="BB928" s="149"/>
      <c r="BC928" s="149"/>
      <c r="BD928" s="149"/>
      <c r="BE928" s="149"/>
      <c r="BF928" s="149"/>
      <c r="BG928" s="149"/>
      <c r="BH928" s="149"/>
      <c r="BI928" s="149"/>
      <c r="BJ928" s="149"/>
      <c r="BK928" s="149"/>
      <c r="BL928" s="149"/>
      <c r="BM928" s="149"/>
      <c r="BN928" s="149"/>
      <c r="BO928" s="149"/>
      <c r="BP928" s="149"/>
      <c r="BQ928" s="149"/>
      <c r="BR928" s="149"/>
    </row>
    <row r="929" ht="34" customHeight="1" spans="1:70">
      <c r="A929" s="208">
        <v>935</v>
      </c>
      <c r="B929" s="149"/>
      <c r="C929" s="149"/>
      <c r="D929" s="149"/>
      <c r="E929" s="149"/>
      <c r="F929" s="149"/>
      <c r="G929" s="149"/>
      <c r="H929" s="149"/>
      <c r="I929" s="149"/>
      <c r="J929" s="149"/>
      <c r="K929" s="149"/>
      <c r="L929" s="149"/>
      <c r="M929" s="149"/>
      <c r="N929" s="149"/>
      <c r="O929" s="149"/>
      <c r="P929" s="149"/>
      <c r="Q929" s="149"/>
      <c r="R929" s="149"/>
      <c r="S929" s="149"/>
      <c r="T929" s="149"/>
      <c r="U929" s="149"/>
      <c r="V929" s="149"/>
      <c r="W929" s="149"/>
      <c r="X929" s="149"/>
      <c r="Y929" s="149"/>
      <c r="Z929" s="149"/>
      <c r="AA929" s="149"/>
      <c r="AB929" s="149"/>
      <c r="AC929" s="149"/>
      <c r="AD929" s="149"/>
      <c r="AE929" s="149"/>
      <c r="AF929" s="149"/>
      <c r="AG929" s="149"/>
      <c r="AH929" s="149"/>
      <c r="AI929" s="149"/>
      <c r="AJ929" s="149"/>
      <c r="AK929" s="149"/>
      <c r="AL929" s="149"/>
      <c r="AM929" s="149"/>
      <c r="AN929" s="149"/>
      <c r="AO929" s="149"/>
      <c r="AP929" s="149"/>
      <c r="AR929" s="149"/>
      <c r="AS929" s="149"/>
      <c r="AT929" s="149"/>
      <c r="AU929" s="149"/>
      <c r="AV929" s="149"/>
      <c r="AW929" s="149"/>
      <c r="AX929" s="149"/>
      <c r="AY929" s="149"/>
      <c r="AZ929" s="149"/>
      <c r="BA929" s="149"/>
      <c r="BB929" s="149"/>
      <c r="BC929" s="149"/>
      <c r="BD929" s="149"/>
      <c r="BE929" s="149"/>
      <c r="BF929" s="149"/>
      <c r="BG929" s="149"/>
      <c r="BH929" s="149"/>
      <c r="BI929" s="149"/>
      <c r="BJ929" s="149"/>
      <c r="BK929" s="149"/>
      <c r="BL929" s="149"/>
      <c r="BM929" s="149"/>
      <c r="BN929" s="149"/>
      <c r="BO929" s="149"/>
      <c r="BP929" s="149"/>
      <c r="BQ929" s="149"/>
      <c r="BR929" s="149"/>
    </row>
    <row r="930" ht="34" customHeight="1" spans="1:70">
      <c r="A930" s="208">
        <v>936</v>
      </c>
      <c r="B930" s="149"/>
      <c r="C930" s="149"/>
      <c r="D930" s="149"/>
      <c r="E930" s="149"/>
      <c r="F930" s="149"/>
      <c r="G930" s="149"/>
      <c r="H930" s="149"/>
      <c r="I930" s="149"/>
      <c r="J930" s="149"/>
      <c r="K930" s="149"/>
      <c r="L930" s="149"/>
      <c r="M930" s="149"/>
      <c r="N930" s="149"/>
      <c r="O930" s="149"/>
      <c r="P930" s="149"/>
      <c r="Q930" s="149"/>
      <c r="R930" s="149"/>
      <c r="S930" s="149"/>
      <c r="T930" s="149"/>
      <c r="U930" s="149"/>
      <c r="V930" s="149"/>
      <c r="W930" s="149"/>
      <c r="X930" s="149"/>
      <c r="Y930" s="149"/>
      <c r="Z930" s="149"/>
      <c r="AA930" s="149"/>
      <c r="AB930" s="149"/>
      <c r="AC930" s="149"/>
      <c r="AD930" s="149"/>
      <c r="AE930" s="149"/>
      <c r="AF930" s="149"/>
      <c r="AG930" s="149"/>
      <c r="AH930" s="149"/>
      <c r="AI930" s="149"/>
      <c r="AJ930" s="149"/>
      <c r="AK930" s="149"/>
      <c r="AL930" s="149"/>
      <c r="AM930" s="149"/>
      <c r="AN930" s="149"/>
      <c r="AO930" s="149"/>
      <c r="AP930" s="149"/>
      <c r="AR930" s="149"/>
      <c r="AS930" s="149"/>
      <c r="AT930" s="149"/>
      <c r="AU930" s="149"/>
      <c r="AV930" s="149"/>
      <c r="AW930" s="149"/>
      <c r="AX930" s="149"/>
      <c r="AY930" s="149"/>
      <c r="AZ930" s="149"/>
      <c r="BA930" s="149"/>
      <c r="BB930" s="149"/>
      <c r="BC930" s="149"/>
      <c r="BD930" s="149"/>
      <c r="BE930" s="149"/>
      <c r="BF930" s="149"/>
      <c r="BG930" s="149"/>
      <c r="BH930" s="149"/>
      <c r="BI930" s="149"/>
      <c r="BJ930" s="149"/>
      <c r="BK930" s="149"/>
      <c r="BL930" s="149"/>
      <c r="BM930" s="149"/>
      <c r="BN930" s="149"/>
      <c r="BO930" s="149"/>
      <c r="BP930" s="149"/>
      <c r="BQ930" s="149"/>
      <c r="BR930" s="149"/>
    </row>
    <row r="931" ht="34" customHeight="1" spans="1:70">
      <c r="A931" s="208">
        <v>937</v>
      </c>
      <c r="B931" s="149"/>
      <c r="C931" s="149"/>
      <c r="D931" s="149"/>
      <c r="E931" s="149"/>
      <c r="F931" s="149"/>
      <c r="G931" s="149"/>
      <c r="H931" s="149"/>
      <c r="I931" s="149"/>
      <c r="J931" s="149"/>
      <c r="K931" s="149"/>
      <c r="L931" s="149"/>
      <c r="M931" s="149"/>
      <c r="N931" s="149"/>
      <c r="O931" s="149"/>
      <c r="P931" s="149"/>
      <c r="Q931" s="149"/>
      <c r="R931" s="149"/>
      <c r="S931" s="149"/>
      <c r="T931" s="149"/>
      <c r="U931" s="149"/>
      <c r="V931" s="149"/>
      <c r="W931" s="149"/>
      <c r="X931" s="149"/>
      <c r="Y931" s="149"/>
      <c r="Z931" s="149"/>
      <c r="AA931" s="149"/>
      <c r="AB931" s="149"/>
      <c r="AC931" s="149"/>
      <c r="AD931" s="149"/>
      <c r="AE931" s="149"/>
      <c r="AF931" s="149"/>
      <c r="AG931" s="149"/>
      <c r="AH931" s="149"/>
      <c r="AI931" s="149"/>
      <c r="AJ931" s="149"/>
      <c r="AK931" s="149"/>
      <c r="AL931" s="149"/>
      <c r="AM931" s="149"/>
      <c r="AN931" s="149"/>
      <c r="AO931" s="149"/>
      <c r="AP931" s="149"/>
      <c r="AR931" s="149"/>
      <c r="AS931" s="149"/>
      <c r="AT931" s="149"/>
      <c r="AU931" s="149"/>
      <c r="AV931" s="149"/>
      <c r="AW931" s="149"/>
      <c r="AX931" s="149"/>
      <c r="AY931" s="149"/>
      <c r="AZ931" s="149"/>
      <c r="BA931" s="149"/>
      <c r="BB931" s="149"/>
      <c r="BC931" s="149"/>
      <c r="BD931" s="149"/>
      <c r="BE931" s="149"/>
      <c r="BF931" s="149"/>
      <c r="BG931" s="149"/>
      <c r="BH931" s="149"/>
      <c r="BI931" s="149"/>
      <c r="BJ931" s="149"/>
      <c r="BK931" s="149"/>
      <c r="BL931" s="149"/>
      <c r="BM931" s="149"/>
      <c r="BN931" s="149"/>
      <c r="BO931" s="149"/>
      <c r="BP931" s="149"/>
      <c r="BQ931" s="149"/>
      <c r="BR931" s="149"/>
    </row>
    <row r="932" ht="34" customHeight="1" spans="1:70">
      <c r="A932" s="208">
        <v>938</v>
      </c>
      <c r="B932" s="149"/>
      <c r="C932" s="149"/>
      <c r="D932" s="149"/>
      <c r="E932" s="149"/>
      <c r="F932" s="149"/>
      <c r="G932" s="149"/>
      <c r="H932" s="149"/>
      <c r="I932" s="149"/>
      <c r="J932" s="149"/>
      <c r="K932" s="149"/>
      <c r="L932" s="149"/>
      <c r="M932" s="149"/>
      <c r="N932" s="149"/>
      <c r="O932" s="149"/>
      <c r="P932" s="149"/>
      <c r="Q932" s="149"/>
      <c r="R932" s="149"/>
      <c r="S932" s="149"/>
      <c r="T932" s="149"/>
      <c r="U932" s="149"/>
      <c r="V932" s="149"/>
      <c r="W932" s="149"/>
      <c r="X932" s="149"/>
      <c r="Y932" s="149"/>
      <c r="Z932" s="149"/>
      <c r="AA932" s="149"/>
      <c r="AB932" s="149"/>
      <c r="AC932" s="149"/>
      <c r="AD932" s="149"/>
      <c r="AE932" s="149"/>
      <c r="AF932" s="149"/>
      <c r="AG932" s="149"/>
      <c r="AH932" s="149"/>
      <c r="AI932" s="149"/>
      <c r="AJ932" s="149"/>
      <c r="AK932" s="149"/>
      <c r="AL932" s="149"/>
      <c r="AM932" s="149"/>
      <c r="AN932" s="149"/>
      <c r="AO932" s="149"/>
      <c r="AP932" s="149"/>
      <c r="AR932" s="149"/>
      <c r="AS932" s="149"/>
      <c r="AT932" s="149"/>
      <c r="AU932" s="149"/>
      <c r="AV932" s="149"/>
      <c r="AW932" s="149"/>
      <c r="AX932" s="149"/>
      <c r="AY932" s="149"/>
      <c r="AZ932" s="149"/>
      <c r="BA932" s="149"/>
      <c r="BB932" s="149"/>
      <c r="BC932" s="149"/>
      <c r="BD932" s="149"/>
      <c r="BE932" s="149"/>
      <c r="BF932" s="149"/>
      <c r="BG932" s="149"/>
      <c r="BH932" s="149"/>
      <c r="BI932" s="149"/>
      <c r="BJ932" s="149"/>
      <c r="BK932" s="149"/>
      <c r="BL932" s="149"/>
      <c r="BM932" s="149"/>
      <c r="BN932" s="149"/>
      <c r="BO932" s="149"/>
      <c r="BP932" s="149"/>
      <c r="BQ932" s="149"/>
      <c r="BR932" s="149"/>
    </row>
    <row r="933" ht="34" customHeight="1" spans="1:70">
      <c r="A933" s="208">
        <v>939</v>
      </c>
      <c r="B933" s="149"/>
      <c r="C933" s="149"/>
      <c r="D933" s="149"/>
      <c r="E933" s="149"/>
      <c r="F933" s="149"/>
      <c r="G933" s="149"/>
      <c r="H933" s="149"/>
      <c r="I933" s="149"/>
      <c r="J933" s="149"/>
      <c r="K933" s="149"/>
      <c r="L933" s="149"/>
      <c r="M933" s="149"/>
      <c r="N933" s="149"/>
      <c r="O933" s="149"/>
      <c r="P933" s="149"/>
      <c r="Q933" s="149"/>
      <c r="R933" s="149"/>
      <c r="S933" s="149"/>
      <c r="T933" s="149"/>
      <c r="U933" s="149"/>
      <c r="V933" s="149"/>
      <c r="W933" s="149"/>
      <c r="X933" s="149"/>
      <c r="Y933" s="149"/>
      <c r="Z933" s="149"/>
      <c r="AA933" s="149"/>
      <c r="AB933" s="149"/>
      <c r="AC933" s="149"/>
      <c r="AD933" s="149"/>
      <c r="AE933" s="149"/>
      <c r="AF933" s="149"/>
      <c r="AG933" s="149"/>
      <c r="AH933" s="149"/>
      <c r="AI933" s="149"/>
      <c r="AJ933" s="149"/>
      <c r="AK933" s="149"/>
      <c r="AL933" s="149"/>
      <c r="AM933" s="149"/>
      <c r="AN933" s="149"/>
      <c r="AO933" s="149"/>
      <c r="AP933" s="149"/>
      <c r="AR933" s="149"/>
      <c r="AS933" s="149"/>
      <c r="AT933" s="149"/>
      <c r="AU933" s="149"/>
      <c r="AV933" s="149"/>
      <c r="AW933" s="149"/>
      <c r="AX933" s="149"/>
      <c r="AY933" s="149"/>
      <c r="AZ933" s="149"/>
      <c r="BA933" s="149"/>
      <c r="BB933" s="149"/>
      <c r="BC933" s="149"/>
      <c r="BD933" s="149"/>
      <c r="BE933" s="149"/>
      <c r="BF933" s="149"/>
      <c r="BG933" s="149"/>
      <c r="BH933" s="149"/>
      <c r="BI933" s="149"/>
      <c r="BJ933" s="149"/>
      <c r="BK933" s="149"/>
      <c r="BL933" s="149"/>
      <c r="BM933" s="149"/>
      <c r="BN933" s="149"/>
      <c r="BO933" s="149"/>
      <c r="BP933" s="149"/>
      <c r="BQ933" s="149"/>
      <c r="BR933" s="149"/>
    </row>
    <row r="934" ht="34" customHeight="1" spans="1:70">
      <c r="A934" s="208">
        <v>940</v>
      </c>
      <c r="B934" s="149"/>
      <c r="C934" s="149"/>
      <c r="D934" s="149"/>
      <c r="E934" s="149"/>
      <c r="F934" s="149"/>
      <c r="G934" s="149"/>
      <c r="H934" s="149"/>
      <c r="I934" s="149"/>
      <c r="J934" s="149"/>
      <c r="K934" s="149"/>
      <c r="L934" s="149"/>
      <c r="M934" s="149"/>
      <c r="N934" s="149"/>
      <c r="O934" s="149"/>
      <c r="P934" s="149"/>
      <c r="Q934" s="149"/>
      <c r="R934" s="149"/>
      <c r="S934" s="149"/>
      <c r="T934" s="149"/>
      <c r="U934" s="149"/>
      <c r="V934" s="149"/>
      <c r="W934" s="149"/>
      <c r="X934" s="149"/>
      <c r="Y934" s="149"/>
      <c r="Z934" s="149"/>
      <c r="AA934" s="149"/>
      <c r="AB934" s="149"/>
      <c r="AC934" s="149"/>
      <c r="AD934" s="149"/>
      <c r="AE934" s="149"/>
      <c r="AF934" s="149"/>
      <c r="AG934" s="149"/>
      <c r="AH934" s="149"/>
      <c r="AI934" s="149"/>
      <c r="AJ934" s="149"/>
      <c r="AK934" s="149"/>
      <c r="AL934" s="149"/>
      <c r="AM934" s="149"/>
      <c r="AN934" s="149"/>
      <c r="AO934" s="149"/>
      <c r="AP934" s="149"/>
      <c r="AR934" s="149"/>
      <c r="AS934" s="149"/>
      <c r="AT934" s="149"/>
      <c r="AU934" s="149"/>
      <c r="AV934" s="149"/>
      <c r="AW934" s="149"/>
      <c r="AX934" s="149"/>
      <c r="AY934" s="149"/>
      <c r="AZ934" s="149"/>
      <c r="BA934" s="149"/>
      <c r="BB934" s="149"/>
      <c r="BC934" s="149"/>
      <c r="BD934" s="149"/>
      <c r="BE934" s="149"/>
      <c r="BF934" s="149"/>
      <c r="BG934" s="149"/>
      <c r="BH934" s="149"/>
      <c r="BI934" s="149"/>
      <c r="BJ934" s="149"/>
      <c r="BK934" s="149"/>
      <c r="BL934" s="149"/>
      <c r="BM934" s="149"/>
      <c r="BN934" s="149"/>
      <c r="BO934" s="149"/>
      <c r="BP934" s="149"/>
      <c r="BQ934" s="149"/>
      <c r="BR934" s="149"/>
    </row>
    <row r="935" ht="34" customHeight="1" spans="1:70">
      <c r="A935" s="208">
        <v>941</v>
      </c>
      <c r="B935" s="149"/>
      <c r="C935" s="149"/>
      <c r="D935" s="149"/>
      <c r="E935" s="149"/>
      <c r="F935" s="149"/>
      <c r="G935" s="149"/>
      <c r="H935" s="149"/>
      <c r="I935" s="149"/>
      <c r="J935" s="149"/>
      <c r="K935" s="149"/>
      <c r="L935" s="149"/>
      <c r="M935" s="149"/>
      <c r="N935" s="149"/>
      <c r="O935" s="149"/>
      <c r="P935" s="149"/>
      <c r="Q935" s="149"/>
      <c r="R935" s="149"/>
      <c r="S935" s="149"/>
      <c r="T935" s="149"/>
      <c r="U935" s="149"/>
      <c r="V935" s="149"/>
      <c r="W935" s="149"/>
      <c r="X935" s="149"/>
      <c r="Y935" s="149"/>
      <c r="Z935" s="149"/>
      <c r="AA935" s="149"/>
      <c r="AB935" s="149"/>
      <c r="AC935" s="149"/>
      <c r="AD935" s="149"/>
      <c r="AE935" s="149"/>
      <c r="AF935" s="149"/>
      <c r="AG935" s="149"/>
      <c r="AH935" s="149"/>
      <c r="AI935" s="149"/>
      <c r="AJ935" s="149"/>
      <c r="AK935" s="149"/>
      <c r="AL935" s="149"/>
      <c r="AM935" s="149"/>
      <c r="AN935" s="149"/>
      <c r="AO935" s="149"/>
      <c r="AP935" s="149"/>
      <c r="AR935" s="149"/>
      <c r="AS935" s="149"/>
      <c r="AT935" s="149"/>
      <c r="AU935" s="149"/>
      <c r="AV935" s="149"/>
      <c r="AW935" s="149"/>
      <c r="AX935" s="149"/>
      <c r="AY935" s="149"/>
      <c r="AZ935" s="149"/>
      <c r="BA935" s="149"/>
      <c r="BB935" s="149"/>
      <c r="BC935" s="149"/>
      <c r="BD935" s="149"/>
      <c r="BE935" s="149"/>
      <c r="BF935" s="149"/>
      <c r="BG935" s="149"/>
      <c r="BH935" s="149"/>
      <c r="BI935" s="149"/>
      <c r="BJ935" s="149"/>
      <c r="BK935" s="149"/>
      <c r="BL935" s="149"/>
      <c r="BM935" s="149"/>
      <c r="BN935" s="149"/>
      <c r="BO935" s="149"/>
      <c r="BP935" s="149"/>
      <c r="BQ935" s="149"/>
      <c r="BR935" s="149"/>
    </row>
    <row r="936" ht="34" customHeight="1" spans="1:70">
      <c r="A936" s="208">
        <v>942</v>
      </c>
      <c r="B936" s="149"/>
      <c r="C936" s="149"/>
      <c r="D936" s="149"/>
      <c r="E936" s="149"/>
      <c r="F936" s="149"/>
      <c r="G936" s="149"/>
      <c r="H936" s="149"/>
      <c r="I936" s="149"/>
      <c r="J936" s="149"/>
      <c r="K936" s="149"/>
      <c r="L936" s="149"/>
      <c r="M936" s="149"/>
      <c r="N936" s="149"/>
      <c r="O936" s="149"/>
      <c r="P936" s="149"/>
      <c r="Q936" s="149"/>
      <c r="R936" s="149"/>
      <c r="S936" s="149"/>
      <c r="T936" s="149"/>
      <c r="U936" s="149"/>
      <c r="V936" s="149"/>
      <c r="W936" s="149"/>
      <c r="X936" s="149"/>
      <c r="Y936" s="149"/>
      <c r="Z936" s="149"/>
      <c r="AA936" s="149"/>
      <c r="AB936" s="149"/>
      <c r="AC936" s="149"/>
      <c r="AD936" s="149"/>
      <c r="AE936" s="149"/>
      <c r="AF936" s="149"/>
      <c r="AG936" s="149"/>
      <c r="AH936" s="149"/>
      <c r="AI936" s="149"/>
      <c r="AJ936" s="149"/>
      <c r="AK936" s="149"/>
      <c r="AL936" s="149"/>
      <c r="AM936" s="149"/>
      <c r="AN936" s="149"/>
      <c r="AO936" s="149"/>
      <c r="AP936" s="149"/>
      <c r="AR936" s="149"/>
      <c r="AS936" s="149"/>
      <c r="AT936" s="149"/>
      <c r="AU936" s="149"/>
      <c r="AV936" s="149"/>
      <c r="AW936" s="149"/>
      <c r="AX936" s="149"/>
      <c r="AY936" s="149"/>
      <c r="AZ936" s="149"/>
      <c r="BA936" s="149"/>
      <c r="BB936" s="149"/>
      <c r="BC936" s="149"/>
      <c r="BD936" s="149"/>
      <c r="BE936" s="149"/>
      <c r="BF936" s="149"/>
      <c r="BG936" s="149"/>
      <c r="BH936" s="149"/>
      <c r="BI936" s="149"/>
      <c r="BJ936" s="149"/>
      <c r="BK936" s="149"/>
      <c r="BL936" s="149"/>
      <c r="BM936" s="149"/>
      <c r="BN936" s="149"/>
      <c r="BO936" s="149"/>
      <c r="BP936" s="149"/>
      <c r="BQ936" s="149"/>
      <c r="BR936" s="149"/>
    </row>
    <row r="937" ht="34" customHeight="1" spans="1:70">
      <c r="A937" s="208">
        <v>943</v>
      </c>
      <c r="B937" s="149"/>
      <c r="C937" s="149"/>
      <c r="D937" s="149"/>
      <c r="E937" s="149"/>
      <c r="F937" s="149"/>
      <c r="G937" s="149"/>
      <c r="H937" s="149"/>
      <c r="I937" s="149"/>
      <c r="J937" s="149"/>
      <c r="K937" s="149"/>
      <c r="L937" s="149"/>
      <c r="M937" s="149"/>
      <c r="N937" s="149"/>
      <c r="O937" s="149"/>
      <c r="P937" s="149"/>
      <c r="Q937" s="149"/>
      <c r="R937" s="149"/>
      <c r="S937" s="149"/>
      <c r="T937" s="149"/>
      <c r="U937" s="149"/>
      <c r="V937" s="149"/>
      <c r="W937" s="149"/>
      <c r="X937" s="149"/>
      <c r="Y937" s="149"/>
      <c r="Z937" s="149"/>
      <c r="AA937" s="149"/>
      <c r="AB937" s="149"/>
      <c r="AC937" s="149"/>
      <c r="AD937" s="149"/>
      <c r="AE937" s="149"/>
      <c r="AF937" s="149"/>
      <c r="AG937" s="149"/>
      <c r="AH937" s="149"/>
      <c r="AI937" s="149"/>
      <c r="AJ937" s="149"/>
      <c r="AK937" s="149"/>
      <c r="AL937" s="149"/>
      <c r="AM937" s="149"/>
      <c r="AN937" s="149"/>
      <c r="AO937" s="149"/>
      <c r="AP937" s="149"/>
      <c r="AR937" s="149"/>
      <c r="AS937" s="149"/>
      <c r="AT937" s="149"/>
      <c r="AU937" s="149"/>
      <c r="AV937" s="149"/>
      <c r="AW937" s="149"/>
      <c r="AX937" s="149"/>
      <c r="AY937" s="149"/>
      <c r="AZ937" s="149"/>
      <c r="BA937" s="149"/>
      <c r="BB937" s="149"/>
      <c r="BC937" s="149"/>
      <c r="BD937" s="149"/>
      <c r="BE937" s="149"/>
      <c r="BF937" s="149"/>
      <c r="BG937" s="149"/>
      <c r="BH937" s="149"/>
      <c r="BI937" s="149"/>
      <c r="BJ937" s="149"/>
      <c r="BK937" s="149"/>
      <c r="BL937" s="149"/>
      <c r="BM937" s="149"/>
      <c r="BN937" s="149"/>
      <c r="BO937" s="149"/>
      <c r="BP937" s="149"/>
      <c r="BQ937" s="149"/>
      <c r="BR937" s="149"/>
    </row>
    <row r="938" ht="34" customHeight="1" spans="1:70">
      <c r="A938" s="208">
        <v>944</v>
      </c>
      <c r="B938" s="149"/>
      <c r="C938" s="149"/>
      <c r="D938" s="149"/>
      <c r="E938" s="149"/>
      <c r="F938" s="149"/>
      <c r="G938" s="149"/>
      <c r="H938" s="149"/>
      <c r="I938" s="149"/>
      <c r="J938" s="149"/>
      <c r="K938" s="149"/>
      <c r="L938" s="149"/>
      <c r="M938" s="149"/>
      <c r="N938" s="149"/>
      <c r="O938" s="149"/>
      <c r="P938" s="149"/>
      <c r="Q938" s="149"/>
      <c r="R938" s="149"/>
      <c r="S938" s="149"/>
      <c r="T938" s="149"/>
      <c r="U938" s="149"/>
      <c r="V938" s="149"/>
      <c r="W938" s="149"/>
      <c r="X938" s="149"/>
      <c r="Y938" s="149"/>
      <c r="Z938" s="149"/>
      <c r="AA938" s="149"/>
      <c r="AB938" s="149"/>
      <c r="AC938" s="149"/>
      <c r="AD938" s="149"/>
      <c r="AE938" s="149"/>
      <c r="AF938" s="149"/>
      <c r="AG938" s="149"/>
      <c r="AH938" s="149"/>
      <c r="AI938" s="149"/>
      <c r="AJ938" s="149"/>
      <c r="AK938" s="149"/>
      <c r="AL938" s="149"/>
      <c r="AM938" s="149"/>
      <c r="AN938" s="149"/>
      <c r="AO938" s="149"/>
      <c r="AP938" s="149"/>
      <c r="AR938" s="149"/>
      <c r="AS938" s="149"/>
      <c r="AT938" s="149"/>
      <c r="AU938" s="149"/>
      <c r="AV938" s="149"/>
      <c r="AW938" s="149"/>
      <c r="AX938" s="149"/>
      <c r="AY938" s="149"/>
      <c r="AZ938" s="149"/>
      <c r="BA938" s="149"/>
      <c r="BB938" s="149"/>
      <c r="BC938" s="149"/>
      <c r="BD938" s="149"/>
      <c r="BE938" s="149"/>
      <c r="BF938" s="149"/>
      <c r="BG938" s="149"/>
      <c r="BH938" s="149"/>
      <c r="BI938" s="149"/>
      <c r="BJ938" s="149"/>
      <c r="BK938" s="149"/>
      <c r="BL938" s="149"/>
      <c r="BM938" s="149"/>
      <c r="BN938" s="149"/>
      <c r="BO938" s="149"/>
      <c r="BP938" s="149"/>
      <c r="BQ938" s="149"/>
      <c r="BR938" s="149"/>
    </row>
    <row r="939" ht="34" customHeight="1" spans="1:70">
      <c r="A939" s="208">
        <v>945</v>
      </c>
      <c r="B939" s="149"/>
      <c r="C939" s="149"/>
      <c r="D939" s="149"/>
      <c r="E939" s="149"/>
      <c r="F939" s="149"/>
      <c r="G939" s="149"/>
      <c r="H939" s="149"/>
      <c r="I939" s="149"/>
      <c r="J939" s="149"/>
      <c r="K939" s="149"/>
      <c r="L939" s="149"/>
      <c r="M939" s="149"/>
      <c r="N939" s="149"/>
      <c r="O939" s="149"/>
      <c r="P939" s="149"/>
      <c r="Q939" s="149"/>
      <c r="R939" s="149"/>
      <c r="S939" s="149"/>
      <c r="T939" s="149"/>
      <c r="U939" s="149"/>
      <c r="V939" s="149"/>
      <c r="W939" s="149"/>
      <c r="X939" s="149"/>
      <c r="Y939" s="149"/>
      <c r="Z939" s="149"/>
      <c r="AA939" s="149"/>
      <c r="AB939" s="149"/>
      <c r="AC939" s="149"/>
      <c r="AD939" s="149"/>
      <c r="AE939" s="149"/>
      <c r="AF939" s="149"/>
      <c r="AG939" s="149"/>
      <c r="AH939" s="149"/>
      <c r="AI939" s="149"/>
      <c r="AJ939" s="149"/>
      <c r="AK939" s="149"/>
      <c r="AL939" s="149"/>
      <c r="AM939" s="149"/>
      <c r="AN939" s="149"/>
      <c r="AO939" s="149"/>
      <c r="AP939" s="149"/>
      <c r="AR939" s="149"/>
      <c r="AS939" s="149"/>
      <c r="AT939" s="149"/>
      <c r="AU939" s="149"/>
      <c r="AV939" s="149"/>
      <c r="AW939" s="149"/>
      <c r="AX939" s="149"/>
      <c r="AY939" s="149"/>
      <c r="AZ939" s="149"/>
      <c r="BA939" s="149"/>
      <c r="BB939" s="149"/>
      <c r="BC939" s="149"/>
      <c r="BD939" s="149"/>
      <c r="BE939" s="149"/>
      <c r="BF939" s="149"/>
      <c r="BG939" s="149"/>
      <c r="BH939" s="149"/>
      <c r="BI939" s="149"/>
      <c r="BJ939" s="149"/>
      <c r="BK939" s="149"/>
      <c r="BL939" s="149"/>
      <c r="BM939" s="149"/>
      <c r="BN939" s="149"/>
      <c r="BO939" s="149"/>
      <c r="BP939" s="149"/>
      <c r="BQ939" s="149"/>
      <c r="BR939" s="149"/>
    </row>
    <row r="940" ht="34" customHeight="1" spans="1:70">
      <c r="A940" s="208">
        <v>946</v>
      </c>
      <c r="B940" s="149"/>
      <c r="C940" s="149"/>
      <c r="D940" s="149"/>
      <c r="E940" s="149"/>
      <c r="F940" s="149"/>
      <c r="G940" s="149"/>
      <c r="H940" s="149"/>
      <c r="I940" s="149"/>
      <c r="J940" s="149"/>
      <c r="K940" s="149"/>
      <c r="L940" s="149"/>
      <c r="M940" s="149"/>
      <c r="N940" s="149"/>
      <c r="O940" s="149"/>
      <c r="P940" s="149"/>
      <c r="Q940" s="149"/>
      <c r="R940" s="149"/>
      <c r="S940" s="149"/>
      <c r="T940" s="149"/>
      <c r="U940" s="149"/>
      <c r="V940" s="149"/>
      <c r="W940" s="149"/>
      <c r="X940" s="149"/>
      <c r="Y940" s="149"/>
      <c r="Z940" s="149"/>
      <c r="AA940" s="149"/>
      <c r="AB940" s="149"/>
      <c r="AC940" s="149"/>
      <c r="AD940" s="149"/>
      <c r="AE940" s="149"/>
      <c r="AF940" s="149"/>
      <c r="AG940" s="149"/>
      <c r="AH940" s="149"/>
      <c r="AI940" s="149"/>
      <c r="AJ940" s="149"/>
      <c r="AK940" s="149"/>
      <c r="AL940" s="149"/>
      <c r="AM940" s="149"/>
      <c r="AN940" s="149"/>
      <c r="AO940" s="149"/>
      <c r="AP940" s="149"/>
      <c r="AR940" s="149"/>
      <c r="AS940" s="149"/>
      <c r="AT940" s="149"/>
      <c r="AU940" s="149"/>
      <c r="AV940" s="149"/>
      <c r="AW940" s="149"/>
      <c r="AX940" s="149"/>
      <c r="AY940" s="149"/>
      <c r="AZ940" s="149"/>
      <c r="BA940" s="149"/>
      <c r="BB940" s="149"/>
      <c r="BC940" s="149"/>
      <c r="BD940" s="149"/>
      <c r="BE940" s="149"/>
      <c r="BF940" s="149"/>
      <c r="BG940" s="149"/>
      <c r="BH940" s="149"/>
      <c r="BI940" s="149"/>
      <c r="BJ940" s="149"/>
      <c r="BK940" s="149"/>
      <c r="BL940" s="149"/>
      <c r="BM940" s="149"/>
      <c r="BN940" s="149"/>
      <c r="BO940" s="149"/>
      <c r="BP940" s="149"/>
      <c r="BQ940" s="149"/>
      <c r="BR940" s="149"/>
    </row>
    <row r="941" ht="34" customHeight="1" spans="1:70">
      <c r="A941" s="208">
        <v>947</v>
      </c>
      <c r="B941" s="149"/>
      <c r="C941" s="149"/>
      <c r="D941" s="149"/>
      <c r="E941" s="149"/>
      <c r="F941" s="149"/>
      <c r="G941" s="149"/>
      <c r="H941" s="149"/>
      <c r="I941" s="149"/>
      <c r="J941" s="149"/>
      <c r="K941" s="149"/>
      <c r="L941" s="149"/>
      <c r="M941" s="149"/>
      <c r="N941" s="149"/>
      <c r="O941" s="149"/>
      <c r="P941" s="149"/>
      <c r="Q941" s="149"/>
      <c r="R941" s="149"/>
      <c r="S941" s="149"/>
      <c r="T941" s="149"/>
      <c r="U941" s="149"/>
      <c r="V941" s="149"/>
      <c r="W941" s="149"/>
      <c r="X941" s="149"/>
      <c r="Y941" s="149"/>
      <c r="Z941" s="149"/>
      <c r="AA941" s="149"/>
      <c r="AB941" s="149"/>
      <c r="AC941" s="149"/>
      <c r="AD941" s="149"/>
      <c r="AE941" s="149"/>
      <c r="AF941" s="149"/>
      <c r="AG941" s="149"/>
      <c r="AH941" s="149"/>
      <c r="AI941" s="149"/>
      <c r="AJ941" s="149"/>
      <c r="AK941" s="149"/>
      <c r="AL941" s="149"/>
      <c r="AM941" s="149"/>
      <c r="AN941" s="149"/>
      <c r="AO941" s="149"/>
      <c r="AP941" s="149"/>
      <c r="AR941" s="149"/>
      <c r="AS941" s="149"/>
      <c r="AT941" s="149"/>
      <c r="AU941" s="149"/>
      <c r="AV941" s="149"/>
      <c r="AW941" s="149"/>
      <c r="AX941" s="149"/>
      <c r="AY941" s="149"/>
      <c r="AZ941" s="149"/>
      <c r="BA941" s="149"/>
      <c r="BB941" s="149"/>
      <c r="BC941" s="149"/>
      <c r="BD941" s="149"/>
      <c r="BE941" s="149"/>
      <c r="BF941" s="149"/>
      <c r="BG941" s="149"/>
      <c r="BH941" s="149"/>
      <c r="BI941" s="149"/>
      <c r="BJ941" s="149"/>
      <c r="BK941" s="149"/>
      <c r="BL941" s="149"/>
      <c r="BM941" s="149"/>
      <c r="BN941" s="149"/>
      <c r="BO941" s="149"/>
      <c r="BP941" s="149"/>
      <c r="BQ941" s="149"/>
      <c r="BR941" s="149"/>
    </row>
    <row r="942" ht="34" customHeight="1" spans="1:70">
      <c r="A942" s="208">
        <v>948</v>
      </c>
      <c r="B942" s="149"/>
      <c r="C942" s="149"/>
      <c r="D942" s="149"/>
      <c r="E942" s="149"/>
      <c r="F942" s="149"/>
      <c r="G942" s="149"/>
      <c r="H942" s="149"/>
      <c r="I942" s="149"/>
      <c r="J942" s="149"/>
      <c r="K942" s="149"/>
      <c r="L942" s="149"/>
      <c r="M942" s="149"/>
      <c r="N942" s="149"/>
      <c r="O942" s="149"/>
      <c r="P942" s="149"/>
      <c r="Q942" s="149"/>
      <c r="R942" s="149"/>
      <c r="S942" s="149"/>
      <c r="T942" s="149"/>
      <c r="U942" s="149"/>
      <c r="V942" s="149"/>
      <c r="W942" s="149"/>
      <c r="X942" s="149"/>
      <c r="Y942" s="149"/>
      <c r="Z942" s="149"/>
      <c r="AA942" s="149"/>
      <c r="AB942" s="149"/>
      <c r="AC942" s="149"/>
      <c r="AD942" s="149"/>
      <c r="AE942" s="149"/>
      <c r="AF942" s="149"/>
      <c r="AG942" s="149"/>
      <c r="AH942" s="149"/>
      <c r="AI942" s="149"/>
      <c r="AJ942" s="149"/>
      <c r="AK942" s="149"/>
      <c r="AL942" s="149"/>
      <c r="AM942" s="149"/>
      <c r="AN942" s="149"/>
      <c r="AO942" s="149"/>
      <c r="AP942" s="149"/>
      <c r="AR942" s="149"/>
      <c r="AS942" s="149"/>
      <c r="AT942" s="149"/>
      <c r="AU942" s="149"/>
      <c r="AV942" s="149"/>
      <c r="AW942" s="149"/>
      <c r="AX942" s="149"/>
      <c r="AY942" s="149"/>
      <c r="AZ942" s="149"/>
      <c r="BA942" s="149"/>
      <c r="BB942" s="149"/>
      <c r="BC942" s="149"/>
      <c r="BD942" s="149"/>
      <c r="BE942" s="149"/>
      <c r="BF942" s="149"/>
      <c r="BG942" s="149"/>
      <c r="BH942" s="149"/>
      <c r="BI942" s="149"/>
      <c r="BJ942" s="149"/>
      <c r="BK942" s="149"/>
      <c r="BL942" s="149"/>
      <c r="BM942" s="149"/>
      <c r="BN942" s="149"/>
      <c r="BO942" s="149"/>
      <c r="BP942" s="149"/>
      <c r="BQ942" s="149"/>
      <c r="BR942" s="149"/>
    </row>
    <row r="943" ht="34" customHeight="1" spans="1:70">
      <c r="A943" s="208">
        <v>949</v>
      </c>
      <c r="B943" s="149"/>
      <c r="C943" s="149"/>
      <c r="D943" s="149"/>
      <c r="E943" s="149"/>
      <c r="F943" s="149"/>
      <c r="G943" s="149"/>
      <c r="H943" s="149"/>
      <c r="I943" s="149"/>
      <c r="J943" s="149"/>
      <c r="K943" s="149"/>
      <c r="L943" s="149"/>
      <c r="M943" s="149"/>
      <c r="N943" s="149"/>
      <c r="O943" s="149"/>
      <c r="P943" s="149"/>
      <c r="Q943" s="149"/>
      <c r="R943" s="149"/>
      <c r="S943" s="149"/>
      <c r="T943" s="149"/>
      <c r="U943" s="149"/>
      <c r="V943" s="149"/>
      <c r="W943" s="149"/>
      <c r="X943" s="149"/>
      <c r="Y943" s="149"/>
      <c r="Z943" s="149"/>
      <c r="AA943" s="149"/>
      <c r="AB943" s="149"/>
      <c r="AC943" s="149"/>
      <c r="AD943" s="149"/>
      <c r="AE943" s="149"/>
      <c r="AF943" s="149"/>
      <c r="AG943" s="149"/>
      <c r="AH943" s="149"/>
      <c r="AI943" s="149"/>
      <c r="AJ943" s="149"/>
      <c r="AK943" s="149"/>
      <c r="AL943" s="149"/>
      <c r="AM943" s="149"/>
      <c r="AN943" s="149"/>
      <c r="AO943" s="149"/>
      <c r="AP943" s="149"/>
      <c r="AR943" s="149"/>
      <c r="AS943" s="149"/>
      <c r="AT943" s="149"/>
      <c r="AU943" s="149"/>
      <c r="AV943" s="149"/>
      <c r="AW943" s="149"/>
      <c r="AX943" s="149"/>
      <c r="AY943" s="149"/>
      <c r="AZ943" s="149"/>
      <c r="BA943" s="149"/>
      <c r="BB943" s="149"/>
      <c r="BC943" s="149"/>
      <c r="BD943" s="149"/>
      <c r="BE943" s="149"/>
      <c r="BF943" s="149"/>
      <c r="BG943" s="149"/>
      <c r="BH943" s="149"/>
      <c r="BI943" s="149"/>
      <c r="BJ943" s="149"/>
      <c r="BK943" s="149"/>
      <c r="BL943" s="149"/>
      <c r="BM943" s="149"/>
      <c r="BN943" s="149"/>
      <c r="BO943" s="149"/>
      <c r="BP943" s="149"/>
      <c r="BQ943" s="149"/>
      <c r="BR943" s="149"/>
    </row>
    <row r="944" ht="34" customHeight="1" spans="1:70">
      <c r="A944" s="208">
        <v>950</v>
      </c>
      <c r="B944" s="149"/>
      <c r="C944" s="149"/>
      <c r="D944" s="149"/>
      <c r="E944" s="149"/>
      <c r="F944" s="149"/>
      <c r="G944" s="149"/>
      <c r="H944" s="149"/>
      <c r="I944" s="149"/>
      <c r="J944" s="149"/>
      <c r="K944" s="149"/>
      <c r="L944" s="149"/>
      <c r="M944" s="149"/>
      <c r="N944" s="149"/>
      <c r="O944" s="149"/>
      <c r="P944" s="149"/>
      <c r="Q944" s="149"/>
      <c r="R944" s="149"/>
      <c r="S944" s="149"/>
      <c r="T944" s="149"/>
      <c r="U944" s="149"/>
      <c r="V944" s="149"/>
      <c r="W944" s="149"/>
      <c r="X944" s="149"/>
      <c r="Y944" s="149"/>
      <c r="Z944" s="149"/>
      <c r="AA944" s="149"/>
      <c r="AB944" s="149"/>
      <c r="AC944" s="149"/>
      <c r="AD944" s="149"/>
      <c r="AE944" s="149"/>
      <c r="AF944" s="149"/>
      <c r="AG944" s="149"/>
      <c r="AH944" s="149"/>
      <c r="AI944" s="149"/>
      <c r="AJ944" s="149"/>
      <c r="AK944" s="149"/>
      <c r="AL944" s="149"/>
      <c r="AM944" s="149"/>
      <c r="AN944" s="149"/>
      <c r="AO944" s="149"/>
      <c r="AP944" s="149"/>
      <c r="AR944" s="149"/>
      <c r="AS944" s="149"/>
      <c r="AT944" s="149"/>
      <c r="AU944" s="149"/>
      <c r="AV944" s="149"/>
      <c r="AW944" s="149"/>
      <c r="AX944" s="149"/>
      <c r="AY944" s="149"/>
      <c r="AZ944" s="149"/>
      <c r="BA944" s="149"/>
      <c r="BB944" s="149"/>
      <c r="BC944" s="149"/>
      <c r="BD944" s="149"/>
      <c r="BE944" s="149"/>
      <c r="BF944" s="149"/>
      <c r="BG944" s="149"/>
      <c r="BH944" s="149"/>
      <c r="BI944" s="149"/>
      <c r="BJ944" s="149"/>
      <c r="BK944" s="149"/>
      <c r="BL944" s="149"/>
      <c r="BM944" s="149"/>
      <c r="BN944" s="149"/>
      <c r="BO944" s="149"/>
      <c r="BP944" s="149"/>
      <c r="BQ944" s="149"/>
      <c r="BR944" s="149"/>
    </row>
    <row r="945" ht="34" customHeight="1" spans="1:70">
      <c r="A945" s="208">
        <v>951</v>
      </c>
      <c r="B945" s="149"/>
      <c r="C945" s="149"/>
      <c r="D945" s="149"/>
      <c r="E945" s="149"/>
      <c r="F945" s="149"/>
      <c r="G945" s="149"/>
      <c r="H945" s="149"/>
      <c r="I945" s="149"/>
      <c r="J945" s="149"/>
      <c r="K945" s="149"/>
      <c r="L945" s="149"/>
      <c r="M945" s="149"/>
      <c r="N945" s="149"/>
      <c r="O945" s="149"/>
      <c r="P945" s="149"/>
      <c r="Q945" s="149"/>
      <c r="R945" s="149"/>
      <c r="S945" s="149"/>
      <c r="T945" s="149"/>
      <c r="U945" s="149"/>
      <c r="V945" s="149"/>
      <c r="W945" s="149"/>
      <c r="X945" s="149"/>
      <c r="Y945" s="149"/>
      <c r="Z945" s="149"/>
      <c r="AA945" s="149"/>
      <c r="AB945" s="149"/>
      <c r="AC945" s="149"/>
      <c r="AD945" s="149"/>
      <c r="AE945" s="149"/>
      <c r="AF945" s="149"/>
      <c r="AG945" s="149"/>
      <c r="AH945" s="149"/>
      <c r="AI945" s="149"/>
      <c r="AJ945" s="149"/>
      <c r="AK945" s="149"/>
      <c r="AL945" s="149"/>
      <c r="AM945" s="149"/>
      <c r="AN945" s="149"/>
      <c r="AO945" s="149"/>
      <c r="AP945" s="149"/>
      <c r="AR945" s="149"/>
      <c r="AS945" s="149"/>
      <c r="AT945" s="149"/>
      <c r="AU945" s="149"/>
      <c r="AV945" s="149"/>
      <c r="AW945" s="149"/>
      <c r="AX945" s="149"/>
      <c r="AY945" s="149"/>
      <c r="AZ945" s="149"/>
      <c r="BA945" s="149"/>
      <c r="BB945" s="149"/>
      <c r="BC945" s="149"/>
      <c r="BD945" s="149"/>
      <c r="BE945" s="149"/>
      <c r="BF945" s="149"/>
      <c r="BG945" s="149"/>
      <c r="BH945" s="149"/>
      <c r="BI945" s="149"/>
      <c r="BJ945" s="149"/>
      <c r="BK945" s="149"/>
      <c r="BL945" s="149"/>
      <c r="BM945" s="149"/>
      <c r="BN945" s="149"/>
      <c r="BO945" s="149"/>
      <c r="BP945" s="149"/>
      <c r="BQ945" s="149"/>
      <c r="BR945" s="149"/>
    </row>
    <row r="946" ht="34" customHeight="1" spans="1:70">
      <c r="A946" s="208">
        <v>952</v>
      </c>
      <c r="B946" s="149"/>
      <c r="C946" s="149"/>
      <c r="D946" s="149"/>
      <c r="E946" s="149"/>
      <c r="F946" s="149"/>
      <c r="G946" s="149"/>
      <c r="H946" s="149"/>
      <c r="I946" s="149"/>
      <c r="J946" s="149"/>
      <c r="K946" s="149"/>
      <c r="L946" s="149"/>
      <c r="M946" s="149"/>
      <c r="N946" s="149"/>
      <c r="O946" s="149"/>
      <c r="P946" s="149"/>
      <c r="Q946" s="149"/>
      <c r="R946" s="149"/>
      <c r="S946" s="149"/>
      <c r="T946" s="149"/>
      <c r="U946" s="149"/>
      <c r="V946" s="149"/>
      <c r="W946" s="149"/>
      <c r="X946" s="149"/>
      <c r="Y946" s="149"/>
      <c r="Z946" s="149"/>
      <c r="AA946" s="149"/>
      <c r="AB946" s="149"/>
      <c r="AC946" s="149"/>
      <c r="AD946" s="149"/>
      <c r="AE946" s="149"/>
      <c r="AF946" s="149"/>
      <c r="AG946" s="149"/>
      <c r="AH946" s="149"/>
      <c r="AI946" s="149"/>
      <c r="AJ946" s="149"/>
      <c r="AK946" s="149"/>
      <c r="AL946" s="149"/>
      <c r="AM946" s="149"/>
      <c r="AN946" s="149"/>
      <c r="AO946" s="149"/>
      <c r="AP946" s="149"/>
      <c r="AR946" s="149"/>
      <c r="AS946" s="149"/>
      <c r="AT946" s="149"/>
      <c r="AU946" s="149"/>
      <c r="AV946" s="149"/>
      <c r="AW946" s="149"/>
      <c r="AX946" s="149"/>
      <c r="AY946" s="149"/>
      <c r="AZ946" s="149"/>
      <c r="BA946" s="149"/>
      <c r="BB946" s="149"/>
      <c r="BC946" s="149"/>
      <c r="BD946" s="149"/>
      <c r="BE946" s="149"/>
      <c r="BF946" s="149"/>
      <c r="BG946" s="149"/>
      <c r="BH946" s="149"/>
      <c r="BI946" s="149"/>
      <c r="BJ946" s="149"/>
      <c r="BK946" s="149"/>
      <c r="BL946" s="149"/>
      <c r="BM946" s="149"/>
      <c r="BN946" s="149"/>
      <c r="BO946" s="149"/>
      <c r="BP946" s="149"/>
      <c r="BQ946" s="149"/>
      <c r="BR946" s="149"/>
    </row>
    <row r="947" ht="34" customHeight="1" spans="1:70">
      <c r="A947" s="208">
        <v>953</v>
      </c>
      <c r="B947" s="149"/>
      <c r="C947" s="149"/>
      <c r="D947" s="149"/>
      <c r="E947" s="149"/>
      <c r="F947" s="149"/>
      <c r="G947" s="149"/>
      <c r="H947" s="149"/>
      <c r="I947" s="149"/>
      <c r="J947" s="149"/>
      <c r="K947" s="149"/>
      <c r="L947" s="149"/>
      <c r="M947" s="149"/>
      <c r="N947" s="149"/>
      <c r="O947" s="149"/>
      <c r="P947" s="149"/>
      <c r="Q947" s="149"/>
      <c r="R947" s="149"/>
      <c r="S947" s="149"/>
      <c r="T947" s="149"/>
      <c r="U947" s="149"/>
      <c r="V947" s="149"/>
      <c r="W947" s="149"/>
      <c r="X947" s="149"/>
      <c r="Y947" s="149"/>
      <c r="Z947" s="149"/>
      <c r="AA947" s="149"/>
      <c r="AB947" s="149"/>
      <c r="AC947" s="149"/>
      <c r="AD947" s="149"/>
      <c r="AE947" s="149"/>
      <c r="AF947" s="149"/>
      <c r="AG947" s="149"/>
      <c r="AH947" s="149"/>
      <c r="AI947" s="149"/>
      <c r="AJ947" s="149"/>
      <c r="AK947" s="149"/>
      <c r="AL947" s="149"/>
      <c r="AM947" s="149"/>
      <c r="AN947" s="149"/>
      <c r="AO947" s="149"/>
      <c r="AP947" s="149"/>
      <c r="AR947" s="149"/>
      <c r="AS947" s="149"/>
      <c r="AT947" s="149"/>
      <c r="AU947" s="149"/>
      <c r="AV947" s="149"/>
      <c r="AW947" s="149"/>
      <c r="AX947" s="149"/>
      <c r="AY947" s="149"/>
      <c r="AZ947" s="149"/>
      <c r="BA947" s="149"/>
      <c r="BB947" s="149"/>
      <c r="BC947" s="149"/>
      <c r="BD947" s="149"/>
      <c r="BE947" s="149"/>
      <c r="BF947" s="149"/>
      <c r="BG947" s="149"/>
      <c r="BH947" s="149"/>
      <c r="BI947" s="149"/>
      <c r="BJ947" s="149"/>
      <c r="BK947" s="149"/>
      <c r="BL947" s="149"/>
      <c r="BM947" s="149"/>
      <c r="BN947" s="149"/>
      <c r="BO947" s="149"/>
      <c r="BP947" s="149"/>
      <c r="BQ947" s="149"/>
      <c r="BR947" s="149"/>
    </row>
    <row r="948" ht="34" customHeight="1" spans="1:70">
      <c r="A948" s="208">
        <v>954</v>
      </c>
      <c r="B948" s="149"/>
      <c r="C948" s="149"/>
      <c r="D948" s="149"/>
      <c r="E948" s="149"/>
      <c r="F948" s="149"/>
      <c r="G948" s="149"/>
      <c r="H948" s="149"/>
      <c r="I948" s="149"/>
      <c r="J948" s="149"/>
      <c r="K948" s="149"/>
      <c r="L948" s="149"/>
      <c r="M948" s="149"/>
      <c r="N948" s="149"/>
      <c r="O948" s="149"/>
      <c r="P948" s="149"/>
      <c r="Q948" s="149"/>
      <c r="R948" s="149"/>
      <c r="S948" s="149"/>
      <c r="T948" s="149"/>
      <c r="U948" s="149"/>
      <c r="V948" s="149"/>
      <c r="W948" s="149"/>
      <c r="X948" s="149"/>
      <c r="Y948" s="149"/>
      <c r="Z948" s="149"/>
      <c r="AA948" s="149"/>
      <c r="AB948" s="149"/>
      <c r="AC948" s="149"/>
      <c r="AD948" s="149"/>
      <c r="AE948" s="149"/>
      <c r="AF948" s="149"/>
      <c r="AG948" s="149"/>
      <c r="AH948" s="149"/>
      <c r="AI948" s="149"/>
      <c r="AJ948" s="149"/>
      <c r="AK948" s="149"/>
      <c r="AL948" s="149"/>
      <c r="AM948" s="149"/>
      <c r="AN948" s="149"/>
      <c r="AO948" s="149"/>
      <c r="AP948" s="149"/>
      <c r="AR948" s="149"/>
      <c r="AS948" s="149"/>
      <c r="AT948" s="149"/>
      <c r="AU948" s="149"/>
      <c r="AV948" s="149"/>
      <c r="AW948" s="149"/>
      <c r="AX948" s="149"/>
      <c r="AY948" s="149"/>
      <c r="AZ948" s="149"/>
      <c r="BA948" s="149"/>
      <c r="BB948" s="149"/>
      <c r="BC948" s="149"/>
      <c r="BD948" s="149"/>
      <c r="BE948" s="149"/>
      <c r="BF948" s="149"/>
      <c r="BG948" s="149"/>
      <c r="BH948" s="149"/>
      <c r="BI948" s="149"/>
      <c r="BJ948" s="149"/>
      <c r="BK948" s="149"/>
      <c r="BL948" s="149"/>
      <c r="BM948" s="149"/>
      <c r="BN948" s="149"/>
      <c r="BO948" s="149"/>
      <c r="BP948" s="149"/>
      <c r="BQ948" s="149"/>
      <c r="BR948" s="149"/>
    </row>
    <row r="949" ht="34" customHeight="1" spans="1:70">
      <c r="A949" s="208">
        <v>955</v>
      </c>
      <c r="B949" s="149"/>
      <c r="C949" s="149"/>
      <c r="D949" s="149"/>
      <c r="E949" s="149"/>
      <c r="F949" s="149"/>
      <c r="G949" s="149"/>
      <c r="H949" s="149"/>
      <c r="I949" s="149"/>
      <c r="J949" s="149"/>
      <c r="K949" s="149"/>
      <c r="L949" s="149"/>
      <c r="M949" s="149"/>
      <c r="N949" s="149"/>
      <c r="O949" s="149"/>
      <c r="P949" s="149"/>
      <c r="Q949" s="149"/>
      <c r="R949" s="149"/>
      <c r="S949" s="149"/>
      <c r="T949" s="149"/>
      <c r="U949" s="149"/>
      <c r="V949" s="149"/>
      <c r="W949" s="149"/>
      <c r="X949" s="149"/>
      <c r="Y949" s="149"/>
      <c r="Z949" s="149"/>
      <c r="AA949" s="149"/>
      <c r="AB949" s="149"/>
      <c r="AC949" s="149"/>
      <c r="AD949" s="149"/>
      <c r="AE949" s="149"/>
      <c r="AF949" s="149"/>
      <c r="AG949" s="149"/>
      <c r="AH949" s="149"/>
      <c r="AI949" s="149"/>
      <c r="AJ949" s="149"/>
      <c r="AK949" s="149"/>
      <c r="AL949" s="149"/>
      <c r="AM949" s="149"/>
      <c r="AN949" s="149"/>
      <c r="AO949" s="149"/>
      <c r="AP949" s="149"/>
      <c r="AR949" s="149"/>
      <c r="AS949" s="149"/>
      <c r="AT949" s="149"/>
      <c r="AU949" s="149"/>
      <c r="AV949" s="149"/>
      <c r="AW949" s="149"/>
      <c r="AX949" s="149"/>
      <c r="AY949" s="149"/>
      <c r="AZ949" s="149"/>
      <c r="BA949" s="149"/>
      <c r="BB949" s="149"/>
      <c r="BC949" s="149"/>
      <c r="BD949" s="149"/>
      <c r="BE949" s="149"/>
      <c r="BF949" s="149"/>
      <c r="BG949" s="149"/>
      <c r="BH949" s="149"/>
      <c r="BI949" s="149"/>
      <c r="BJ949" s="149"/>
      <c r="BK949" s="149"/>
      <c r="BL949" s="149"/>
      <c r="BM949" s="149"/>
      <c r="BN949" s="149"/>
      <c r="BO949" s="149"/>
      <c r="BP949" s="149"/>
      <c r="BQ949" s="149"/>
      <c r="BR949" s="149"/>
    </row>
    <row r="950" ht="34" customHeight="1" spans="1:70">
      <c r="A950" s="208">
        <v>956</v>
      </c>
      <c r="B950" s="149"/>
      <c r="C950" s="149"/>
      <c r="D950" s="149"/>
      <c r="E950" s="149"/>
      <c r="F950" s="149"/>
      <c r="G950" s="149"/>
      <c r="H950" s="149"/>
      <c r="I950" s="149"/>
      <c r="J950" s="149"/>
      <c r="K950" s="149"/>
      <c r="L950" s="149"/>
      <c r="M950" s="149"/>
      <c r="N950" s="149"/>
      <c r="O950" s="149"/>
      <c r="P950" s="149"/>
      <c r="Q950" s="149"/>
      <c r="R950" s="149"/>
      <c r="S950" s="149"/>
      <c r="T950" s="149"/>
      <c r="U950" s="149"/>
      <c r="V950" s="149"/>
      <c r="W950" s="149"/>
      <c r="X950" s="149"/>
      <c r="Y950" s="149"/>
      <c r="Z950" s="149"/>
      <c r="AA950" s="149"/>
      <c r="AB950" s="149"/>
      <c r="AC950" s="149"/>
      <c r="AD950" s="149"/>
      <c r="AE950" s="149"/>
      <c r="AF950" s="149"/>
      <c r="AG950" s="149"/>
      <c r="AH950" s="149"/>
      <c r="AI950" s="149"/>
      <c r="AJ950" s="149"/>
      <c r="AK950" s="149"/>
      <c r="AL950" s="149"/>
      <c r="AM950" s="149"/>
      <c r="AN950" s="149"/>
      <c r="AO950" s="149"/>
      <c r="AP950" s="149"/>
      <c r="AR950" s="149"/>
      <c r="AS950" s="149"/>
      <c r="AT950" s="149"/>
      <c r="AU950" s="149"/>
      <c r="AV950" s="149"/>
      <c r="AW950" s="149"/>
      <c r="AX950" s="149"/>
      <c r="AY950" s="149"/>
      <c r="AZ950" s="149"/>
      <c r="BA950" s="149"/>
      <c r="BB950" s="149"/>
      <c r="BC950" s="149"/>
      <c r="BD950" s="149"/>
      <c r="BE950" s="149"/>
      <c r="BF950" s="149"/>
      <c r="BG950" s="149"/>
      <c r="BH950" s="149"/>
      <c r="BI950" s="149"/>
      <c r="BJ950" s="149"/>
      <c r="BK950" s="149"/>
      <c r="BL950" s="149"/>
      <c r="BM950" s="149"/>
      <c r="BN950" s="149"/>
      <c r="BO950" s="149"/>
      <c r="BP950" s="149"/>
      <c r="BQ950" s="149"/>
      <c r="BR950" s="149"/>
    </row>
    <row r="951" ht="34" customHeight="1" spans="1:70">
      <c r="A951" s="208">
        <v>957</v>
      </c>
      <c r="B951" s="149"/>
      <c r="C951" s="149"/>
      <c r="D951" s="149"/>
      <c r="E951" s="149"/>
      <c r="F951" s="149"/>
      <c r="G951" s="149"/>
      <c r="H951" s="149"/>
      <c r="I951" s="149"/>
      <c r="J951" s="149"/>
      <c r="K951" s="149"/>
      <c r="L951" s="149"/>
      <c r="M951" s="149"/>
      <c r="N951" s="149"/>
      <c r="O951" s="149"/>
      <c r="P951" s="149"/>
      <c r="Q951" s="149"/>
      <c r="R951" s="149"/>
      <c r="S951" s="149"/>
      <c r="T951" s="149"/>
      <c r="U951" s="149"/>
      <c r="V951" s="149"/>
      <c r="W951" s="149"/>
      <c r="X951" s="149"/>
      <c r="Y951" s="149"/>
      <c r="Z951" s="149"/>
      <c r="AA951" s="149"/>
      <c r="AB951" s="149"/>
      <c r="AC951" s="149"/>
      <c r="AD951" s="149"/>
      <c r="AE951" s="149"/>
      <c r="AF951" s="149"/>
      <c r="AG951" s="149"/>
      <c r="AH951" s="149"/>
      <c r="AI951" s="149"/>
      <c r="AJ951" s="149"/>
      <c r="AK951" s="149"/>
      <c r="AL951" s="149"/>
      <c r="AM951" s="149"/>
      <c r="AN951" s="149"/>
      <c r="AO951" s="149"/>
      <c r="AP951" s="149"/>
      <c r="AR951" s="149"/>
      <c r="AS951" s="149"/>
      <c r="AT951" s="149"/>
      <c r="AU951" s="149"/>
      <c r="AV951" s="149"/>
      <c r="AW951" s="149"/>
      <c r="AX951" s="149"/>
      <c r="AY951" s="149"/>
      <c r="AZ951" s="149"/>
      <c r="BA951" s="149"/>
      <c r="BB951" s="149"/>
      <c r="BC951" s="149"/>
      <c r="BD951" s="149"/>
      <c r="BE951" s="149"/>
      <c r="BF951" s="149"/>
      <c r="BG951" s="149"/>
      <c r="BH951" s="149"/>
      <c r="BI951" s="149"/>
      <c r="BJ951" s="149"/>
      <c r="BK951" s="149"/>
      <c r="BL951" s="149"/>
      <c r="BM951" s="149"/>
      <c r="BN951" s="149"/>
      <c r="BO951" s="149"/>
      <c r="BP951" s="149"/>
      <c r="BQ951" s="149"/>
      <c r="BR951" s="149"/>
    </row>
    <row r="952" ht="34" customHeight="1" spans="1:70">
      <c r="A952" s="208">
        <v>958</v>
      </c>
      <c r="B952" s="149"/>
      <c r="C952" s="149"/>
      <c r="D952" s="149"/>
      <c r="E952" s="149"/>
      <c r="F952" s="149"/>
      <c r="G952" s="149"/>
      <c r="H952" s="149"/>
      <c r="I952" s="149"/>
      <c r="J952" s="149"/>
      <c r="K952" s="149"/>
      <c r="L952" s="149"/>
      <c r="M952" s="149"/>
      <c r="N952" s="149"/>
      <c r="O952" s="149"/>
      <c r="P952" s="149"/>
      <c r="Q952" s="149"/>
      <c r="R952" s="149"/>
      <c r="S952" s="149"/>
      <c r="T952" s="149"/>
      <c r="U952" s="149"/>
      <c r="V952" s="149"/>
      <c r="W952" s="149"/>
      <c r="X952" s="149"/>
      <c r="Y952" s="149"/>
      <c r="Z952" s="149"/>
      <c r="AA952" s="149"/>
      <c r="AB952" s="149"/>
      <c r="AC952" s="149"/>
      <c r="AD952" s="149"/>
      <c r="AE952" s="149"/>
      <c r="AF952" s="149"/>
      <c r="AG952" s="149"/>
      <c r="AH952" s="149"/>
      <c r="AI952" s="149"/>
      <c r="AJ952" s="149"/>
      <c r="AK952" s="149"/>
      <c r="AL952" s="149"/>
      <c r="AM952" s="149"/>
      <c r="AN952" s="149"/>
      <c r="AO952" s="149"/>
      <c r="AP952" s="149"/>
      <c r="AR952" s="149"/>
      <c r="AS952" s="149"/>
      <c r="AT952" s="149"/>
      <c r="AU952" s="149"/>
      <c r="AV952" s="149"/>
      <c r="AW952" s="149"/>
      <c r="AX952" s="149"/>
      <c r="AY952" s="149"/>
      <c r="AZ952" s="149"/>
      <c r="BA952" s="149"/>
      <c r="BB952" s="149"/>
      <c r="BC952" s="149"/>
      <c r="BD952" s="149"/>
      <c r="BE952" s="149"/>
      <c r="BF952" s="149"/>
      <c r="BG952" s="149"/>
      <c r="BH952" s="149"/>
      <c r="BI952" s="149"/>
      <c r="BJ952" s="149"/>
      <c r="BK952" s="149"/>
      <c r="BL952" s="149"/>
      <c r="BM952" s="149"/>
      <c r="BN952" s="149"/>
      <c r="BO952" s="149"/>
      <c r="BP952" s="149"/>
      <c r="BQ952" s="149"/>
      <c r="BR952" s="149"/>
    </row>
    <row r="953" ht="34" customHeight="1" spans="1:70">
      <c r="A953" s="208">
        <v>959</v>
      </c>
      <c r="B953" s="149"/>
      <c r="C953" s="149"/>
      <c r="D953" s="149"/>
      <c r="E953" s="149"/>
      <c r="F953" s="149"/>
      <c r="G953" s="149"/>
      <c r="H953" s="149"/>
      <c r="I953" s="149"/>
      <c r="J953" s="149"/>
      <c r="K953" s="149"/>
      <c r="L953" s="149"/>
      <c r="M953" s="149"/>
      <c r="N953" s="149"/>
      <c r="O953" s="149"/>
      <c r="P953" s="149"/>
      <c r="Q953" s="149"/>
      <c r="R953" s="149"/>
      <c r="S953" s="149"/>
      <c r="T953" s="149"/>
      <c r="U953" s="149"/>
      <c r="V953" s="149"/>
      <c r="W953" s="149"/>
      <c r="X953" s="149"/>
      <c r="Y953" s="149"/>
      <c r="Z953" s="149"/>
      <c r="AA953" s="149"/>
      <c r="AB953" s="149"/>
      <c r="AC953" s="149"/>
      <c r="AD953" s="149"/>
      <c r="AE953" s="149"/>
      <c r="AF953" s="149"/>
      <c r="AG953" s="149"/>
      <c r="AH953" s="149"/>
      <c r="AI953" s="149"/>
      <c r="AJ953" s="149"/>
      <c r="AK953" s="149"/>
      <c r="AL953" s="149"/>
      <c r="AM953" s="149"/>
      <c r="AN953" s="149"/>
      <c r="AO953" s="149"/>
      <c r="AP953" s="149"/>
      <c r="AR953" s="149"/>
      <c r="AS953" s="149"/>
      <c r="AT953" s="149"/>
      <c r="AU953" s="149"/>
      <c r="AV953" s="149"/>
      <c r="AW953" s="149"/>
      <c r="AX953" s="149"/>
      <c r="AY953" s="149"/>
      <c r="AZ953" s="149"/>
      <c r="BA953" s="149"/>
      <c r="BB953" s="149"/>
      <c r="BC953" s="149"/>
      <c r="BD953" s="149"/>
      <c r="BE953" s="149"/>
      <c r="BF953" s="149"/>
      <c r="BG953" s="149"/>
      <c r="BH953" s="149"/>
      <c r="BI953" s="149"/>
      <c r="BJ953" s="149"/>
      <c r="BK953" s="149"/>
      <c r="BL953" s="149"/>
      <c r="BM953" s="149"/>
      <c r="BN953" s="149"/>
      <c r="BO953" s="149"/>
      <c r="BP953" s="149"/>
      <c r="BQ953" s="149"/>
      <c r="BR953" s="149"/>
    </row>
    <row r="954" ht="34" customHeight="1" spans="1:70">
      <c r="A954" s="208">
        <v>960</v>
      </c>
      <c r="B954" s="149"/>
      <c r="C954" s="149"/>
      <c r="D954" s="149"/>
      <c r="E954" s="149"/>
      <c r="F954" s="149"/>
      <c r="G954" s="149"/>
      <c r="H954" s="149"/>
      <c r="I954" s="149"/>
      <c r="J954" s="149"/>
      <c r="K954" s="149"/>
      <c r="L954" s="149"/>
      <c r="M954" s="149"/>
      <c r="N954" s="149"/>
      <c r="O954" s="149"/>
      <c r="P954" s="149"/>
      <c r="Q954" s="149"/>
      <c r="R954" s="149"/>
      <c r="S954" s="149"/>
      <c r="T954" s="149"/>
      <c r="U954" s="149"/>
      <c r="V954" s="149"/>
      <c r="W954" s="149"/>
      <c r="X954" s="149"/>
      <c r="Y954" s="149"/>
      <c r="Z954" s="149"/>
      <c r="AA954" s="149"/>
      <c r="AB954" s="149"/>
      <c r="AC954" s="149"/>
      <c r="AD954" s="149"/>
      <c r="AE954" s="149"/>
      <c r="AF954" s="149"/>
      <c r="AG954" s="149"/>
      <c r="AH954" s="149"/>
      <c r="AI954" s="149"/>
      <c r="AJ954" s="149"/>
      <c r="AK954" s="149"/>
      <c r="AL954" s="149"/>
      <c r="AM954" s="149"/>
      <c r="AN954" s="149"/>
      <c r="AO954" s="149"/>
      <c r="AP954" s="149"/>
      <c r="AR954" s="149"/>
      <c r="AS954" s="149"/>
      <c r="AT954" s="149"/>
      <c r="AU954" s="149"/>
      <c r="AV954" s="149"/>
      <c r="AW954" s="149"/>
      <c r="AX954" s="149"/>
      <c r="AY954" s="149"/>
      <c r="AZ954" s="149"/>
      <c r="BA954" s="149"/>
      <c r="BB954" s="149"/>
      <c r="BC954" s="149"/>
      <c r="BD954" s="149"/>
      <c r="BE954" s="149"/>
      <c r="BF954" s="149"/>
      <c r="BG954" s="149"/>
      <c r="BH954" s="149"/>
      <c r="BI954" s="149"/>
      <c r="BJ954" s="149"/>
      <c r="BK954" s="149"/>
      <c r="BL954" s="149"/>
      <c r="BM954" s="149"/>
      <c r="BN954" s="149"/>
      <c r="BO954" s="149"/>
      <c r="BP954" s="149"/>
      <c r="BQ954" s="149"/>
      <c r="BR954" s="149"/>
    </row>
    <row r="955" ht="34" customHeight="1" spans="1:70">
      <c r="A955" s="208">
        <v>961</v>
      </c>
      <c r="B955" s="149"/>
      <c r="C955" s="149"/>
      <c r="D955" s="149"/>
      <c r="E955" s="149"/>
      <c r="F955" s="149"/>
      <c r="G955" s="149"/>
      <c r="H955" s="149"/>
      <c r="I955" s="149"/>
      <c r="J955" s="149"/>
      <c r="K955" s="149"/>
      <c r="L955" s="149"/>
      <c r="M955" s="149"/>
      <c r="N955" s="149"/>
      <c r="O955" s="149"/>
      <c r="P955" s="149"/>
      <c r="Q955" s="149"/>
      <c r="R955" s="149"/>
      <c r="S955" s="149"/>
      <c r="T955" s="149"/>
      <c r="U955" s="149"/>
      <c r="V955" s="149"/>
      <c r="W955" s="149"/>
      <c r="X955" s="149"/>
      <c r="Y955" s="149"/>
      <c r="Z955" s="149"/>
      <c r="AA955" s="149"/>
      <c r="AB955" s="149"/>
      <c r="AC955" s="149"/>
      <c r="AD955" s="149"/>
      <c r="AE955" s="149"/>
      <c r="AF955" s="149"/>
      <c r="AG955" s="149"/>
      <c r="AH955" s="149"/>
      <c r="AI955" s="149"/>
      <c r="AJ955" s="149"/>
      <c r="AK955" s="149"/>
      <c r="AL955" s="149"/>
      <c r="AM955" s="149"/>
      <c r="AN955" s="149"/>
      <c r="AO955" s="149"/>
      <c r="AP955" s="149"/>
      <c r="AR955" s="149"/>
      <c r="AS955" s="149"/>
      <c r="AT955" s="149"/>
      <c r="AU955" s="149"/>
      <c r="AV955" s="149"/>
      <c r="AW955" s="149"/>
      <c r="AX955" s="149"/>
      <c r="AY955" s="149"/>
      <c r="AZ955" s="149"/>
      <c r="BA955" s="149"/>
      <c r="BB955" s="149"/>
      <c r="BC955" s="149"/>
      <c r="BD955" s="149"/>
      <c r="BE955" s="149"/>
      <c r="BF955" s="149"/>
      <c r="BG955" s="149"/>
      <c r="BH955" s="149"/>
      <c r="BI955" s="149"/>
      <c r="BJ955" s="149"/>
      <c r="BK955" s="149"/>
      <c r="BL955" s="149"/>
      <c r="BM955" s="149"/>
      <c r="BN955" s="149"/>
      <c r="BO955" s="149"/>
      <c r="BP955" s="149"/>
      <c r="BQ955" s="149"/>
      <c r="BR955" s="149"/>
    </row>
    <row r="956" ht="34" customHeight="1" spans="1:70">
      <c r="A956" s="208">
        <v>962</v>
      </c>
      <c r="B956" s="149"/>
      <c r="C956" s="149"/>
      <c r="D956" s="149"/>
      <c r="E956" s="149"/>
      <c r="F956" s="149"/>
      <c r="G956" s="149"/>
      <c r="H956" s="149"/>
      <c r="I956" s="149"/>
      <c r="J956" s="149"/>
      <c r="K956" s="149"/>
      <c r="L956" s="149"/>
      <c r="M956" s="149"/>
      <c r="N956" s="149"/>
      <c r="O956" s="149"/>
      <c r="P956" s="149"/>
      <c r="Q956" s="149"/>
      <c r="R956" s="149"/>
      <c r="S956" s="149"/>
      <c r="T956" s="149"/>
      <c r="U956" s="149"/>
      <c r="V956" s="149"/>
      <c r="W956" s="149"/>
      <c r="X956" s="149"/>
      <c r="Y956" s="149"/>
      <c r="Z956" s="149"/>
      <c r="AA956" s="149"/>
      <c r="AB956" s="149"/>
      <c r="AC956" s="149"/>
      <c r="AD956" s="149"/>
      <c r="AE956" s="149"/>
      <c r="AF956" s="149"/>
      <c r="AG956" s="149"/>
      <c r="AH956" s="149"/>
      <c r="AI956" s="149"/>
      <c r="AJ956" s="149"/>
      <c r="AK956" s="149"/>
      <c r="AL956" s="149"/>
      <c r="AM956" s="149"/>
      <c r="AN956" s="149"/>
      <c r="AO956" s="149"/>
      <c r="AP956" s="149"/>
      <c r="AR956" s="149"/>
      <c r="AS956" s="149"/>
      <c r="AT956" s="149"/>
      <c r="AU956" s="149"/>
      <c r="AV956" s="149"/>
      <c r="AW956" s="149"/>
      <c r="AX956" s="149"/>
      <c r="AY956" s="149"/>
      <c r="AZ956" s="149"/>
      <c r="BA956" s="149"/>
      <c r="BB956" s="149"/>
      <c r="BC956" s="149"/>
      <c r="BD956" s="149"/>
      <c r="BE956" s="149"/>
      <c r="BF956" s="149"/>
      <c r="BG956" s="149"/>
      <c r="BH956" s="149"/>
      <c r="BI956" s="149"/>
      <c r="BJ956" s="149"/>
      <c r="BK956" s="149"/>
      <c r="BL956" s="149"/>
      <c r="BM956" s="149"/>
      <c r="BN956" s="149"/>
      <c r="BO956" s="149"/>
      <c r="BP956" s="149"/>
      <c r="BQ956" s="149"/>
      <c r="BR956" s="149"/>
    </row>
    <row r="957" ht="34" customHeight="1" spans="1:70">
      <c r="A957" s="208">
        <v>963</v>
      </c>
      <c r="B957" s="149"/>
      <c r="C957" s="149"/>
      <c r="D957" s="149"/>
      <c r="E957" s="149"/>
      <c r="F957" s="149"/>
      <c r="G957" s="149"/>
      <c r="H957" s="149"/>
      <c r="I957" s="149"/>
      <c r="J957" s="149"/>
      <c r="K957" s="149"/>
      <c r="L957" s="149"/>
      <c r="M957" s="149"/>
      <c r="N957" s="149"/>
      <c r="O957" s="149"/>
      <c r="P957" s="149"/>
      <c r="Q957" s="149"/>
      <c r="R957" s="149"/>
      <c r="S957" s="149"/>
      <c r="T957" s="149"/>
      <c r="U957" s="149"/>
      <c r="V957" s="149"/>
      <c r="W957" s="149"/>
      <c r="X957" s="149"/>
      <c r="Y957" s="149"/>
      <c r="Z957" s="149"/>
      <c r="AA957" s="149"/>
      <c r="AB957" s="149"/>
      <c r="AC957" s="149"/>
      <c r="AD957" s="149"/>
      <c r="AE957" s="149"/>
      <c r="AF957" s="149"/>
      <c r="AG957" s="149"/>
      <c r="AH957" s="149"/>
      <c r="AI957" s="149"/>
      <c r="AJ957" s="149"/>
      <c r="AK957" s="149"/>
      <c r="AL957" s="149"/>
      <c r="AM957" s="149"/>
      <c r="AN957" s="149"/>
      <c r="AO957" s="149"/>
      <c r="AP957" s="149"/>
      <c r="AR957" s="149"/>
      <c r="AS957" s="149"/>
      <c r="AT957" s="149"/>
      <c r="AU957" s="149"/>
      <c r="AV957" s="149"/>
      <c r="AW957" s="149"/>
      <c r="AX957" s="149"/>
      <c r="AY957" s="149"/>
      <c r="AZ957" s="149"/>
      <c r="BA957" s="149"/>
      <c r="BB957" s="149"/>
      <c r="BC957" s="149"/>
      <c r="BD957" s="149"/>
      <c r="BE957" s="149"/>
      <c r="BF957" s="149"/>
      <c r="BG957" s="149"/>
      <c r="BH957" s="149"/>
      <c r="BI957" s="149"/>
      <c r="BJ957" s="149"/>
      <c r="BK957" s="149"/>
      <c r="BL957" s="149"/>
      <c r="BM957" s="149"/>
      <c r="BN957" s="149"/>
      <c r="BO957" s="149"/>
      <c r="BP957" s="149"/>
      <c r="BQ957" s="149"/>
      <c r="BR957" s="149"/>
    </row>
    <row r="958" ht="34" customHeight="1" spans="1:70">
      <c r="A958" s="208">
        <v>964</v>
      </c>
      <c r="B958" s="149"/>
      <c r="C958" s="149"/>
      <c r="D958" s="149"/>
      <c r="E958" s="149"/>
      <c r="F958" s="149"/>
      <c r="G958" s="149"/>
      <c r="H958" s="149"/>
      <c r="I958" s="149"/>
      <c r="J958" s="149"/>
      <c r="K958" s="149"/>
      <c r="L958" s="149"/>
      <c r="M958" s="149"/>
      <c r="N958" s="149"/>
      <c r="O958" s="149"/>
      <c r="P958" s="149"/>
      <c r="Q958" s="149"/>
      <c r="R958" s="149"/>
      <c r="S958" s="149"/>
      <c r="T958" s="149"/>
      <c r="U958" s="149"/>
      <c r="V958" s="149"/>
      <c r="W958" s="149"/>
      <c r="X958" s="149"/>
      <c r="Y958" s="149"/>
      <c r="Z958" s="149"/>
      <c r="AA958" s="149"/>
      <c r="AB958" s="149"/>
      <c r="AC958" s="149"/>
      <c r="AD958" s="149"/>
      <c r="AE958" s="149"/>
      <c r="AF958" s="149"/>
      <c r="AG958" s="149"/>
      <c r="AH958" s="149"/>
      <c r="AI958" s="149"/>
      <c r="AJ958" s="149"/>
      <c r="AK958" s="149"/>
      <c r="AL958" s="149"/>
      <c r="AM958" s="149"/>
      <c r="AN958" s="149"/>
      <c r="AO958" s="149"/>
      <c r="AP958" s="149"/>
      <c r="AR958" s="149"/>
      <c r="AS958" s="149"/>
      <c r="AT958" s="149"/>
      <c r="AU958" s="149"/>
      <c r="AV958" s="149"/>
      <c r="AW958" s="149"/>
      <c r="AX958" s="149"/>
      <c r="AY958" s="149"/>
      <c r="AZ958" s="149"/>
      <c r="BA958" s="149"/>
      <c r="BB958" s="149"/>
      <c r="BC958" s="149"/>
      <c r="BD958" s="149"/>
      <c r="BE958" s="149"/>
      <c r="BF958" s="149"/>
      <c r="BG958" s="149"/>
      <c r="BH958" s="149"/>
      <c r="BI958" s="149"/>
      <c r="BJ958" s="149"/>
      <c r="BK958" s="149"/>
      <c r="BL958" s="149"/>
      <c r="BM958" s="149"/>
      <c r="BN958" s="149"/>
      <c r="BO958" s="149"/>
      <c r="BP958" s="149"/>
      <c r="BQ958" s="149"/>
      <c r="BR958" s="149"/>
    </row>
    <row r="959" ht="34" customHeight="1" spans="1:70">
      <c r="A959" s="208">
        <v>965</v>
      </c>
      <c r="B959" s="149"/>
      <c r="C959" s="149"/>
      <c r="D959" s="149"/>
      <c r="E959" s="149"/>
      <c r="F959" s="149"/>
      <c r="G959" s="149"/>
      <c r="H959" s="149"/>
      <c r="I959" s="149"/>
      <c r="J959" s="149"/>
      <c r="K959" s="149"/>
      <c r="L959" s="149"/>
      <c r="M959" s="149"/>
      <c r="N959" s="149"/>
      <c r="O959" s="149"/>
      <c r="P959" s="149"/>
      <c r="Q959" s="149"/>
      <c r="R959" s="149"/>
      <c r="S959" s="149"/>
      <c r="T959" s="149"/>
      <c r="U959" s="149"/>
      <c r="V959" s="149"/>
      <c r="W959" s="149"/>
      <c r="X959" s="149"/>
      <c r="Y959" s="149"/>
      <c r="Z959" s="149"/>
      <c r="AA959" s="149"/>
      <c r="AB959" s="149"/>
      <c r="AC959" s="149"/>
      <c r="AD959" s="149"/>
      <c r="AE959" s="149"/>
      <c r="AF959" s="149"/>
      <c r="AG959" s="149"/>
      <c r="AH959" s="149"/>
      <c r="AI959" s="149"/>
      <c r="AJ959" s="149"/>
      <c r="AK959" s="149"/>
      <c r="AL959" s="149"/>
      <c r="AM959" s="149"/>
      <c r="AN959" s="149"/>
      <c r="AO959" s="149"/>
      <c r="AP959" s="149"/>
      <c r="AR959" s="149"/>
      <c r="AS959" s="149"/>
      <c r="AT959" s="149"/>
      <c r="AU959" s="149"/>
      <c r="AV959" s="149"/>
      <c r="AW959" s="149"/>
      <c r="AX959" s="149"/>
      <c r="AY959" s="149"/>
      <c r="AZ959" s="149"/>
      <c r="BA959" s="149"/>
      <c r="BB959" s="149"/>
      <c r="BC959" s="149"/>
      <c r="BD959" s="149"/>
      <c r="BE959" s="149"/>
      <c r="BF959" s="149"/>
      <c r="BG959" s="149"/>
      <c r="BH959" s="149"/>
      <c r="BI959" s="149"/>
      <c r="BJ959" s="149"/>
      <c r="BK959" s="149"/>
      <c r="BL959" s="149"/>
      <c r="BM959" s="149"/>
      <c r="BN959" s="149"/>
      <c r="BO959" s="149"/>
      <c r="BP959" s="149"/>
      <c r="BQ959" s="149"/>
      <c r="BR959" s="149"/>
    </row>
    <row r="960" ht="34" customHeight="1" spans="1:70">
      <c r="A960" s="208">
        <v>966</v>
      </c>
      <c r="B960" s="149"/>
      <c r="C960" s="149"/>
      <c r="D960" s="149"/>
      <c r="E960" s="149"/>
      <c r="F960" s="149"/>
      <c r="G960" s="149"/>
      <c r="H960" s="149"/>
      <c r="I960" s="149"/>
      <c r="J960" s="149"/>
      <c r="K960" s="149"/>
      <c r="L960" s="149"/>
      <c r="M960" s="149"/>
      <c r="N960" s="149"/>
      <c r="O960" s="149"/>
      <c r="P960" s="149"/>
      <c r="Q960" s="149"/>
      <c r="R960" s="149"/>
      <c r="S960" s="149"/>
      <c r="T960" s="149"/>
      <c r="U960" s="149"/>
      <c r="V960" s="149"/>
      <c r="W960" s="149"/>
      <c r="X960" s="149"/>
      <c r="Y960" s="149"/>
      <c r="Z960" s="149"/>
      <c r="AA960" s="149"/>
      <c r="AB960" s="149"/>
      <c r="AC960" s="149"/>
      <c r="AD960" s="149"/>
      <c r="AE960" s="149"/>
      <c r="AF960" s="149"/>
      <c r="AG960" s="149"/>
      <c r="AH960" s="149"/>
      <c r="AI960" s="149"/>
      <c r="AJ960" s="149"/>
      <c r="AK960" s="149"/>
      <c r="AL960" s="149"/>
      <c r="AM960" s="149"/>
      <c r="AN960" s="149"/>
      <c r="AO960" s="149"/>
      <c r="AP960" s="149"/>
      <c r="AR960" s="149"/>
      <c r="AS960" s="149"/>
      <c r="AT960" s="149"/>
      <c r="AU960" s="149"/>
      <c r="AV960" s="149"/>
      <c r="AW960" s="149"/>
      <c r="AX960" s="149"/>
      <c r="AY960" s="149"/>
      <c r="AZ960" s="149"/>
      <c r="BA960" s="149"/>
      <c r="BB960" s="149"/>
      <c r="BC960" s="149"/>
      <c r="BD960" s="149"/>
      <c r="BE960" s="149"/>
      <c r="BF960" s="149"/>
      <c r="BG960" s="149"/>
      <c r="BH960" s="149"/>
      <c r="BI960" s="149"/>
      <c r="BJ960" s="149"/>
      <c r="BK960" s="149"/>
      <c r="BL960" s="149"/>
      <c r="BM960" s="149"/>
      <c r="BN960" s="149"/>
      <c r="BO960" s="149"/>
      <c r="BP960" s="149"/>
      <c r="BQ960" s="149"/>
      <c r="BR960" s="149"/>
    </row>
    <row r="961" ht="34" customHeight="1" spans="1:70">
      <c r="A961" s="208">
        <v>967</v>
      </c>
      <c r="B961" s="149"/>
      <c r="C961" s="149"/>
      <c r="D961" s="149"/>
      <c r="E961" s="149"/>
      <c r="F961" s="149"/>
      <c r="G961" s="149"/>
      <c r="H961" s="149"/>
      <c r="I961" s="149"/>
      <c r="J961" s="149"/>
      <c r="K961" s="149"/>
      <c r="L961" s="149"/>
      <c r="M961" s="149"/>
      <c r="N961" s="149"/>
      <c r="O961" s="149"/>
      <c r="P961" s="149"/>
      <c r="Q961" s="149"/>
      <c r="R961" s="149"/>
      <c r="S961" s="149"/>
      <c r="T961" s="149"/>
      <c r="U961" s="149"/>
      <c r="V961" s="149"/>
      <c r="W961" s="149"/>
      <c r="X961" s="149"/>
      <c r="Y961" s="149"/>
      <c r="Z961" s="149"/>
      <c r="AA961" s="149"/>
      <c r="AB961" s="149"/>
      <c r="AC961" s="149"/>
      <c r="AD961" s="149"/>
      <c r="AE961" s="149"/>
      <c r="AF961" s="149"/>
      <c r="AG961" s="149"/>
      <c r="AH961" s="149"/>
      <c r="AI961" s="149"/>
      <c r="AJ961" s="149"/>
      <c r="AK961" s="149"/>
      <c r="AL961" s="149"/>
      <c r="AM961" s="149"/>
      <c r="AN961" s="149"/>
      <c r="AO961" s="149"/>
      <c r="AP961" s="149"/>
      <c r="AR961" s="149"/>
      <c r="AS961" s="149"/>
      <c r="AT961" s="149"/>
      <c r="AU961" s="149"/>
      <c r="AV961" s="149"/>
      <c r="AW961" s="149"/>
      <c r="AX961" s="149"/>
      <c r="AY961" s="149"/>
      <c r="AZ961" s="149"/>
      <c r="BA961" s="149"/>
      <c r="BB961" s="149"/>
      <c r="BC961" s="149"/>
      <c r="BD961" s="149"/>
      <c r="BE961" s="149"/>
      <c r="BF961" s="149"/>
      <c r="BG961" s="149"/>
      <c r="BH961" s="149"/>
      <c r="BI961" s="149"/>
      <c r="BJ961" s="149"/>
      <c r="BK961" s="149"/>
      <c r="BL961" s="149"/>
      <c r="BM961" s="149"/>
      <c r="BN961" s="149"/>
      <c r="BO961" s="149"/>
      <c r="BP961" s="149"/>
      <c r="BQ961" s="149"/>
      <c r="BR961" s="149"/>
    </row>
    <row r="962" ht="34" customHeight="1" spans="1:70">
      <c r="A962" s="208">
        <v>968</v>
      </c>
      <c r="B962" s="149"/>
      <c r="C962" s="149"/>
      <c r="D962" s="149"/>
      <c r="E962" s="149"/>
      <c r="F962" s="149"/>
      <c r="G962" s="149"/>
      <c r="H962" s="149"/>
      <c r="I962" s="149"/>
      <c r="J962" s="149"/>
      <c r="K962" s="149"/>
      <c r="L962" s="149"/>
      <c r="M962" s="149"/>
      <c r="N962" s="149"/>
      <c r="O962" s="149"/>
      <c r="P962" s="149"/>
      <c r="Q962" s="149"/>
      <c r="R962" s="149"/>
      <c r="S962" s="149"/>
      <c r="T962" s="149"/>
      <c r="U962" s="149"/>
      <c r="V962" s="149"/>
      <c r="W962" s="149"/>
      <c r="X962" s="149"/>
      <c r="Y962" s="149"/>
      <c r="Z962" s="149"/>
      <c r="AA962" s="149"/>
      <c r="AB962" s="149"/>
      <c r="AC962" s="149"/>
      <c r="AD962" s="149"/>
      <c r="AE962" s="149"/>
      <c r="AF962" s="149"/>
      <c r="AG962" s="149"/>
      <c r="AH962" s="149"/>
      <c r="AI962" s="149"/>
      <c r="AJ962" s="149"/>
      <c r="AK962" s="149"/>
      <c r="AL962" s="149"/>
      <c r="AM962" s="149"/>
      <c r="AN962" s="149"/>
      <c r="AO962" s="149"/>
      <c r="AP962" s="149"/>
      <c r="AR962" s="149"/>
      <c r="AS962" s="149"/>
      <c r="AT962" s="149"/>
      <c r="AU962" s="149"/>
      <c r="AV962" s="149"/>
      <c r="AW962" s="149"/>
      <c r="AX962" s="149"/>
      <c r="AY962" s="149"/>
      <c r="AZ962" s="149"/>
      <c r="BA962" s="149"/>
      <c r="BB962" s="149"/>
      <c r="BC962" s="149"/>
      <c r="BD962" s="149"/>
      <c r="BE962" s="149"/>
      <c r="BF962" s="149"/>
      <c r="BG962" s="149"/>
      <c r="BH962" s="149"/>
      <c r="BI962" s="149"/>
      <c r="BJ962" s="149"/>
      <c r="BK962" s="149"/>
      <c r="BL962" s="149"/>
      <c r="BM962" s="149"/>
      <c r="BN962" s="149"/>
      <c r="BO962" s="149"/>
      <c r="BP962" s="149"/>
      <c r="BQ962" s="149"/>
      <c r="BR962" s="149"/>
    </row>
    <row r="963" ht="34" customHeight="1" spans="1:70">
      <c r="A963" s="208">
        <v>969</v>
      </c>
      <c r="B963" s="149"/>
      <c r="C963" s="149"/>
      <c r="D963" s="149"/>
      <c r="E963" s="149"/>
      <c r="F963" s="149"/>
      <c r="G963" s="149"/>
      <c r="H963" s="149"/>
      <c r="I963" s="149"/>
      <c r="J963" s="149"/>
      <c r="K963" s="149"/>
      <c r="L963" s="149"/>
      <c r="M963" s="149"/>
      <c r="N963" s="149"/>
      <c r="O963" s="149"/>
      <c r="P963" s="149"/>
      <c r="Q963" s="149"/>
      <c r="R963" s="149"/>
      <c r="S963" s="149"/>
      <c r="T963" s="149"/>
      <c r="U963" s="149"/>
      <c r="V963" s="149"/>
      <c r="W963" s="149"/>
      <c r="X963" s="149"/>
      <c r="Y963" s="149"/>
      <c r="Z963" s="149"/>
      <c r="AA963" s="149"/>
      <c r="AB963" s="149"/>
      <c r="AC963" s="149"/>
      <c r="AD963" s="149"/>
      <c r="AE963" s="149"/>
      <c r="AF963" s="149"/>
      <c r="AG963" s="149"/>
      <c r="AH963" s="149"/>
      <c r="AI963" s="149"/>
      <c r="AJ963" s="149"/>
      <c r="AK963" s="149"/>
      <c r="AL963" s="149"/>
      <c r="AM963" s="149"/>
      <c r="AN963" s="149"/>
      <c r="AO963" s="149"/>
      <c r="AP963" s="149"/>
      <c r="AR963" s="149"/>
      <c r="AS963" s="149"/>
      <c r="AT963" s="149"/>
      <c r="AU963" s="149"/>
      <c r="AV963" s="149"/>
      <c r="AW963" s="149"/>
      <c r="AX963" s="149"/>
      <c r="AY963" s="149"/>
      <c r="AZ963" s="149"/>
      <c r="BA963" s="149"/>
      <c r="BB963" s="149"/>
      <c r="BC963" s="149"/>
      <c r="BD963" s="149"/>
      <c r="BE963" s="149"/>
      <c r="BF963" s="149"/>
      <c r="BG963" s="149"/>
      <c r="BH963" s="149"/>
      <c r="BI963" s="149"/>
      <c r="BJ963" s="149"/>
      <c r="BK963" s="149"/>
      <c r="BL963" s="149"/>
      <c r="BM963" s="149"/>
      <c r="BN963" s="149"/>
      <c r="BO963" s="149"/>
      <c r="BP963" s="149"/>
      <c r="BQ963" s="149"/>
      <c r="BR963" s="149"/>
    </row>
    <row r="964" ht="34" customHeight="1" spans="1:70">
      <c r="A964" s="208">
        <v>970</v>
      </c>
      <c r="B964" s="149"/>
      <c r="C964" s="149"/>
      <c r="D964" s="149"/>
      <c r="E964" s="149"/>
      <c r="F964" s="149"/>
      <c r="G964" s="149"/>
      <c r="H964" s="149"/>
      <c r="I964" s="149"/>
      <c r="J964" s="149"/>
      <c r="K964" s="149"/>
      <c r="L964" s="149"/>
      <c r="M964" s="149"/>
      <c r="N964" s="149"/>
      <c r="O964" s="149"/>
      <c r="P964" s="149"/>
      <c r="Q964" s="149"/>
      <c r="R964" s="149"/>
      <c r="S964" s="149"/>
      <c r="T964" s="149"/>
      <c r="U964" s="149"/>
      <c r="V964" s="149"/>
      <c r="W964" s="149"/>
      <c r="X964" s="149"/>
      <c r="Y964" s="149"/>
      <c r="Z964" s="149"/>
      <c r="AA964" s="149"/>
      <c r="AB964" s="149"/>
      <c r="AC964" s="149"/>
      <c r="AD964" s="149"/>
      <c r="AE964" s="149"/>
      <c r="AF964" s="149"/>
      <c r="AG964" s="149"/>
      <c r="AH964" s="149"/>
      <c r="AI964" s="149"/>
      <c r="AJ964" s="149"/>
      <c r="AK964" s="149"/>
      <c r="AL964" s="149"/>
      <c r="AM964" s="149"/>
      <c r="AN964" s="149"/>
      <c r="AO964" s="149"/>
      <c r="AP964" s="149"/>
      <c r="AR964" s="149"/>
      <c r="AS964" s="149"/>
      <c r="AT964" s="149"/>
      <c r="AU964" s="149"/>
      <c r="AV964" s="149"/>
      <c r="AW964" s="149"/>
      <c r="AX964" s="149"/>
      <c r="AY964" s="149"/>
      <c r="AZ964" s="149"/>
      <c r="BA964" s="149"/>
      <c r="BB964" s="149"/>
      <c r="BC964" s="149"/>
      <c r="BD964" s="149"/>
      <c r="BE964" s="149"/>
      <c r="BF964" s="149"/>
      <c r="BG964" s="149"/>
      <c r="BH964" s="149"/>
      <c r="BI964" s="149"/>
      <c r="BJ964" s="149"/>
      <c r="BK964" s="149"/>
      <c r="BL964" s="149"/>
      <c r="BM964" s="149"/>
      <c r="BN964" s="149"/>
      <c r="BO964" s="149"/>
      <c r="BP964" s="149"/>
      <c r="BQ964" s="149"/>
      <c r="BR964" s="149"/>
    </row>
    <row r="965" ht="34" customHeight="1" spans="1:70">
      <c r="A965" s="208">
        <v>971</v>
      </c>
      <c r="B965" s="149"/>
      <c r="C965" s="149"/>
      <c r="D965" s="149"/>
      <c r="E965" s="149"/>
      <c r="F965" s="149"/>
      <c r="G965" s="149"/>
      <c r="H965" s="149"/>
      <c r="I965" s="149"/>
      <c r="J965" s="149"/>
      <c r="K965" s="149"/>
      <c r="L965" s="149"/>
      <c r="M965" s="149"/>
      <c r="N965" s="149"/>
      <c r="O965" s="149"/>
      <c r="P965" s="149"/>
      <c r="Q965" s="149"/>
      <c r="R965" s="149"/>
      <c r="S965" s="149"/>
      <c r="T965" s="149"/>
      <c r="U965" s="149"/>
      <c r="V965" s="149"/>
      <c r="W965" s="149"/>
      <c r="X965" s="149"/>
      <c r="Y965" s="149"/>
      <c r="Z965" s="149"/>
      <c r="AA965" s="149"/>
      <c r="AB965" s="149"/>
      <c r="AC965" s="149"/>
      <c r="AD965" s="149"/>
      <c r="AE965" s="149"/>
      <c r="AF965" s="149"/>
      <c r="AG965" s="149"/>
      <c r="AH965" s="149"/>
      <c r="AI965" s="149"/>
      <c r="AJ965" s="149"/>
      <c r="AK965" s="149"/>
      <c r="AL965" s="149"/>
      <c r="AM965" s="149"/>
      <c r="AN965" s="149"/>
      <c r="AO965" s="149"/>
      <c r="AP965" s="149"/>
      <c r="AR965" s="149"/>
      <c r="AS965" s="149"/>
      <c r="AT965" s="149"/>
      <c r="AU965" s="149"/>
      <c r="AV965" s="149"/>
      <c r="AW965" s="149"/>
      <c r="AX965" s="149"/>
      <c r="AY965" s="149"/>
      <c r="AZ965" s="149"/>
      <c r="BA965" s="149"/>
      <c r="BB965" s="149"/>
      <c r="BC965" s="149"/>
      <c r="BD965" s="149"/>
      <c r="BE965" s="149"/>
      <c r="BF965" s="149"/>
      <c r="BG965" s="149"/>
      <c r="BH965" s="149"/>
      <c r="BI965" s="149"/>
      <c r="BJ965" s="149"/>
      <c r="BK965" s="149"/>
      <c r="BL965" s="149"/>
      <c r="BM965" s="149"/>
      <c r="BN965" s="149"/>
      <c r="BO965" s="149"/>
      <c r="BP965" s="149"/>
      <c r="BQ965" s="149"/>
      <c r="BR965" s="149"/>
    </row>
    <row r="966" ht="34" customHeight="1" spans="1:70">
      <c r="A966" s="208">
        <v>972</v>
      </c>
      <c r="B966" s="149"/>
      <c r="C966" s="149"/>
      <c r="D966" s="149"/>
      <c r="E966" s="149"/>
      <c r="F966" s="149"/>
      <c r="G966" s="149"/>
      <c r="H966" s="149"/>
      <c r="I966" s="149"/>
      <c r="J966" s="149"/>
      <c r="K966" s="149"/>
      <c r="L966" s="149"/>
      <c r="M966" s="149"/>
      <c r="N966" s="149"/>
      <c r="O966" s="149"/>
      <c r="P966" s="149"/>
      <c r="Q966" s="149"/>
      <c r="R966" s="149"/>
      <c r="S966" s="149"/>
      <c r="T966" s="149"/>
      <c r="U966" s="149"/>
      <c r="V966" s="149"/>
      <c r="W966" s="149"/>
      <c r="X966" s="149"/>
      <c r="Y966" s="149"/>
      <c r="Z966" s="149"/>
      <c r="AA966" s="149"/>
      <c r="AB966" s="149"/>
      <c r="AC966" s="149"/>
      <c r="AD966" s="149"/>
      <c r="AE966" s="149"/>
      <c r="AF966" s="149"/>
      <c r="AG966" s="149"/>
      <c r="AH966" s="149"/>
      <c r="AI966" s="149"/>
      <c r="AJ966" s="149"/>
      <c r="AK966" s="149"/>
      <c r="AL966" s="149"/>
      <c r="AM966" s="149"/>
      <c r="AN966" s="149"/>
      <c r="AO966" s="149"/>
      <c r="AP966" s="149"/>
      <c r="AR966" s="149"/>
      <c r="AS966" s="149"/>
      <c r="AT966" s="149"/>
      <c r="AU966" s="149"/>
      <c r="AV966" s="149"/>
      <c r="AW966" s="149"/>
      <c r="AX966" s="149"/>
      <c r="AY966" s="149"/>
      <c r="AZ966" s="149"/>
      <c r="BA966" s="149"/>
      <c r="BB966" s="149"/>
      <c r="BC966" s="149"/>
      <c r="BD966" s="149"/>
      <c r="BE966" s="149"/>
      <c r="BF966" s="149"/>
      <c r="BG966" s="149"/>
      <c r="BH966" s="149"/>
      <c r="BI966" s="149"/>
      <c r="BJ966" s="149"/>
      <c r="BK966" s="149"/>
      <c r="BL966" s="149"/>
      <c r="BM966" s="149"/>
      <c r="BN966" s="149"/>
      <c r="BO966" s="149"/>
      <c r="BP966" s="149"/>
      <c r="BQ966" s="149"/>
      <c r="BR966" s="149"/>
    </row>
    <row r="967" ht="34" customHeight="1" spans="1:70">
      <c r="A967" s="208">
        <v>973</v>
      </c>
      <c r="B967" s="149"/>
      <c r="C967" s="149"/>
      <c r="D967" s="149"/>
      <c r="E967" s="149"/>
      <c r="F967" s="149"/>
      <c r="G967" s="149"/>
      <c r="H967" s="149"/>
      <c r="I967" s="149"/>
      <c r="J967" s="149"/>
      <c r="K967" s="149"/>
      <c r="L967" s="149"/>
      <c r="M967" s="149"/>
      <c r="N967" s="149"/>
      <c r="O967" s="149"/>
      <c r="P967" s="149"/>
      <c r="Q967" s="149"/>
      <c r="R967" s="149"/>
      <c r="S967" s="149"/>
      <c r="T967" s="149"/>
      <c r="U967" s="149"/>
      <c r="V967" s="149"/>
      <c r="W967" s="149"/>
      <c r="X967" s="149"/>
      <c r="Y967" s="149"/>
      <c r="Z967" s="149"/>
      <c r="AA967" s="149"/>
      <c r="AB967" s="149"/>
      <c r="AC967" s="149"/>
      <c r="AD967" s="149"/>
      <c r="AE967" s="149"/>
      <c r="AF967" s="149"/>
      <c r="AG967" s="149"/>
      <c r="AH967" s="149"/>
      <c r="AI967" s="149"/>
      <c r="AJ967" s="149"/>
      <c r="AK967" s="149"/>
      <c r="AL967" s="149"/>
      <c r="AM967" s="149"/>
      <c r="AN967" s="149"/>
      <c r="AO967" s="149"/>
      <c r="AP967" s="149"/>
      <c r="AR967" s="149"/>
      <c r="AS967" s="149"/>
      <c r="AT967" s="149"/>
      <c r="AU967" s="149"/>
      <c r="AV967" s="149"/>
      <c r="AW967" s="149"/>
      <c r="AX967" s="149"/>
      <c r="AY967" s="149"/>
      <c r="AZ967" s="149"/>
      <c r="BA967" s="149"/>
      <c r="BB967" s="149"/>
      <c r="BC967" s="149"/>
      <c r="BD967" s="149"/>
      <c r="BE967" s="149"/>
      <c r="BF967" s="149"/>
      <c r="BG967" s="149"/>
      <c r="BH967" s="149"/>
      <c r="BI967" s="149"/>
      <c r="BJ967" s="149"/>
      <c r="BK967" s="149"/>
      <c r="BL967" s="149"/>
      <c r="BM967" s="149"/>
      <c r="BN967" s="149"/>
      <c r="BO967" s="149"/>
      <c r="BP967" s="149"/>
      <c r="BQ967" s="149"/>
      <c r="BR967" s="149"/>
    </row>
    <row r="968" ht="34" customHeight="1" spans="1:70">
      <c r="A968" s="208">
        <v>974</v>
      </c>
      <c r="B968" s="149"/>
      <c r="C968" s="149"/>
      <c r="D968" s="149"/>
      <c r="E968" s="149"/>
      <c r="F968" s="149"/>
      <c r="G968" s="149"/>
      <c r="H968" s="149"/>
      <c r="I968" s="149"/>
      <c r="J968" s="149"/>
      <c r="K968" s="149"/>
      <c r="L968" s="149"/>
      <c r="M968" s="149"/>
      <c r="N968" s="149"/>
      <c r="O968" s="149"/>
      <c r="P968" s="149"/>
      <c r="Q968" s="149"/>
      <c r="R968" s="149"/>
      <c r="S968" s="149"/>
      <c r="T968" s="149"/>
      <c r="U968" s="149"/>
      <c r="V968" s="149"/>
      <c r="W968" s="149"/>
      <c r="X968" s="149"/>
      <c r="Y968" s="149"/>
      <c r="Z968" s="149"/>
      <c r="AA968" s="149"/>
      <c r="AB968" s="149"/>
      <c r="AC968" s="149"/>
      <c r="AD968" s="149"/>
      <c r="AE968" s="149"/>
      <c r="AF968" s="149"/>
      <c r="AG968" s="149"/>
      <c r="AH968" s="149"/>
      <c r="AI968" s="149"/>
      <c r="AJ968" s="149"/>
      <c r="AK968" s="149"/>
      <c r="AL968" s="149"/>
      <c r="AM968" s="149"/>
      <c r="AN968" s="149"/>
      <c r="AO968" s="149"/>
      <c r="AP968" s="149"/>
      <c r="AR968" s="149"/>
      <c r="AS968" s="149"/>
      <c r="AT968" s="149"/>
      <c r="AU968" s="149"/>
      <c r="AV968" s="149"/>
      <c r="AW968" s="149"/>
      <c r="AX968" s="149"/>
      <c r="AY968" s="149"/>
      <c r="AZ968" s="149"/>
      <c r="BA968" s="149"/>
      <c r="BB968" s="149"/>
      <c r="BC968" s="149"/>
      <c r="BD968" s="149"/>
      <c r="BE968" s="149"/>
      <c r="BF968" s="149"/>
      <c r="BG968" s="149"/>
      <c r="BH968" s="149"/>
      <c r="BI968" s="149"/>
      <c r="BJ968" s="149"/>
      <c r="BK968" s="149"/>
      <c r="BL968" s="149"/>
      <c r="BM968" s="149"/>
      <c r="BN968" s="149"/>
      <c r="BO968" s="149"/>
      <c r="BP968" s="149"/>
      <c r="BQ968" s="149"/>
      <c r="BR968" s="149"/>
    </row>
    <row r="969" ht="34" customHeight="1" spans="1:70">
      <c r="A969" s="208">
        <v>975</v>
      </c>
      <c r="B969" s="149"/>
      <c r="C969" s="149"/>
      <c r="D969" s="149"/>
      <c r="E969" s="149"/>
      <c r="F969" s="149"/>
      <c r="G969" s="149"/>
      <c r="H969" s="149"/>
      <c r="I969" s="149"/>
      <c r="J969" s="149"/>
      <c r="K969" s="149"/>
      <c r="L969" s="149"/>
      <c r="M969" s="149"/>
      <c r="N969" s="149"/>
      <c r="O969" s="149"/>
      <c r="P969" s="149"/>
      <c r="Q969" s="149"/>
      <c r="R969" s="149"/>
      <c r="S969" s="149"/>
      <c r="T969" s="149"/>
      <c r="U969" s="149"/>
      <c r="V969" s="149"/>
      <c r="W969" s="149"/>
      <c r="X969" s="149"/>
      <c r="Y969" s="149"/>
      <c r="Z969" s="149"/>
      <c r="AA969" s="149"/>
      <c r="AB969" s="149"/>
      <c r="AC969" s="149"/>
      <c r="AD969" s="149"/>
      <c r="AE969" s="149"/>
      <c r="AF969" s="149"/>
      <c r="AG969" s="149"/>
      <c r="AH969" s="149"/>
      <c r="AI969" s="149"/>
      <c r="AJ969" s="149"/>
      <c r="AK969" s="149"/>
      <c r="AL969" s="149"/>
      <c r="AM969" s="149"/>
      <c r="AN969" s="149"/>
      <c r="AO969" s="149"/>
      <c r="AP969" s="149"/>
      <c r="AR969" s="149"/>
      <c r="AS969" s="149"/>
      <c r="AT969" s="149"/>
      <c r="AU969" s="149"/>
      <c r="AV969" s="149"/>
      <c r="AW969" s="149"/>
      <c r="AX969" s="149"/>
      <c r="AY969" s="149"/>
      <c r="AZ969" s="149"/>
      <c r="BA969" s="149"/>
      <c r="BB969" s="149"/>
      <c r="BC969" s="149"/>
      <c r="BD969" s="149"/>
      <c r="BE969" s="149"/>
      <c r="BF969" s="149"/>
      <c r="BG969" s="149"/>
      <c r="BH969" s="149"/>
      <c r="BI969" s="149"/>
      <c r="BJ969" s="149"/>
      <c r="BK969" s="149"/>
      <c r="BL969" s="149"/>
      <c r="BM969" s="149"/>
      <c r="BN969" s="149"/>
      <c r="BO969" s="149"/>
      <c r="BP969" s="149"/>
      <c r="BQ969" s="149"/>
      <c r="BR969" s="149"/>
    </row>
    <row r="970" spans="1:70">
      <c r="AA970" s="149"/>
    </row>
  </sheetData>
  <sheetProtection formatCells="0" formatColumns="0" formatRows="0" insertRows="0" insertColumns="0" insertHyperlinks="0" deleteColumns="0" deleteRows="0" sort="0" autoFilter="0" pivotTables="0"/>
  <autoFilter xmlns:etc="http://www.wps.cn/officeDocument/2017/etCustomData" ref="B2:BP969" etc:filterBottomFollowUsedRange="0">
    <extLst/>
  </autoFilter>
  <mergeCells count="9">
    <mergeCell ref="M1:Q1"/>
    <mergeCell ref="T1:X1"/>
    <mergeCell ref="Y1:AJ1"/>
    <mergeCell ref="AK1:AM1"/>
    <mergeCell ref="AN1:AP1"/>
    <mergeCell ref="AR1:BC1"/>
    <mergeCell ref="BD1:BJ1"/>
    <mergeCell ref="BK1:BP1"/>
    <mergeCell ref="A1:A2"/>
  </mergeCells>
  <dataValidations count="8">
    <dataValidation type="list" allowBlank="1" showInputMessage="1" showErrorMessage="1" sqref="I299:K299">
      <formula1>"5000以上,500-5000,200-500,200以下"</formula1>
    </dataValidation>
    <dataValidation type="list" allowBlank="1" showInputMessage="1" showErrorMessage="1" sqref="V299">
      <formula1>"高,中,低"</formula1>
    </dataValidation>
    <dataValidation type="list" allowBlank="1" showInputMessage="1" showErrorMessage="1" sqref="W299">
      <formula1>"本地物流企业,第三方服务商"</formula1>
    </dataValidation>
    <dataValidation type="list" allowBlank="1" showInputMessage="1" showErrorMessage="1" sqref="Y299">
      <formula1>"Y,N"</formula1>
    </dataValidation>
    <dataValidation type="list" allowBlank="1" showInputMessage="1" showErrorMessage="1" sqref="Z299">
      <formula1>"是,否"</formula1>
    </dataValidation>
    <dataValidation type="list" allowBlank="1" showInputMessage="1" showErrorMessage="1" sqref="AA299">
      <formula1>"代理,自营"</formula1>
    </dataValidation>
    <dataValidation type="list" allowBlank="1" showInputMessage="1" showErrorMessage="1" sqref="AB299">
      <formula1>"自建,外包"</formula1>
    </dataValidation>
    <dataValidation type="list" allowBlank="1" showInputMessage="1" showErrorMessage="1" sqref="AM299:AM300">
      <formula1>"头部企业,中小企业,新兴企业"</formula1>
    </dataValidation>
  </dataValidations>
  <hyperlinks>
    <hyperlink ref="B10" r:id="rId1" display="常州技天电子有限公司" tooltip="https://aiqicha.baidu.com/detail/compinfo?pid=xlTM-TogKuTwRZ9h6ZZ6R7hd4zCb1FsJlwmd&amp;pd=aen&amp;from=ps&amp;query=%E5%B8%B8%E5%B7%9E%E6%8A%80%E5%A4%A9%E7%94%B5%E5%AD%90%E6%9C%89%E9%99%90%E5%85%AC%E5%8F%B8"/>
    <hyperlink ref="L80" r:id="rId2" display="http://www.piaomazn.com/case/" tooltip="http://www.piaomazn.com/case/"/>
    <hyperlink ref="L89" r:id="rId3" display="www.huichun.cn" tooltip="http://www.huichun.cn/"/>
    <hyperlink ref="L90" r:id="rId4" display="www.jinliyuanmedical.com" tooltip="http://www.jinliyuanmedical.com/"/>
    <hyperlink ref="L91" r:id="rId5" display="http://www.jf-syringe.com/" tooltip="http://www.jf-syringe.com/"/>
    <hyperlink ref="L92" r:id="rId6" display="www.jinlongmed.com" tooltip="https://www.jinlongmed.com/"/>
    <hyperlink ref="L93" r:id="rId7" display="www.cancan.com" tooltip="https://www.cancan.com/"/>
    <hyperlink ref="L94" r:id="rId8" display="http://www.chinajichun.com/cn/" tooltip="http://www.chinajichun.com/cn/"/>
    <hyperlink ref="L101" r:id="rId9" display="www.caibo-indivino.com" tooltip="http://www.caibo-indivino.com/"/>
    <hyperlink ref="L106" r:id="rId10" display="www.ablejeans.com" tooltip="http://www.ablejeans.com/"/>
    <hyperlink ref="L110" r:id="rId11" display="https://www.czcareu.cn/" tooltip="https://www.czcareu.cn/"/>
    <hyperlink ref="L156" r:id="rId12" display="http://www.zengcaitextile.com/"/>
    <hyperlink ref="L154" r:id="rId13" display="http://www.jsrwang.cn/" tooltip="http://www.jsrwang.cn/"/>
    <hyperlink ref="L159" r:id="rId14" display="https://www.dmsl666.com/factory/"/>
    <hyperlink ref="L178" r:id="rId15" display="www.shinco.net" tooltip="http://www.shinco.net"/>
    <hyperlink ref="L179" r:id="rId16" display="www.hiearns.com" tooltip="http://www.hiearns.com"/>
    <hyperlink ref="L181" r:id="rId17" display="www.aullen.com" tooltip="http://www.aullen.com"/>
    <hyperlink ref="L182" r:id="rId18" display="www.Lookmed.cn" tooltip="http://www.Lookmed.cn"/>
    <hyperlink ref="L185" r:id="rId19" display="https://www.betterial.cn/" tooltip="https://www.betterial.cn/"/>
    <hyperlink ref="L395" r:id="rId20" display="www.cn-sch.com"/>
    <hyperlink ref="L397" r:id="rId21" display="www.poputar.com"/>
    <hyperlink ref="L399" r:id="rId22" display="www.jsmyqingfeng.cn"/>
  </hyperlinks>
  <pageMargins left="0.7" right="0.7"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U10"/>
  <sheetViews>
    <sheetView zoomScale="150" zoomScaleNormal="150" workbookViewId="0">
      <selection activeCell="D8" sqref="D8"/>
    </sheetView>
  </sheetViews>
  <sheetFormatPr defaultColWidth="11" defaultRowHeight="15.5"/>
  <cols>
    <col min="1" max="1" width="26.8307692307692" customWidth="1"/>
    <col min="2" max="2" width="27.6615384615385" customWidth="1"/>
    <col min="3" max="3" width="14.8307692307692" hidden="1" customWidth="1"/>
    <col min="4" max="4" width="31.1615384615385" customWidth="1"/>
    <col min="5" max="5" width="11" hidden="1" customWidth="1"/>
    <col min="6" max="6" width="19.8307692307692" hidden="1" customWidth="1"/>
    <col min="7" max="20" width="10.8307692307692" hidden="1" customWidth="1"/>
    <col min="21" max="21" width="21.8307692307692" customWidth="1"/>
  </cols>
  <sheetData>
    <row r="1" ht="49" customHeight="1" spans="1:21">
      <c r="A1" s="164" t="s">
        <v>2070</v>
      </c>
      <c r="B1" s="165"/>
      <c r="C1" s="165"/>
      <c r="D1" s="165"/>
      <c r="E1" s="165"/>
      <c r="F1" s="165"/>
      <c r="G1" s="165"/>
      <c r="H1" s="165"/>
      <c r="I1" s="165"/>
      <c r="J1" s="165"/>
      <c r="K1" s="165"/>
      <c r="L1" s="165"/>
      <c r="M1" s="165"/>
      <c r="N1" s="165"/>
      <c r="O1" s="165"/>
      <c r="P1" s="165"/>
      <c r="Q1" s="165"/>
      <c r="R1" s="165"/>
      <c r="S1" s="165"/>
      <c r="T1" s="165"/>
      <c r="U1" s="165"/>
    </row>
    <row r="2" ht="37" customHeight="1" spans="1:21">
      <c r="A2" s="166" t="s">
        <v>11</v>
      </c>
      <c r="B2" s="166" t="s">
        <v>2071</v>
      </c>
      <c r="C2" s="166" t="s">
        <v>2072</v>
      </c>
      <c r="D2" s="166" t="s">
        <v>2073</v>
      </c>
      <c r="E2" s="167" t="s">
        <v>11</v>
      </c>
      <c r="F2" s="168" t="s">
        <v>2074</v>
      </c>
      <c r="G2" s="167" t="s">
        <v>2075</v>
      </c>
      <c r="H2" s="167" t="s">
        <v>2076</v>
      </c>
      <c r="I2" s="167" t="s">
        <v>2077</v>
      </c>
      <c r="J2" s="167" t="s">
        <v>2078</v>
      </c>
      <c r="K2" s="168" t="s">
        <v>2079</v>
      </c>
      <c r="L2" s="168" t="s">
        <v>2080</v>
      </c>
      <c r="M2" s="167" t="s">
        <v>2081</v>
      </c>
      <c r="N2" s="167" t="s">
        <v>2082</v>
      </c>
      <c r="O2" s="167" t="s">
        <v>2083</v>
      </c>
      <c r="P2" s="167" t="s">
        <v>2084</v>
      </c>
      <c r="Q2" s="167" t="s">
        <v>2085</v>
      </c>
      <c r="R2" s="167" t="s">
        <v>2086</v>
      </c>
      <c r="S2" s="167" t="s">
        <v>2087</v>
      </c>
      <c r="T2" s="167" t="s">
        <v>2088</v>
      </c>
      <c r="U2" s="168" t="s">
        <v>2074</v>
      </c>
    </row>
    <row r="3" ht="20.25" customHeight="1" spans="1:21">
      <c r="A3" s="169" t="s">
        <v>780</v>
      </c>
      <c r="B3" s="170" t="s">
        <v>2089</v>
      </c>
      <c r="C3" s="170" t="s">
        <v>470</v>
      </c>
      <c r="D3" s="170">
        <v>82</v>
      </c>
      <c r="E3" s="170" t="s">
        <v>780</v>
      </c>
      <c r="F3" s="170">
        <v>9</v>
      </c>
      <c r="G3" s="170">
        <v>26</v>
      </c>
      <c r="H3" s="170">
        <v>20</v>
      </c>
      <c r="I3" s="170">
        <v>18</v>
      </c>
      <c r="J3" s="170">
        <v>17</v>
      </c>
      <c r="K3" s="170">
        <v>11</v>
      </c>
      <c r="L3" s="170">
        <v>2</v>
      </c>
      <c r="M3" s="170">
        <v>11</v>
      </c>
      <c r="N3" s="170">
        <v>2</v>
      </c>
      <c r="O3" s="170" t="s">
        <v>2090</v>
      </c>
      <c r="P3" s="171">
        <v>45889</v>
      </c>
      <c r="Q3" s="170" t="s">
        <v>2091</v>
      </c>
      <c r="R3" s="172"/>
      <c r="S3" s="173">
        <v>8.21</v>
      </c>
      <c r="T3" s="172"/>
      <c r="U3" s="170">
        <v>9</v>
      </c>
    </row>
    <row r="4" ht="20.25" customHeight="1" spans="1:21">
      <c r="A4" s="169" t="s">
        <v>388</v>
      </c>
      <c r="B4" s="170" t="s">
        <v>2092</v>
      </c>
      <c r="C4" s="170" t="s">
        <v>320</v>
      </c>
      <c r="D4" s="170">
        <v>73</v>
      </c>
      <c r="E4" s="170" t="s">
        <v>388</v>
      </c>
      <c r="F4" s="170">
        <v>13</v>
      </c>
      <c r="G4" s="170">
        <v>65</v>
      </c>
      <c r="H4" s="170">
        <v>25</v>
      </c>
      <c r="I4" s="170">
        <v>15</v>
      </c>
      <c r="J4" s="170">
        <v>64</v>
      </c>
      <c r="K4" s="170">
        <v>39</v>
      </c>
      <c r="L4" s="170">
        <v>3</v>
      </c>
      <c r="M4" s="170">
        <v>17</v>
      </c>
      <c r="N4" s="170">
        <v>3</v>
      </c>
      <c r="O4" s="170" t="s">
        <v>2090</v>
      </c>
      <c r="P4" s="171">
        <v>45862</v>
      </c>
      <c r="Q4" s="170" t="s">
        <v>2091</v>
      </c>
      <c r="R4" s="173"/>
      <c r="S4" s="173">
        <v>7.25</v>
      </c>
      <c r="T4" s="173"/>
      <c r="U4" s="170">
        <v>13</v>
      </c>
    </row>
    <row r="5" ht="20.25" customHeight="1" spans="1:21">
      <c r="A5" s="169" t="s">
        <v>1680</v>
      </c>
      <c r="B5" s="170" t="s">
        <v>2093</v>
      </c>
      <c r="C5" s="170" t="s">
        <v>2094</v>
      </c>
      <c r="D5" s="170">
        <v>47</v>
      </c>
      <c r="E5" s="170" t="s">
        <v>1680</v>
      </c>
      <c r="F5" s="173">
        <v>3</v>
      </c>
      <c r="G5" s="173"/>
      <c r="H5" s="173"/>
      <c r="I5" s="173"/>
      <c r="J5" s="170"/>
      <c r="K5" s="170">
        <v>5</v>
      </c>
      <c r="L5" s="170"/>
      <c r="M5" s="170"/>
      <c r="N5" s="170"/>
      <c r="O5" s="170" t="s">
        <v>2090</v>
      </c>
      <c r="P5" s="173"/>
      <c r="Q5" s="173"/>
      <c r="R5" s="173"/>
      <c r="S5" s="173"/>
      <c r="T5" s="173"/>
      <c r="U5" s="170">
        <v>3</v>
      </c>
    </row>
    <row r="6" ht="20.25" customHeight="1" spans="1:21">
      <c r="A6" s="169" t="s">
        <v>1469</v>
      </c>
      <c r="B6" s="170" t="s">
        <v>2095</v>
      </c>
      <c r="C6" s="170"/>
      <c r="D6" s="170">
        <v>67</v>
      </c>
      <c r="E6" s="170" t="s">
        <v>1469</v>
      </c>
      <c r="F6" s="173">
        <v>14</v>
      </c>
      <c r="G6" s="173">
        <v>17</v>
      </c>
      <c r="H6" s="173">
        <v>8</v>
      </c>
      <c r="I6" s="173">
        <v>9</v>
      </c>
      <c r="J6" s="170">
        <v>13</v>
      </c>
      <c r="K6" s="170">
        <v>12</v>
      </c>
      <c r="L6" s="173">
        <v>2</v>
      </c>
      <c r="M6" s="173">
        <v>5</v>
      </c>
      <c r="N6" s="173">
        <v>2</v>
      </c>
      <c r="O6" s="170" t="s">
        <v>2090</v>
      </c>
      <c r="P6" s="171">
        <v>45904</v>
      </c>
      <c r="Q6" s="170" t="s">
        <v>2091</v>
      </c>
      <c r="R6" s="173"/>
      <c r="S6" s="173">
        <v>9.6</v>
      </c>
      <c r="T6" s="173"/>
      <c r="U6" s="170">
        <v>14</v>
      </c>
    </row>
    <row r="7" ht="20.25" customHeight="1" spans="1:21">
      <c r="A7" s="169" t="s">
        <v>1833</v>
      </c>
      <c r="B7" s="173"/>
      <c r="C7" s="170"/>
      <c r="D7" s="170">
        <v>5</v>
      </c>
      <c r="E7" s="170" t="s">
        <v>1833</v>
      </c>
      <c r="F7" s="173"/>
      <c r="G7" s="173"/>
      <c r="H7" s="173"/>
      <c r="I7" s="173"/>
      <c r="J7" s="173"/>
      <c r="K7" s="173"/>
      <c r="L7" s="173"/>
      <c r="M7" s="173"/>
      <c r="N7" s="173"/>
      <c r="O7" s="173"/>
      <c r="P7" s="171">
        <v>45820</v>
      </c>
      <c r="Q7" s="173"/>
      <c r="R7" s="173"/>
      <c r="S7" s="173"/>
      <c r="T7" s="173"/>
      <c r="U7" s="170"/>
    </row>
    <row r="8" ht="20.25" customHeight="1" spans="1:21">
      <c r="A8" s="169" t="s">
        <v>1635</v>
      </c>
      <c r="B8" s="170" t="s">
        <v>2096</v>
      </c>
      <c r="C8" s="170" t="s">
        <v>2097</v>
      </c>
      <c r="D8" s="170">
        <v>51</v>
      </c>
      <c r="E8" s="170" t="s">
        <v>1635</v>
      </c>
      <c r="F8" s="170">
        <v>3</v>
      </c>
      <c r="G8" s="170">
        <v>14</v>
      </c>
      <c r="H8" s="170">
        <v>10</v>
      </c>
      <c r="I8" s="170">
        <v>11</v>
      </c>
      <c r="J8" s="170">
        <v>19</v>
      </c>
      <c r="K8" s="170">
        <v>13</v>
      </c>
      <c r="L8" s="170">
        <v>2</v>
      </c>
      <c r="M8" s="170">
        <v>12</v>
      </c>
      <c r="N8" s="170">
        <v>2</v>
      </c>
      <c r="O8" s="170" t="s">
        <v>2090</v>
      </c>
      <c r="P8" s="171">
        <v>45897</v>
      </c>
      <c r="Q8" s="170" t="s">
        <v>2091</v>
      </c>
      <c r="R8" s="173"/>
      <c r="S8" s="173">
        <v>8.31</v>
      </c>
      <c r="T8" s="173"/>
      <c r="U8" s="170">
        <v>3</v>
      </c>
    </row>
    <row r="9" ht="20.25" customHeight="1" spans="1:21">
      <c r="A9" s="174" t="s">
        <v>2098</v>
      </c>
      <c r="B9" s="175"/>
      <c r="C9" s="175"/>
      <c r="D9" s="176">
        <v>1</v>
      </c>
      <c r="E9" s="176" t="s">
        <v>2098</v>
      </c>
      <c r="F9" s="175"/>
      <c r="G9" s="175"/>
      <c r="H9" s="175"/>
      <c r="I9" s="175"/>
      <c r="J9" s="175"/>
      <c r="K9" s="175"/>
      <c r="L9" s="175"/>
      <c r="M9" s="175"/>
      <c r="N9" s="175"/>
      <c r="O9" s="175"/>
      <c r="P9" s="175"/>
      <c r="Q9" s="175"/>
      <c r="R9" s="175"/>
      <c r="S9" s="175"/>
      <c r="T9" s="175"/>
      <c r="U9" s="176"/>
    </row>
    <row r="10" ht="20.25" customHeight="1" spans="1:21">
      <c r="A10" s="177" t="s">
        <v>2099</v>
      </c>
      <c r="B10" s="178">
        <f>SUM(D3:D9,U3:U9)</f>
        <v>368</v>
      </c>
      <c r="C10" s="179"/>
      <c r="D10" s="179"/>
      <c r="E10" s="179"/>
      <c r="F10" s="179"/>
      <c r="G10" s="179"/>
      <c r="H10" s="179"/>
      <c r="I10" s="179"/>
      <c r="J10" s="179"/>
      <c r="K10" s="179"/>
      <c r="L10" s="179"/>
      <c r="M10" s="179"/>
      <c r="N10" s="179"/>
      <c r="O10" s="179"/>
      <c r="P10" s="179"/>
      <c r="Q10" s="179"/>
      <c r="R10" s="179"/>
      <c r="S10" s="179"/>
      <c r="T10" s="179"/>
      <c r="U10" s="180"/>
    </row>
  </sheetData>
  <sheetProtection formatCells="0" formatColumns="0" formatRows="0" insertRows="0" insertColumns="0" insertHyperlinks="0" deleteColumns="0" deleteRows="0" sort="0" autoFilter="0" pivotTables="0"/>
  <mergeCells count="2">
    <mergeCell ref="A1:U1"/>
    <mergeCell ref="B10:U10"/>
  </mergeCells>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P71"/>
  <sheetViews>
    <sheetView zoomScale="89" zoomScaleNormal="89" workbookViewId="0">
      <pane xSplit="1" ySplit="2" topLeftCell="P28" activePane="bottomRight" state="frozen"/>
      <selection/>
      <selection pane="topRight"/>
      <selection pane="bottomLeft"/>
      <selection pane="bottomRight" activeCell="A25" sqref="$A25:$XFD25"/>
    </sheetView>
  </sheetViews>
  <sheetFormatPr defaultColWidth="10.8307692307692" defaultRowHeight="15"/>
  <cols>
    <col min="1" max="1" width="7.66153846153846" style="68" customWidth="1"/>
    <col min="2" max="2" width="13" style="68" hidden="1" customWidth="1"/>
    <col min="3" max="3" width="16" style="68" customWidth="1"/>
    <col min="4" max="4" width="23.5" style="68" customWidth="1"/>
    <col min="5" max="5" width="14.1615384615385" style="68" customWidth="1"/>
    <col min="6" max="6" width="63.5" style="68" customWidth="1"/>
    <col min="7" max="7" width="54" style="68" customWidth="1"/>
    <col min="8" max="8" width="14.1615384615385" style="68" customWidth="1"/>
    <col min="9" max="9" width="18.5" style="69" customWidth="1"/>
    <col min="10" max="10" width="20.3307692307692" style="68" customWidth="1"/>
    <col min="11" max="11" width="18.6615384615385" style="68" customWidth="1"/>
    <col min="12" max="12" width="45.8307692307692" style="68" customWidth="1"/>
    <col min="13" max="13" width="23.3307692307692" style="68" customWidth="1"/>
    <col min="14" max="14" width="28.1615384615385" style="68" customWidth="1"/>
    <col min="15" max="16" width="20.6615384615385" style="68" customWidth="1"/>
    <col min="17" max="17" width="41" style="68" customWidth="1"/>
    <col min="18" max="18" width="29.6615384615385" style="70" customWidth="1"/>
    <col min="19" max="19" width="29.6615384615385" style="71" customWidth="1"/>
    <col min="20" max="20" width="114.5" style="69" customWidth="1"/>
    <col min="21" max="21" width="15.1615384615385" style="72" hidden="1" customWidth="1"/>
    <col min="22" max="23" width="42.5" style="72" hidden="1" customWidth="1"/>
    <col min="24" max="24" width="16.1615384615385" style="69" hidden="1" customWidth="1"/>
    <col min="25" max="26" width="21.8307692307692" style="69" hidden="1" customWidth="1"/>
    <col min="27" max="27" width="16.1615384615385" style="72" hidden="1" customWidth="1"/>
    <col min="28" max="29" width="21.8307692307692" style="72" hidden="1" customWidth="1"/>
    <col min="30" max="30" width="16.1615384615385" style="69" hidden="1" customWidth="1"/>
    <col min="31" max="32" width="64.8307692307692" style="69" hidden="1" customWidth="1"/>
    <col min="33" max="33" width="16.1615384615385" style="72" hidden="1" customWidth="1"/>
    <col min="34" max="35" width="56" style="72" hidden="1" customWidth="1"/>
    <col min="36" max="36" width="21.8307692307692" style="68" hidden="1" customWidth="1"/>
    <col min="37" max="37" width="83.1615384615385" style="69" hidden="1" customWidth="1"/>
    <col min="38" max="38" width="64.8307692307692" style="69" hidden="1" customWidth="1"/>
    <col min="39" max="39" width="21.8307692307692" style="72" hidden="1" customWidth="1"/>
    <col min="40" max="41" width="43.8307692307692" style="72" hidden="1" customWidth="1"/>
    <col min="42" max="42" width="21.8307692307692" style="68" customWidth="1"/>
    <col min="43" max="43" width="65.6615384615385" style="69" customWidth="1"/>
    <col min="44" max="44" width="21.8307692307692" style="73" customWidth="1"/>
    <col min="45" max="45" width="93.5" style="72" customWidth="1"/>
    <col min="46" max="46" width="21.8307692307692" style="68" customWidth="1"/>
    <col min="47" max="47" width="65.5" style="69" customWidth="1"/>
    <col min="48" max="48" width="21.8307692307692" style="72" customWidth="1"/>
    <col min="49" max="49" width="31.6615384615385" style="72" customWidth="1"/>
    <col min="50" max="51" width="21.8307692307692" style="69" customWidth="1"/>
    <col min="52" max="52" width="21.8307692307692" style="72" customWidth="1"/>
    <col min="53" max="53" width="30.6615384615385" style="72" customWidth="1"/>
    <col min="54" max="55" width="21.8307692307692" style="69" customWidth="1"/>
    <col min="56" max="57" width="21.8307692307692" style="72" customWidth="1"/>
    <col min="58" max="59" width="21.8307692307692" style="69" customWidth="1"/>
    <col min="60" max="61" width="21.8307692307692" style="72" customWidth="1"/>
    <col min="62" max="63" width="21.8307692307692" style="69" customWidth="1"/>
    <col min="64" max="65" width="21.8307692307692" style="72" customWidth="1"/>
    <col min="66" max="67" width="21.8307692307692" style="69" customWidth="1"/>
    <col min="68" max="69" width="21.8307692307692" style="72" customWidth="1"/>
    <col min="70" max="71" width="21.8307692307692" style="69" customWidth="1"/>
    <col min="72" max="73" width="21.8307692307692" style="72" customWidth="1"/>
    <col min="74" max="75" width="21.8307692307692" style="69" customWidth="1"/>
    <col min="76" max="77" width="21.8307692307692" style="72" customWidth="1"/>
    <col min="78" max="79" width="21.8307692307692" style="69" customWidth="1"/>
    <col min="80" max="82" width="21.8307692307692" style="72" hidden="1" customWidth="1"/>
    <col min="83" max="85" width="21.8307692307692" style="69" hidden="1" customWidth="1"/>
    <col min="86" max="88" width="21.8307692307692" style="72" hidden="1" customWidth="1"/>
    <col min="89" max="91" width="21.8307692307692" style="69" hidden="1" customWidth="1"/>
    <col min="92" max="94" width="21.8307692307692" style="72" hidden="1" customWidth="1"/>
    <col min="95" max="97" width="21.8307692307692" style="69" hidden="1" customWidth="1"/>
    <col min="98" max="99" width="21.8307692307692" style="72" hidden="1" customWidth="1"/>
    <col min="100" max="100" width="21.5" style="72" hidden="1" customWidth="1"/>
    <col min="101" max="103" width="21.8307692307692" style="69" hidden="1" customWidth="1"/>
    <col min="104" max="106" width="21.8307692307692" style="72" hidden="1" customWidth="1"/>
    <col min="107" max="107" width="21.8307692307692" style="69" hidden="1" customWidth="1"/>
    <col min="108" max="109" width="10.8307692307692" style="69" hidden="1" customWidth="1"/>
    <col min="110" max="112" width="10.8307692307692" style="72" hidden="1" customWidth="1"/>
    <col min="113" max="115" width="10.8307692307692" style="69" hidden="1" customWidth="1"/>
    <col min="116" max="118" width="10.8307692307692" style="72" hidden="1" customWidth="1"/>
    <col min="119" max="121" width="10.8307692307692" style="69" hidden="1" customWidth="1"/>
    <col min="122" max="124" width="10.8307692307692" style="72" hidden="1" customWidth="1"/>
    <col min="125" max="127" width="10.8307692307692" style="69" hidden="1" customWidth="1"/>
    <col min="128" max="130" width="10.8307692307692" style="72" hidden="1" customWidth="1"/>
    <col min="131" max="133" width="10.8307692307692" style="69" hidden="1" customWidth="1"/>
    <col min="134" max="136" width="10.8307692307692" style="72" hidden="1" customWidth="1"/>
    <col min="137" max="139" width="10.8307692307692" style="69" hidden="1" customWidth="1"/>
    <col min="140" max="142" width="10.8307692307692" style="72" hidden="1" customWidth="1"/>
    <col min="143" max="145" width="10.8307692307692" style="69" hidden="1" customWidth="1"/>
    <col min="146" max="148" width="10.8307692307692" style="72" hidden="1" customWidth="1"/>
    <col min="149" max="149" width="10.8307692307692" style="69" hidden="1" customWidth="1"/>
    <col min="150" max="151" width="14.3307692307692" style="69" hidden="1" customWidth="1"/>
    <col min="152" max="152" width="10.8307692307692" style="72" hidden="1" customWidth="1"/>
    <col min="153" max="154" width="22" style="72" hidden="1" customWidth="1"/>
    <col min="155" max="156" width="10.8307692307692" style="69" hidden="1" customWidth="1"/>
    <col min="157" max="157" width="11" style="69" hidden="1" customWidth="1"/>
    <col min="158" max="16384" width="10.8307692307692" style="69"/>
  </cols>
  <sheetData>
    <row r="1" s="64" customFormat="1" ht="47" customHeight="1" spans="1:172">
      <c r="A1" s="74" t="s">
        <v>0</v>
      </c>
      <c r="B1" s="75"/>
      <c r="C1" s="74" t="s">
        <v>2100</v>
      </c>
      <c r="D1" s="74" t="s">
        <v>2101</v>
      </c>
      <c r="E1" s="74" t="s">
        <v>2102</v>
      </c>
      <c r="F1" s="74" t="s">
        <v>10</v>
      </c>
      <c r="G1" s="76" t="s">
        <v>2103</v>
      </c>
      <c r="H1" s="74" t="s">
        <v>18</v>
      </c>
      <c r="I1" s="74" t="s">
        <v>19</v>
      </c>
      <c r="J1" s="74" t="s">
        <v>2104</v>
      </c>
      <c r="K1" s="74" t="s">
        <v>14</v>
      </c>
      <c r="L1" s="74" t="s">
        <v>2105</v>
      </c>
      <c r="M1" s="74" t="s">
        <v>2106</v>
      </c>
      <c r="N1" s="74" t="s">
        <v>2107</v>
      </c>
      <c r="O1" s="74" t="s">
        <v>2108</v>
      </c>
      <c r="P1" s="74" t="s">
        <v>2109</v>
      </c>
      <c r="Q1" s="74" t="s">
        <v>2110</v>
      </c>
      <c r="R1" s="77" t="s">
        <v>2111</v>
      </c>
      <c r="S1" s="78" t="s">
        <v>2112</v>
      </c>
      <c r="T1" s="79" t="s">
        <v>2113</v>
      </c>
      <c r="U1" s="80" t="s">
        <v>2114</v>
      </c>
      <c r="V1" s="80"/>
      <c r="W1" s="80"/>
      <c r="X1" s="81" t="s">
        <v>2115</v>
      </c>
      <c r="Y1" s="82"/>
      <c r="Z1" s="83"/>
      <c r="AA1" s="84" t="s">
        <v>2116</v>
      </c>
      <c r="AB1" s="85"/>
      <c r="AC1" s="86"/>
      <c r="AD1" s="81" t="s">
        <v>2117</v>
      </c>
      <c r="AE1" s="82"/>
      <c r="AF1" s="83"/>
      <c r="AG1" s="84" t="s">
        <v>2118</v>
      </c>
      <c r="AH1" s="85"/>
      <c r="AI1" s="86"/>
      <c r="AJ1" s="81" t="s">
        <v>2119</v>
      </c>
      <c r="AK1" s="82"/>
      <c r="AL1" s="83"/>
      <c r="AM1" s="84" t="s">
        <v>2120</v>
      </c>
      <c r="AN1" s="85"/>
      <c r="AO1" s="86"/>
      <c r="AP1" s="81">
        <v>2.22</v>
      </c>
      <c r="AQ1" s="82"/>
      <c r="AR1" s="84">
        <v>3.01</v>
      </c>
      <c r="AS1" s="85"/>
      <c r="AT1" s="81">
        <v>3.08</v>
      </c>
      <c r="AU1" s="82"/>
      <c r="AV1" s="80">
        <v>3.16</v>
      </c>
      <c r="AW1" s="80"/>
      <c r="AX1" s="75">
        <v>3.27</v>
      </c>
      <c r="AY1" s="75"/>
      <c r="AZ1" s="80">
        <v>4.3</v>
      </c>
      <c r="BA1" s="80"/>
      <c r="BB1" s="87">
        <v>4.1</v>
      </c>
      <c r="BC1" s="88"/>
      <c r="BD1" s="84" t="s">
        <v>2121</v>
      </c>
      <c r="BE1" s="85"/>
      <c r="BF1" s="81" t="s">
        <v>2122</v>
      </c>
      <c r="BG1" s="82"/>
      <c r="BH1" s="84" t="s">
        <v>2123</v>
      </c>
      <c r="BI1" s="85"/>
      <c r="BJ1" s="81" t="s">
        <v>2124</v>
      </c>
      <c r="BK1" s="82"/>
      <c r="BL1" s="84" t="s">
        <v>2125</v>
      </c>
      <c r="BM1" s="85"/>
      <c r="BN1" s="81" t="s">
        <v>2126</v>
      </c>
      <c r="BO1" s="82"/>
      <c r="BP1" s="84" t="s">
        <v>2127</v>
      </c>
      <c r="BQ1" s="85"/>
      <c r="BR1" s="81" t="s">
        <v>2128</v>
      </c>
      <c r="BS1" s="82"/>
      <c r="BT1" s="84" t="s">
        <v>2129</v>
      </c>
      <c r="BU1" s="85"/>
      <c r="BV1" s="81" t="s">
        <v>2130</v>
      </c>
      <c r="BW1" s="82"/>
      <c r="BX1" s="84" t="s">
        <v>2131</v>
      </c>
      <c r="BY1" s="85"/>
      <c r="BZ1" s="81" t="s">
        <v>2132</v>
      </c>
      <c r="CA1" s="82"/>
      <c r="CB1" s="84" t="s">
        <v>2133</v>
      </c>
      <c r="CC1" s="85"/>
      <c r="CD1" s="86"/>
      <c r="CE1" s="81" t="s">
        <v>2134</v>
      </c>
      <c r="CF1" s="82"/>
      <c r="CG1" s="83"/>
      <c r="CH1" s="84" t="s">
        <v>2135</v>
      </c>
      <c r="CI1" s="85"/>
      <c r="CJ1" s="86"/>
      <c r="CK1" s="81" t="s">
        <v>2136</v>
      </c>
      <c r="CL1" s="82"/>
      <c r="CM1" s="83"/>
      <c r="CN1" s="84" t="s">
        <v>2137</v>
      </c>
      <c r="CO1" s="85"/>
      <c r="CP1" s="86"/>
      <c r="CQ1" s="81" t="s">
        <v>2138</v>
      </c>
      <c r="CR1" s="82"/>
      <c r="CS1" s="83"/>
      <c r="CT1" s="84" t="s">
        <v>2139</v>
      </c>
      <c r="CU1" s="85"/>
      <c r="CV1" s="86"/>
      <c r="CW1" s="81" t="s">
        <v>2140</v>
      </c>
      <c r="CX1" s="82"/>
      <c r="CY1" s="83"/>
      <c r="CZ1" s="84" t="s">
        <v>2141</v>
      </c>
      <c r="DA1" s="85"/>
      <c r="DB1" s="86"/>
      <c r="DC1" s="81" t="s">
        <v>2142</v>
      </c>
      <c r="DD1" s="82"/>
      <c r="DE1" s="83"/>
      <c r="DF1" s="84" t="s">
        <v>2143</v>
      </c>
      <c r="DG1" s="85"/>
      <c r="DH1" s="86"/>
      <c r="DI1" s="81" t="s">
        <v>2144</v>
      </c>
      <c r="DJ1" s="82"/>
      <c r="DK1" s="83"/>
      <c r="DL1" s="84" t="s">
        <v>2145</v>
      </c>
      <c r="DM1" s="85"/>
      <c r="DN1" s="86"/>
      <c r="DO1" s="81" t="s">
        <v>2146</v>
      </c>
      <c r="DP1" s="82"/>
      <c r="DQ1" s="83"/>
      <c r="DR1" s="84" t="s">
        <v>2147</v>
      </c>
      <c r="DS1" s="85"/>
      <c r="DT1" s="86"/>
      <c r="DU1" s="81" t="s">
        <v>2148</v>
      </c>
      <c r="DV1" s="82"/>
      <c r="DW1" s="83"/>
      <c r="DX1" s="84" t="s">
        <v>2149</v>
      </c>
      <c r="DY1" s="85"/>
      <c r="DZ1" s="86"/>
      <c r="EA1" s="81" t="s">
        <v>2150</v>
      </c>
      <c r="EB1" s="82"/>
      <c r="EC1" s="83"/>
      <c r="ED1" s="84" t="s">
        <v>2151</v>
      </c>
      <c r="EE1" s="85"/>
      <c r="EF1" s="86"/>
      <c r="EG1" s="81" t="s">
        <v>2152</v>
      </c>
      <c r="EH1" s="82"/>
      <c r="EI1" s="83"/>
      <c r="EJ1" s="84" t="s">
        <v>2153</v>
      </c>
      <c r="EK1" s="85"/>
      <c r="EL1" s="86"/>
      <c r="EM1" s="81" t="s">
        <v>2154</v>
      </c>
      <c r="EN1" s="82"/>
      <c r="EO1" s="83"/>
      <c r="EP1" s="84" t="s">
        <v>2155</v>
      </c>
      <c r="EQ1" s="85"/>
      <c r="ER1" s="86"/>
      <c r="ES1" s="81" t="s">
        <v>2156</v>
      </c>
      <c r="ET1" s="82"/>
      <c r="EU1" s="83"/>
      <c r="EV1" s="84" t="s">
        <v>2157</v>
      </c>
      <c r="EW1" s="85"/>
      <c r="EX1" s="86"/>
      <c r="EY1" s="81" t="s">
        <v>2158</v>
      </c>
      <c r="EZ1" s="82"/>
      <c r="FA1" s="83"/>
    </row>
    <row r="2" s="65" customFormat="1" ht="69" customHeight="1" spans="1:172">
      <c r="A2" s="74"/>
      <c r="B2" s="74" t="s">
        <v>2159</v>
      </c>
      <c r="C2" s="74"/>
      <c r="D2" s="74"/>
      <c r="E2" s="74"/>
      <c r="F2" s="74"/>
      <c r="G2" s="76"/>
      <c r="H2" s="74"/>
      <c r="I2" s="74"/>
      <c r="J2" s="74"/>
      <c r="K2" s="74"/>
      <c r="L2" s="74"/>
      <c r="M2" s="74"/>
      <c r="N2" s="74"/>
      <c r="O2" s="74"/>
      <c r="P2" s="74"/>
      <c r="Q2" s="74"/>
      <c r="R2" s="77"/>
      <c r="S2" s="89"/>
      <c r="T2" s="79"/>
      <c r="U2" s="90" t="s">
        <v>2160</v>
      </c>
      <c r="V2" s="90" t="s">
        <v>2161</v>
      </c>
      <c r="W2" s="90" t="s">
        <v>2112</v>
      </c>
      <c r="X2" s="91" t="s">
        <v>2160</v>
      </c>
      <c r="Y2" s="91" t="s">
        <v>2161</v>
      </c>
      <c r="Z2" s="91" t="s">
        <v>76</v>
      </c>
      <c r="AA2" s="90" t="s">
        <v>2160</v>
      </c>
      <c r="AB2" s="90" t="s">
        <v>2161</v>
      </c>
      <c r="AC2" s="90" t="s">
        <v>2112</v>
      </c>
      <c r="AD2" s="91" t="s">
        <v>2160</v>
      </c>
      <c r="AE2" s="91" t="s">
        <v>2161</v>
      </c>
      <c r="AF2" s="91" t="s">
        <v>2112</v>
      </c>
      <c r="AG2" s="90" t="s">
        <v>2160</v>
      </c>
      <c r="AH2" s="90" t="s">
        <v>2161</v>
      </c>
      <c r="AI2" s="90" t="s">
        <v>2112</v>
      </c>
      <c r="AJ2" s="91" t="s">
        <v>2160</v>
      </c>
      <c r="AK2" s="91" t="s">
        <v>2161</v>
      </c>
      <c r="AL2" s="91" t="s">
        <v>2112</v>
      </c>
      <c r="AM2" s="90" t="s">
        <v>2160</v>
      </c>
      <c r="AN2" s="90" t="s">
        <v>2161</v>
      </c>
      <c r="AO2" s="90" t="s">
        <v>2112</v>
      </c>
      <c r="AP2" s="91" t="s">
        <v>2160</v>
      </c>
      <c r="AQ2" s="91" t="s">
        <v>2161</v>
      </c>
      <c r="AR2" s="90" t="s">
        <v>2160</v>
      </c>
      <c r="AS2" s="90" t="s">
        <v>2161</v>
      </c>
      <c r="AT2" s="91" t="s">
        <v>2160</v>
      </c>
      <c r="AU2" s="91" t="s">
        <v>2161</v>
      </c>
      <c r="AV2" s="90" t="s">
        <v>2160</v>
      </c>
      <c r="AW2" s="90" t="s">
        <v>2161</v>
      </c>
      <c r="AX2" s="91" t="s">
        <v>2160</v>
      </c>
      <c r="AY2" s="91" t="s">
        <v>2161</v>
      </c>
      <c r="AZ2" s="90" t="s">
        <v>2160</v>
      </c>
      <c r="BA2" s="90" t="s">
        <v>2161</v>
      </c>
      <c r="BB2" s="91" t="s">
        <v>2160</v>
      </c>
      <c r="BC2" s="91" t="s">
        <v>2161</v>
      </c>
      <c r="BD2" s="90" t="s">
        <v>2160</v>
      </c>
      <c r="BE2" s="90" t="s">
        <v>2161</v>
      </c>
      <c r="BF2" s="91" t="s">
        <v>2160</v>
      </c>
      <c r="BG2" s="91" t="s">
        <v>2161</v>
      </c>
      <c r="BH2" s="90" t="s">
        <v>2160</v>
      </c>
      <c r="BI2" s="90" t="s">
        <v>2161</v>
      </c>
      <c r="BJ2" s="91" t="s">
        <v>2160</v>
      </c>
      <c r="BK2" s="91" t="s">
        <v>2161</v>
      </c>
      <c r="BL2" s="90" t="s">
        <v>2160</v>
      </c>
      <c r="BM2" s="90" t="s">
        <v>2161</v>
      </c>
      <c r="BN2" s="91" t="s">
        <v>2160</v>
      </c>
      <c r="BO2" s="91" t="s">
        <v>2161</v>
      </c>
      <c r="BP2" s="90" t="s">
        <v>2160</v>
      </c>
      <c r="BQ2" s="90" t="s">
        <v>2161</v>
      </c>
      <c r="BR2" s="91" t="s">
        <v>2160</v>
      </c>
      <c r="BS2" s="91" t="s">
        <v>2161</v>
      </c>
      <c r="BT2" s="90" t="s">
        <v>2160</v>
      </c>
      <c r="BU2" s="90" t="s">
        <v>2161</v>
      </c>
      <c r="BV2" s="91" t="s">
        <v>2160</v>
      </c>
      <c r="BW2" s="91" t="s">
        <v>2161</v>
      </c>
      <c r="BX2" s="90" t="s">
        <v>2160</v>
      </c>
      <c r="BY2" s="90" t="s">
        <v>2161</v>
      </c>
      <c r="BZ2" s="91" t="s">
        <v>2160</v>
      </c>
      <c r="CA2" s="91" t="s">
        <v>2161</v>
      </c>
      <c r="CB2" s="90" t="s">
        <v>2160</v>
      </c>
      <c r="CC2" s="90" t="s">
        <v>2161</v>
      </c>
      <c r="CD2" s="90" t="s">
        <v>2112</v>
      </c>
      <c r="CE2" s="91" t="s">
        <v>2160</v>
      </c>
      <c r="CF2" s="91" t="s">
        <v>2161</v>
      </c>
      <c r="CG2" s="91" t="s">
        <v>76</v>
      </c>
      <c r="CH2" s="90" t="s">
        <v>2160</v>
      </c>
      <c r="CI2" s="90" t="s">
        <v>2161</v>
      </c>
      <c r="CJ2" s="90" t="s">
        <v>2112</v>
      </c>
      <c r="CK2" s="91" t="s">
        <v>2160</v>
      </c>
      <c r="CL2" s="91" t="s">
        <v>2161</v>
      </c>
      <c r="CM2" s="91" t="s">
        <v>2112</v>
      </c>
      <c r="CN2" s="90" t="s">
        <v>2160</v>
      </c>
      <c r="CO2" s="90" t="s">
        <v>2161</v>
      </c>
      <c r="CP2" s="90" t="s">
        <v>2112</v>
      </c>
      <c r="CQ2" s="91" t="s">
        <v>2160</v>
      </c>
      <c r="CR2" s="91" t="s">
        <v>2161</v>
      </c>
      <c r="CS2" s="91" t="s">
        <v>2112</v>
      </c>
      <c r="CT2" s="90" t="s">
        <v>2160</v>
      </c>
      <c r="CU2" s="90" t="s">
        <v>2161</v>
      </c>
      <c r="CV2" s="90" t="s">
        <v>2112</v>
      </c>
      <c r="CW2" s="91" t="s">
        <v>2160</v>
      </c>
      <c r="CX2" s="91" t="s">
        <v>2161</v>
      </c>
      <c r="CY2" s="91" t="s">
        <v>2112</v>
      </c>
      <c r="CZ2" s="90" t="s">
        <v>2160</v>
      </c>
      <c r="DA2" s="90" t="s">
        <v>2161</v>
      </c>
      <c r="DB2" s="90" t="s">
        <v>2112</v>
      </c>
      <c r="DC2" s="91" t="s">
        <v>2160</v>
      </c>
      <c r="DD2" s="91" t="s">
        <v>2161</v>
      </c>
      <c r="DE2" s="91" t="s">
        <v>2112</v>
      </c>
      <c r="DF2" s="90" t="s">
        <v>2160</v>
      </c>
      <c r="DG2" s="90" t="s">
        <v>2161</v>
      </c>
      <c r="DH2" s="90" t="s">
        <v>2112</v>
      </c>
      <c r="DI2" s="91" t="s">
        <v>2160</v>
      </c>
      <c r="DJ2" s="91" t="s">
        <v>2161</v>
      </c>
      <c r="DK2" s="91" t="s">
        <v>76</v>
      </c>
      <c r="DL2" s="90" t="s">
        <v>2160</v>
      </c>
      <c r="DM2" s="90" t="s">
        <v>2161</v>
      </c>
      <c r="DN2" s="90" t="s">
        <v>2112</v>
      </c>
      <c r="DO2" s="91" t="s">
        <v>2160</v>
      </c>
      <c r="DP2" s="91" t="s">
        <v>2161</v>
      </c>
      <c r="DQ2" s="91" t="s">
        <v>2112</v>
      </c>
      <c r="DR2" s="90" t="s">
        <v>2160</v>
      </c>
      <c r="DS2" s="90" t="s">
        <v>2161</v>
      </c>
      <c r="DT2" s="90" t="s">
        <v>2112</v>
      </c>
      <c r="DU2" s="91" t="s">
        <v>2160</v>
      </c>
      <c r="DV2" s="91" t="s">
        <v>2161</v>
      </c>
      <c r="DW2" s="91" t="s">
        <v>2112</v>
      </c>
      <c r="DX2" s="90" t="s">
        <v>2160</v>
      </c>
      <c r="DY2" s="90" t="s">
        <v>2161</v>
      </c>
      <c r="DZ2" s="90" t="s">
        <v>2112</v>
      </c>
      <c r="EA2" s="91" t="s">
        <v>2160</v>
      </c>
      <c r="EB2" s="91" t="s">
        <v>2161</v>
      </c>
      <c r="EC2" s="91" t="s">
        <v>2112</v>
      </c>
      <c r="ED2" s="90" t="s">
        <v>2160</v>
      </c>
      <c r="EE2" s="90" t="s">
        <v>2161</v>
      </c>
      <c r="EF2" s="90" t="s">
        <v>2112</v>
      </c>
      <c r="EG2" s="91" t="s">
        <v>2160</v>
      </c>
      <c r="EH2" s="91" t="s">
        <v>2161</v>
      </c>
      <c r="EI2" s="91" t="s">
        <v>2112</v>
      </c>
      <c r="EJ2" s="90" t="s">
        <v>2160</v>
      </c>
      <c r="EK2" s="90" t="s">
        <v>2161</v>
      </c>
      <c r="EL2" s="90" t="s">
        <v>2112</v>
      </c>
      <c r="EM2" s="91" t="s">
        <v>2160</v>
      </c>
      <c r="EN2" s="91" t="s">
        <v>2161</v>
      </c>
      <c r="EO2" s="91" t="s">
        <v>2112</v>
      </c>
      <c r="EP2" s="90" t="s">
        <v>2160</v>
      </c>
      <c r="EQ2" s="90" t="s">
        <v>2161</v>
      </c>
      <c r="ER2" s="90" t="s">
        <v>2112</v>
      </c>
      <c r="ES2" s="91" t="s">
        <v>2160</v>
      </c>
      <c r="ET2" s="91" t="s">
        <v>2161</v>
      </c>
      <c r="EU2" s="91" t="s">
        <v>2112</v>
      </c>
      <c r="EV2" s="90" t="s">
        <v>2160</v>
      </c>
      <c r="EW2" s="90" t="s">
        <v>2161</v>
      </c>
      <c r="EX2" s="90" t="s">
        <v>2112</v>
      </c>
      <c r="EY2" s="91" t="s">
        <v>2160</v>
      </c>
      <c r="EZ2" s="91" t="s">
        <v>2161</v>
      </c>
      <c r="FA2" s="91" t="s">
        <v>2112</v>
      </c>
      <c r="FB2" s="92"/>
      <c r="FC2" s="91"/>
      <c r="FD2" s="91"/>
      <c r="FE2" s="91"/>
      <c r="FF2" s="91"/>
      <c r="FG2" s="91"/>
      <c r="FH2" s="91"/>
      <c r="FI2" s="91"/>
      <c r="FJ2" s="91"/>
      <c r="FK2" s="91"/>
      <c r="FL2" s="91"/>
      <c r="FM2" s="91"/>
      <c r="FN2" s="91"/>
      <c r="FO2" s="91"/>
      <c r="FP2" s="91"/>
    </row>
    <row r="3" s="66" customFormat="1" ht="121" customHeight="1" spans="1:172">
      <c r="A3" s="93">
        <v>1</v>
      </c>
      <c r="B3" s="94" t="s">
        <v>2162</v>
      </c>
      <c r="C3" s="93" t="s">
        <v>1777</v>
      </c>
      <c r="D3" s="93" t="s">
        <v>97</v>
      </c>
      <c r="E3" s="93" t="s">
        <v>88</v>
      </c>
      <c r="F3" s="93" t="s">
        <v>401</v>
      </c>
      <c r="G3" s="93" t="s">
        <v>402</v>
      </c>
      <c r="H3" s="93" t="s">
        <v>404</v>
      </c>
      <c r="I3" s="95">
        <v>18900651576</v>
      </c>
      <c r="J3" s="93" t="s">
        <v>1644</v>
      </c>
      <c r="K3" s="93" t="s">
        <v>310</v>
      </c>
      <c r="L3" s="93" t="s">
        <v>406</v>
      </c>
      <c r="M3" s="93" t="s">
        <v>1506</v>
      </c>
      <c r="N3" s="93">
        <v>0</v>
      </c>
      <c r="O3" s="93" t="s">
        <v>2163</v>
      </c>
      <c r="P3" s="93" t="s">
        <v>369</v>
      </c>
      <c r="Q3" s="93" t="s">
        <v>369</v>
      </c>
      <c r="R3" s="96" t="s">
        <v>369</v>
      </c>
      <c r="S3" s="97" t="s">
        <v>2164</v>
      </c>
      <c r="T3" s="98" t="s">
        <v>2165</v>
      </c>
      <c r="U3" s="99"/>
      <c r="V3" s="100"/>
      <c r="W3" s="100"/>
      <c r="X3" s="94"/>
      <c r="Y3" s="94"/>
      <c r="Z3" s="94"/>
      <c r="AA3" s="101"/>
      <c r="AB3" s="101"/>
      <c r="AC3" s="101"/>
      <c r="AD3" s="102">
        <v>46049</v>
      </c>
      <c r="AE3" s="103" t="s">
        <v>2166</v>
      </c>
      <c r="AF3" s="103"/>
      <c r="AG3" s="101"/>
      <c r="AH3" s="101"/>
      <c r="AI3" s="101"/>
      <c r="AJ3" s="104"/>
      <c r="AK3" s="94"/>
      <c r="AL3" s="103"/>
      <c r="AM3" s="101"/>
      <c r="AN3" s="101"/>
      <c r="AO3" s="101"/>
      <c r="AP3" s="104"/>
      <c r="AQ3" s="94"/>
      <c r="AR3" s="105"/>
      <c r="AS3" s="101"/>
      <c r="AT3" s="104"/>
      <c r="AU3" s="94"/>
      <c r="AV3" s="101"/>
      <c r="AW3" s="101"/>
      <c r="AX3" s="94"/>
      <c r="AY3" s="94"/>
      <c r="AZ3" s="106">
        <v>46113</v>
      </c>
      <c r="BA3" s="100" t="s">
        <v>2167</v>
      </c>
      <c r="BB3" s="94"/>
      <c r="BC3" s="94"/>
      <c r="BD3" s="101"/>
      <c r="BE3" s="101"/>
      <c r="BF3" s="94"/>
      <c r="BG3" s="94"/>
      <c r="BH3" s="101"/>
      <c r="BI3" s="101"/>
      <c r="BJ3" s="94"/>
      <c r="BK3" s="94"/>
      <c r="BL3" s="101"/>
      <c r="BM3" s="101"/>
      <c r="BN3" s="94"/>
      <c r="BO3" s="94"/>
      <c r="BP3" s="101"/>
      <c r="BQ3" s="101"/>
      <c r="BR3" s="94"/>
      <c r="BS3" s="94"/>
      <c r="BT3" s="101"/>
      <c r="BU3" s="101"/>
      <c r="BV3" s="94"/>
      <c r="BW3" s="94"/>
      <c r="BX3" s="101"/>
      <c r="BY3" s="101"/>
      <c r="BZ3" s="94"/>
      <c r="CA3" s="94"/>
      <c r="CB3" s="101"/>
      <c r="CC3" s="101"/>
      <c r="CD3" s="101"/>
      <c r="CE3" s="94"/>
      <c r="CF3" s="94"/>
      <c r="CG3" s="94"/>
      <c r="CH3" s="101"/>
      <c r="CI3" s="101"/>
      <c r="CJ3" s="101"/>
      <c r="CK3" s="94"/>
      <c r="CL3" s="94"/>
      <c r="CM3" s="94"/>
      <c r="CN3" s="101"/>
      <c r="CO3" s="101"/>
      <c r="CP3" s="101"/>
      <c r="CQ3" s="94"/>
      <c r="CR3" s="94"/>
      <c r="CS3" s="94"/>
      <c r="CT3" s="101"/>
      <c r="CU3" s="101"/>
      <c r="CV3" s="101"/>
      <c r="CW3" s="94"/>
      <c r="CX3" s="94"/>
      <c r="CY3" s="94"/>
      <c r="CZ3" s="101"/>
      <c r="DA3" s="101"/>
      <c r="DB3" s="101"/>
      <c r="DC3" s="94"/>
      <c r="DD3" s="94"/>
      <c r="DE3" s="94"/>
      <c r="DF3" s="101"/>
      <c r="DG3" s="101"/>
      <c r="DH3" s="101"/>
      <c r="DI3" s="94"/>
      <c r="DJ3" s="94"/>
      <c r="DK3" s="94"/>
      <c r="DL3" s="101"/>
      <c r="DM3" s="101"/>
      <c r="DN3" s="101"/>
      <c r="DO3" s="94"/>
      <c r="DP3" s="94"/>
      <c r="DQ3" s="94"/>
      <c r="DR3" s="101"/>
      <c r="DS3" s="101"/>
      <c r="DT3" s="101"/>
      <c r="DU3" s="94"/>
      <c r="DV3" s="94"/>
      <c r="DW3" s="94"/>
      <c r="DX3" s="101"/>
      <c r="DY3" s="101"/>
      <c r="DZ3" s="101"/>
      <c r="EA3" s="94"/>
      <c r="EB3" s="94"/>
      <c r="EC3" s="94"/>
      <c r="ED3" s="101"/>
      <c r="EE3" s="101"/>
      <c r="EF3" s="101"/>
      <c r="EG3" s="94"/>
      <c r="EH3" s="94"/>
      <c r="EI3" s="94"/>
      <c r="EJ3" s="101"/>
      <c r="EK3" s="101"/>
      <c r="EL3" s="101"/>
      <c r="EM3" s="94"/>
      <c r="EN3" s="94"/>
      <c r="EO3" s="94"/>
      <c r="EP3" s="101"/>
      <c r="EQ3" s="101"/>
      <c r="ER3" s="101"/>
      <c r="ES3" s="94"/>
      <c r="ET3" s="94"/>
      <c r="EU3" s="94"/>
      <c r="EV3" s="101"/>
      <c r="EW3" s="101"/>
      <c r="EX3" s="101"/>
      <c r="EY3" s="94"/>
      <c r="EZ3" s="94"/>
      <c r="FA3" s="94"/>
    </row>
    <row r="4" s="66" customFormat="1" ht="76" customHeight="1" spans="1:172">
      <c r="A4" s="93">
        <v>2</v>
      </c>
      <c r="B4" s="94" t="s">
        <v>2168</v>
      </c>
      <c r="C4" s="107" t="s">
        <v>2169</v>
      </c>
      <c r="D4" s="93" t="s">
        <v>85</v>
      </c>
      <c r="E4" s="107" t="s">
        <v>88</v>
      </c>
      <c r="F4" s="93" t="s">
        <v>2170</v>
      </c>
      <c r="G4" s="107" t="s">
        <v>2171</v>
      </c>
      <c r="H4" s="107" t="s">
        <v>1651</v>
      </c>
      <c r="I4" s="107">
        <v>18797817278</v>
      </c>
      <c r="J4" s="107" t="s">
        <v>1650</v>
      </c>
      <c r="K4" s="107" t="s">
        <v>310</v>
      </c>
      <c r="L4" s="107" t="s">
        <v>2172</v>
      </c>
      <c r="M4" s="107" t="s">
        <v>2023</v>
      </c>
      <c r="N4" s="107" t="s">
        <v>2173</v>
      </c>
      <c r="O4" s="107" t="s">
        <v>2163</v>
      </c>
      <c r="P4" s="107" t="s">
        <v>2174</v>
      </c>
      <c r="Q4" s="107" t="s">
        <v>85</v>
      </c>
      <c r="R4" s="108" t="s">
        <v>2175</v>
      </c>
      <c r="S4" s="109" t="s">
        <v>787</v>
      </c>
      <c r="T4" s="98" t="s">
        <v>2176</v>
      </c>
      <c r="U4" s="110"/>
      <c r="V4" s="100"/>
      <c r="W4" s="100"/>
      <c r="X4" s="94"/>
      <c r="Y4" s="94"/>
      <c r="Z4" s="94"/>
      <c r="AA4" s="101"/>
      <c r="AB4" s="101"/>
      <c r="AC4" s="101"/>
      <c r="AD4" s="102">
        <v>46050</v>
      </c>
      <c r="AE4" s="103" t="s">
        <v>2177</v>
      </c>
      <c r="AF4" s="103"/>
      <c r="AG4" s="101"/>
      <c r="AH4" s="101"/>
      <c r="AI4" s="101"/>
      <c r="AJ4" s="104"/>
      <c r="AK4" s="94"/>
      <c r="AL4" s="103"/>
      <c r="AM4" s="101"/>
      <c r="AN4" s="101"/>
      <c r="AO4" s="101"/>
      <c r="AP4" s="104"/>
      <c r="AQ4" s="94"/>
      <c r="AR4" s="105"/>
      <c r="AS4" s="101"/>
      <c r="AT4" s="104"/>
      <c r="AU4" s="94"/>
      <c r="AV4" s="101"/>
      <c r="AW4" s="101"/>
      <c r="AX4" s="94"/>
      <c r="AY4" s="94"/>
      <c r="AZ4" s="101"/>
      <c r="BA4" s="101"/>
      <c r="BB4" s="94"/>
      <c r="BC4" s="94"/>
      <c r="BD4" s="101"/>
      <c r="BE4" s="101"/>
      <c r="BF4" s="94"/>
      <c r="BG4" s="94"/>
      <c r="BH4" s="101"/>
      <c r="BI4" s="101"/>
      <c r="BJ4" s="94"/>
      <c r="BK4" s="94"/>
      <c r="BL4" s="101"/>
      <c r="BM4" s="101"/>
      <c r="BN4" s="94"/>
      <c r="BO4" s="94"/>
      <c r="BP4" s="101"/>
      <c r="BQ4" s="101"/>
      <c r="BR4" s="94"/>
      <c r="BS4" s="94"/>
      <c r="BT4" s="101"/>
      <c r="BU4" s="101"/>
      <c r="BV4" s="94"/>
      <c r="BW4" s="94"/>
      <c r="BX4" s="101"/>
      <c r="BY4" s="101"/>
      <c r="BZ4" s="94"/>
      <c r="CA4" s="94"/>
      <c r="CB4" s="101"/>
      <c r="CC4" s="101"/>
      <c r="CD4" s="101"/>
      <c r="CE4" s="94"/>
      <c r="CF4" s="94"/>
      <c r="CG4" s="94"/>
      <c r="CH4" s="101"/>
      <c r="CI4" s="101"/>
      <c r="CJ4" s="101"/>
      <c r="CK4" s="94"/>
      <c r="CL4" s="94"/>
      <c r="CM4" s="94"/>
      <c r="CN4" s="101"/>
      <c r="CO4" s="101"/>
      <c r="CP4" s="101"/>
      <c r="CQ4" s="94"/>
      <c r="CR4" s="94"/>
      <c r="CS4" s="94"/>
      <c r="CT4" s="101"/>
      <c r="CU4" s="101"/>
      <c r="CV4" s="101"/>
      <c r="CW4" s="94"/>
      <c r="CX4" s="94"/>
      <c r="CY4" s="94"/>
      <c r="CZ4" s="101"/>
      <c r="DA4" s="101"/>
      <c r="DB4" s="101"/>
      <c r="DC4" s="94"/>
      <c r="DD4" s="94"/>
      <c r="DE4" s="94"/>
      <c r="DF4" s="101"/>
      <c r="DG4" s="101"/>
      <c r="DH4" s="101"/>
      <c r="DI4" s="94"/>
      <c r="DJ4" s="94"/>
      <c r="DK4" s="94"/>
      <c r="DL4" s="101"/>
      <c r="DM4" s="101"/>
      <c r="DN4" s="101"/>
      <c r="DO4" s="94"/>
      <c r="DP4" s="94"/>
      <c r="DQ4" s="94"/>
      <c r="DR4" s="101"/>
      <c r="DS4" s="101"/>
      <c r="DT4" s="101"/>
      <c r="DU4" s="94"/>
      <c r="DV4" s="94"/>
      <c r="DW4" s="94"/>
      <c r="DX4" s="101"/>
      <c r="DY4" s="101"/>
      <c r="DZ4" s="101"/>
      <c r="EA4" s="94"/>
      <c r="EB4" s="94"/>
      <c r="EC4" s="94"/>
      <c r="ED4" s="101"/>
      <c r="EE4" s="101"/>
      <c r="EF4" s="101"/>
      <c r="EG4" s="94"/>
      <c r="EH4" s="94"/>
      <c r="EI4" s="94"/>
      <c r="EJ4" s="101"/>
      <c r="EK4" s="101"/>
      <c r="EL4" s="101"/>
      <c r="EM4" s="94"/>
      <c r="EN4" s="94"/>
      <c r="EO4" s="94"/>
      <c r="EP4" s="101"/>
      <c r="EQ4" s="101"/>
      <c r="ER4" s="101"/>
      <c r="ES4" s="94"/>
      <c r="ET4" s="94"/>
      <c r="EU4" s="94"/>
      <c r="EV4" s="101"/>
      <c r="EW4" s="101"/>
      <c r="EX4" s="101"/>
      <c r="EY4" s="94"/>
      <c r="EZ4" s="94"/>
      <c r="FA4" s="94"/>
    </row>
    <row r="5" s="66" customFormat="1" ht="76" customHeight="1" spans="1:172">
      <c r="A5" s="93">
        <v>3</v>
      </c>
      <c r="B5" s="94" t="s">
        <v>2178</v>
      </c>
      <c r="C5" s="107" t="s">
        <v>2179</v>
      </c>
      <c r="D5" s="93" t="s">
        <v>85</v>
      </c>
      <c r="E5" s="107" t="s">
        <v>88</v>
      </c>
      <c r="F5" s="107" t="s">
        <v>2180</v>
      </c>
      <c r="G5" s="93" t="s">
        <v>2181</v>
      </c>
      <c r="H5" s="107" t="s">
        <v>2182</v>
      </c>
      <c r="I5" s="107">
        <v>17315399820</v>
      </c>
      <c r="J5" s="107" t="s">
        <v>2183</v>
      </c>
      <c r="K5" s="107" t="s">
        <v>310</v>
      </c>
      <c r="L5" s="107" t="s">
        <v>2184</v>
      </c>
      <c r="M5" s="107" t="s">
        <v>2185</v>
      </c>
      <c r="N5" s="107" t="s">
        <v>2186</v>
      </c>
      <c r="O5" s="107" t="s">
        <v>2163</v>
      </c>
      <c r="P5" s="107" t="s">
        <v>2187</v>
      </c>
      <c r="Q5" s="107" t="s">
        <v>85</v>
      </c>
      <c r="R5" s="96" t="s">
        <v>2188</v>
      </c>
      <c r="S5" s="97" t="s">
        <v>2189</v>
      </c>
      <c r="T5" s="98" t="s">
        <v>2190</v>
      </c>
      <c r="U5" s="110"/>
      <c r="V5" s="100"/>
      <c r="W5" s="100"/>
      <c r="X5" s="94"/>
      <c r="Y5" s="94"/>
      <c r="Z5" s="94"/>
      <c r="AA5" s="101"/>
      <c r="AB5" s="101"/>
      <c r="AC5" s="101"/>
      <c r="AD5" s="102">
        <v>46048</v>
      </c>
      <c r="AE5" s="103" t="s">
        <v>2191</v>
      </c>
      <c r="AF5" s="103"/>
      <c r="AG5" s="101"/>
      <c r="AH5" s="101"/>
      <c r="AI5" s="101"/>
      <c r="AJ5" s="104"/>
      <c r="AK5" s="94"/>
      <c r="AL5" s="103"/>
      <c r="AM5" s="101"/>
      <c r="AN5" s="101"/>
      <c r="AO5" s="101"/>
      <c r="AP5" s="104"/>
      <c r="AQ5" s="94"/>
      <c r="AR5" s="105"/>
      <c r="AS5" s="101"/>
      <c r="AT5" s="104"/>
      <c r="AU5" s="94"/>
      <c r="AV5" s="101"/>
      <c r="AW5" s="101"/>
      <c r="AX5" s="94"/>
      <c r="AY5" s="94"/>
      <c r="AZ5" s="101"/>
      <c r="BA5" s="101"/>
      <c r="BB5" s="94"/>
      <c r="BC5" s="94"/>
      <c r="BD5" s="101"/>
      <c r="BE5" s="101"/>
      <c r="BF5" s="94"/>
      <c r="BG5" s="94"/>
      <c r="BH5" s="101"/>
      <c r="BI5" s="101"/>
      <c r="BJ5" s="94"/>
      <c r="BK5" s="94"/>
      <c r="BL5" s="101"/>
      <c r="BM5" s="101"/>
      <c r="BN5" s="94"/>
      <c r="BO5" s="94"/>
      <c r="BP5" s="101"/>
      <c r="BQ5" s="101"/>
      <c r="BR5" s="94"/>
      <c r="BS5" s="94"/>
      <c r="BT5" s="101"/>
      <c r="BU5" s="101"/>
      <c r="BV5" s="94"/>
      <c r="BW5" s="94"/>
      <c r="BX5" s="101"/>
      <c r="BY5" s="101"/>
      <c r="BZ5" s="94"/>
      <c r="CA5" s="94"/>
      <c r="CB5" s="101"/>
      <c r="CC5" s="101"/>
      <c r="CD5" s="101"/>
      <c r="CE5" s="94"/>
      <c r="CF5" s="94"/>
      <c r="CG5" s="94"/>
      <c r="CH5" s="101"/>
      <c r="CI5" s="101"/>
      <c r="CJ5" s="101"/>
      <c r="CK5" s="94"/>
      <c r="CL5" s="94"/>
      <c r="CM5" s="94"/>
      <c r="CN5" s="101"/>
      <c r="CO5" s="101"/>
      <c r="CP5" s="101"/>
      <c r="CQ5" s="94"/>
      <c r="CR5" s="94"/>
      <c r="CS5" s="94"/>
      <c r="CT5" s="101"/>
      <c r="CU5" s="101"/>
      <c r="CV5" s="101"/>
      <c r="CW5" s="94"/>
      <c r="CX5" s="94"/>
      <c r="CY5" s="94"/>
      <c r="CZ5" s="101"/>
      <c r="DA5" s="101"/>
      <c r="DB5" s="101"/>
      <c r="DC5" s="94"/>
      <c r="DD5" s="94"/>
      <c r="DE5" s="94"/>
      <c r="DF5" s="101"/>
      <c r="DG5" s="101"/>
      <c r="DH5" s="101"/>
      <c r="DI5" s="94"/>
      <c r="DJ5" s="94"/>
      <c r="DK5" s="94"/>
      <c r="DL5" s="101"/>
      <c r="DM5" s="101"/>
      <c r="DN5" s="101"/>
      <c r="DO5" s="94"/>
      <c r="DP5" s="94"/>
      <c r="DQ5" s="94"/>
      <c r="DR5" s="101"/>
      <c r="DS5" s="101"/>
      <c r="DT5" s="101"/>
      <c r="DU5" s="94"/>
      <c r="DV5" s="94"/>
      <c r="DW5" s="94"/>
      <c r="DX5" s="101"/>
      <c r="DY5" s="101"/>
      <c r="DZ5" s="101"/>
      <c r="EA5" s="94"/>
      <c r="EB5" s="94"/>
      <c r="EC5" s="94"/>
      <c r="ED5" s="101"/>
      <c r="EE5" s="101"/>
      <c r="EF5" s="101"/>
      <c r="EG5" s="94"/>
      <c r="EH5" s="94"/>
      <c r="EI5" s="94"/>
      <c r="EJ5" s="101"/>
      <c r="EK5" s="101"/>
      <c r="EL5" s="101"/>
      <c r="EM5" s="94"/>
      <c r="EN5" s="94"/>
      <c r="EO5" s="94"/>
      <c r="EP5" s="101"/>
      <c r="EQ5" s="101"/>
      <c r="ER5" s="101"/>
      <c r="ES5" s="94"/>
      <c r="ET5" s="94"/>
      <c r="EU5" s="94"/>
      <c r="EV5" s="101"/>
      <c r="EW5" s="101"/>
      <c r="EX5" s="101"/>
      <c r="EY5" s="94"/>
      <c r="EZ5" s="94"/>
      <c r="FA5" s="94"/>
    </row>
    <row r="6" s="66" customFormat="1" ht="76" customHeight="1" spans="1:172">
      <c r="A6" s="93">
        <v>4</v>
      </c>
      <c r="B6" s="94" t="s">
        <v>2192</v>
      </c>
      <c r="C6" s="107" t="s">
        <v>2193</v>
      </c>
      <c r="D6" s="93" t="s">
        <v>85</v>
      </c>
      <c r="E6" s="107" t="s">
        <v>88</v>
      </c>
      <c r="F6" s="93" t="s">
        <v>2194</v>
      </c>
      <c r="G6" s="107" t="s">
        <v>2195</v>
      </c>
      <c r="H6" s="107" t="s">
        <v>82</v>
      </c>
      <c r="I6" s="107">
        <v>13775644635</v>
      </c>
      <c r="J6" s="107" t="s">
        <v>1895</v>
      </c>
      <c r="K6" s="107" t="s">
        <v>124</v>
      </c>
      <c r="L6" s="107" t="s">
        <v>2026</v>
      </c>
      <c r="M6" s="93" t="s">
        <v>2196</v>
      </c>
      <c r="N6" s="107">
        <v>0</v>
      </c>
      <c r="O6" s="107" t="s">
        <v>369</v>
      </c>
      <c r="P6" s="107" t="s">
        <v>146</v>
      </c>
      <c r="Q6" s="107" t="s">
        <v>85</v>
      </c>
      <c r="R6" s="108" t="s">
        <v>2197</v>
      </c>
      <c r="S6" s="109" t="s">
        <v>787</v>
      </c>
      <c r="T6" s="98" t="s">
        <v>2198</v>
      </c>
      <c r="U6" s="110"/>
      <c r="V6" s="100"/>
      <c r="W6" s="100"/>
      <c r="X6" s="94"/>
      <c r="Y6" s="94"/>
      <c r="Z6" s="94"/>
      <c r="AA6" s="101"/>
      <c r="AB6" s="101"/>
      <c r="AC6" s="101"/>
      <c r="AD6" s="102">
        <v>46051</v>
      </c>
      <c r="AE6" s="103" t="s">
        <v>2199</v>
      </c>
      <c r="AF6" s="103"/>
      <c r="AG6" s="101"/>
      <c r="AH6" s="101"/>
      <c r="AI6" s="101"/>
      <c r="AJ6" s="104"/>
      <c r="AK6" s="94"/>
      <c r="AL6" s="103"/>
      <c r="AM6" s="101"/>
      <c r="AN6" s="101"/>
      <c r="AO6" s="101"/>
      <c r="AP6" s="104"/>
      <c r="AQ6" s="94"/>
      <c r="AR6" s="105"/>
      <c r="AS6" s="101"/>
      <c r="AT6" s="104"/>
      <c r="AU6" s="94"/>
      <c r="AV6" s="101"/>
      <c r="AW6" s="101"/>
      <c r="AX6" s="94"/>
      <c r="AY6" s="94"/>
      <c r="AZ6" s="101"/>
      <c r="BA6" s="101"/>
      <c r="BB6" s="94"/>
      <c r="BC6" s="94"/>
      <c r="BD6" s="101"/>
      <c r="BE6" s="101"/>
      <c r="BF6" s="94"/>
      <c r="BG6" s="94"/>
      <c r="BH6" s="101"/>
      <c r="BI6" s="101"/>
      <c r="BJ6" s="94"/>
      <c r="BK6" s="94"/>
      <c r="BL6" s="101"/>
      <c r="BM6" s="101"/>
      <c r="BN6" s="94"/>
      <c r="BO6" s="94"/>
      <c r="BP6" s="101"/>
      <c r="BQ6" s="101"/>
      <c r="BR6" s="94"/>
      <c r="BS6" s="94"/>
      <c r="BT6" s="101"/>
      <c r="BU6" s="101"/>
      <c r="BV6" s="94"/>
      <c r="BW6" s="94"/>
      <c r="BX6" s="101"/>
      <c r="BY6" s="101"/>
      <c r="BZ6" s="94"/>
      <c r="CA6" s="94"/>
      <c r="CB6" s="101"/>
      <c r="CC6" s="101"/>
      <c r="CD6" s="101"/>
      <c r="CE6" s="94"/>
      <c r="CF6" s="94"/>
      <c r="CG6" s="94"/>
      <c r="CH6" s="101"/>
      <c r="CI6" s="101"/>
      <c r="CJ6" s="101"/>
      <c r="CK6" s="94"/>
      <c r="CL6" s="94"/>
      <c r="CM6" s="94"/>
      <c r="CN6" s="101"/>
      <c r="CO6" s="101"/>
      <c r="CP6" s="101"/>
      <c r="CQ6" s="94"/>
      <c r="CR6" s="94"/>
      <c r="CS6" s="94"/>
      <c r="CT6" s="101"/>
      <c r="CU6" s="101"/>
      <c r="CV6" s="101"/>
      <c r="CW6" s="94"/>
      <c r="CX6" s="94"/>
      <c r="CY6" s="94"/>
      <c r="CZ6" s="101"/>
      <c r="DA6" s="101"/>
      <c r="DB6" s="101"/>
      <c r="DC6" s="94"/>
      <c r="DD6" s="94"/>
      <c r="DE6" s="94"/>
      <c r="DF6" s="101"/>
      <c r="DG6" s="101"/>
      <c r="DH6" s="101"/>
      <c r="DI6" s="94"/>
      <c r="DJ6" s="94"/>
      <c r="DK6" s="94"/>
      <c r="DL6" s="101"/>
      <c r="DM6" s="101"/>
      <c r="DN6" s="101"/>
      <c r="DO6" s="94"/>
      <c r="DP6" s="94"/>
      <c r="DQ6" s="94"/>
      <c r="DR6" s="101"/>
      <c r="DS6" s="101"/>
      <c r="DT6" s="101"/>
      <c r="DU6" s="94"/>
      <c r="DV6" s="94"/>
      <c r="DW6" s="94"/>
      <c r="DX6" s="101"/>
      <c r="DY6" s="101"/>
      <c r="DZ6" s="101"/>
      <c r="EA6" s="94"/>
      <c r="EB6" s="94"/>
      <c r="EC6" s="94"/>
      <c r="ED6" s="101"/>
      <c r="EE6" s="101"/>
      <c r="EF6" s="101"/>
      <c r="EG6" s="94"/>
      <c r="EH6" s="94"/>
      <c r="EI6" s="94"/>
      <c r="EJ6" s="101"/>
      <c r="EK6" s="101"/>
      <c r="EL6" s="101"/>
      <c r="EM6" s="94"/>
      <c r="EN6" s="94"/>
      <c r="EO6" s="94"/>
      <c r="EP6" s="101"/>
      <c r="EQ6" s="101"/>
      <c r="ER6" s="101"/>
      <c r="ES6" s="94"/>
      <c r="ET6" s="94"/>
      <c r="EU6" s="94"/>
      <c r="EV6" s="101"/>
      <c r="EW6" s="101"/>
      <c r="EX6" s="101"/>
      <c r="EY6" s="94"/>
      <c r="EZ6" s="94"/>
      <c r="FA6" s="94"/>
    </row>
    <row r="7" s="66" customFormat="1" ht="76" customHeight="1" spans="1:172">
      <c r="A7" s="93">
        <v>5</v>
      </c>
      <c r="B7" s="94" t="s">
        <v>2162</v>
      </c>
      <c r="C7" s="107" t="s">
        <v>2200</v>
      </c>
      <c r="D7" s="93" t="s">
        <v>85</v>
      </c>
      <c r="E7" s="107" t="s">
        <v>88</v>
      </c>
      <c r="F7" s="93" t="s">
        <v>2201</v>
      </c>
      <c r="G7" s="93" t="s">
        <v>2202</v>
      </c>
      <c r="H7" s="107" t="s">
        <v>1402</v>
      </c>
      <c r="I7" s="107">
        <v>18251233347</v>
      </c>
      <c r="J7" s="107" t="s">
        <v>1474</v>
      </c>
      <c r="K7" s="107" t="s">
        <v>879</v>
      </c>
      <c r="L7" s="93" t="s">
        <v>2203</v>
      </c>
      <c r="M7" s="107" t="s">
        <v>2204</v>
      </c>
      <c r="N7" s="107" t="s">
        <v>2205</v>
      </c>
      <c r="O7" s="107" t="s">
        <v>2163</v>
      </c>
      <c r="P7" s="107" t="s">
        <v>146</v>
      </c>
      <c r="Q7" s="107" t="s">
        <v>85</v>
      </c>
      <c r="R7" s="108" t="s">
        <v>2206</v>
      </c>
      <c r="S7" s="109" t="s">
        <v>787</v>
      </c>
      <c r="T7" s="98" t="s">
        <v>2207</v>
      </c>
      <c r="U7" s="110"/>
      <c r="V7" s="100"/>
      <c r="W7" s="100"/>
      <c r="X7" s="94"/>
      <c r="Y7" s="94"/>
      <c r="Z7" s="94"/>
      <c r="AA7" s="101"/>
      <c r="AB7" s="101"/>
      <c r="AC7" s="101"/>
      <c r="AD7" s="102">
        <v>46051</v>
      </c>
      <c r="AE7" s="103" t="s">
        <v>2208</v>
      </c>
      <c r="AF7" s="103"/>
      <c r="AG7" s="111">
        <v>46059</v>
      </c>
      <c r="AH7" s="100" t="s">
        <v>2209</v>
      </c>
      <c r="AI7" s="100"/>
      <c r="AJ7" s="104"/>
      <c r="AK7" s="107"/>
      <c r="AL7" s="103"/>
      <c r="AM7" s="101"/>
      <c r="AN7" s="101"/>
      <c r="AO7" s="101"/>
      <c r="AP7" s="104"/>
      <c r="AQ7" s="94"/>
      <c r="AR7" s="105"/>
      <c r="AS7" s="101"/>
      <c r="AT7" s="104"/>
      <c r="AU7" s="94"/>
      <c r="AV7" s="101"/>
      <c r="AW7" s="101"/>
      <c r="AX7" s="94"/>
      <c r="AY7" s="94"/>
      <c r="AZ7" s="101"/>
      <c r="BA7" s="101"/>
      <c r="BB7" s="94"/>
      <c r="BC7" s="94"/>
      <c r="BD7" s="101"/>
      <c r="BE7" s="101"/>
      <c r="BF7" s="94"/>
      <c r="BG7" s="94"/>
      <c r="BH7" s="101"/>
      <c r="BI7" s="101"/>
      <c r="BJ7" s="94"/>
      <c r="BK7" s="94"/>
      <c r="BL7" s="101"/>
      <c r="BM7" s="101"/>
      <c r="BN7" s="94"/>
      <c r="BO7" s="94"/>
      <c r="BP7" s="101"/>
      <c r="BQ7" s="101"/>
      <c r="BR7" s="94"/>
      <c r="BS7" s="94"/>
      <c r="BT7" s="101"/>
      <c r="BU7" s="101"/>
      <c r="BV7" s="94"/>
      <c r="BW7" s="94"/>
      <c r="BX7" s="101"/>
      <c r="BY7" s="101"/>
      <c r="BZ7" s="94"/>
      <c r="CA7" s="94"/>
      <c r="CB7" s="101"/>
      <c r="CC7" s="101"/>
      <c r="CD7" s="101"/>
      <c r="CE7" s="94"/>
      <c r="CF7" s="94"/>
      <c r="CG7" s="94"/>
      <c r="CH7" s="101"/>
      <c r="CI7" s="101"/>
      <c r="CJ7" s="101"/>
      <c r="CK7" s="94"/>
      <c r="CL7" s="94"/>
      <c r="CM7" s="94"/>
      <c r="CN7" s="101"/>
      <c r="CO7" s="101"/>
      <c r="CP7" s="101"/>
      <c r="CQ7" s="94"/>
      <c r="CR7" s="94"/>
      <c r="CS7" s="94"/>
      <c r="CT7" s="101"/>
      <c r="CU7" s="101"/>
      <c r="CV7" s="101"/>
      <c r="CW7" s="94"/>
      <c r="CX7" s="94"/>
      <c r="CY7" s="94"/>
      <c r="CZ7" s="101"/>
      <c r="DA7" s="101"/>
      <c r="DB7" s="101"/>
      <c r="DC7" s="94"/>
      <c r="DD7" s="94"/>
      <c r="DE7" s="94"/>
      <c r="DF7" s="101"/>
      <c r="DG7" s="101"/>
      <c r="DH7" s="101"/>
      <c r="DI7" s="94"/>
      <c r="DJ7" s="94"/>
      <c r="DK7" s="94"/>
      <c r="DL7" s="101"/>
      <c r="DM7" s="101"/>
      <c r="DN7" s="101"/>
      <c r="DO7" s="94"/>
      <c r="DP7" s="94"/>
      <c r="DQ7" s="94"/>
      <c r="DR7" s="101"/>
      <c r="DS7" s="101"/>
      <c r="DT7" s="101"/>
      <c r="DU7" s="94"/>
      <c r="DV7" s="94"/>
      <c r="DW7" s="94"/>
      <c r="DX7" s="101"/>
      <c r="DY7" s="101"/>
      <c r="DZ7" s="101"/>
      <c r="EA7" s="94"/>
      <c r="EB7" s="94"/>
      <c r="EC7" s="94"/>
      <c r="ED7" s="101"/>
      <c r="EE7" s="101"/>
      <c r="EF7" s="101"/>
      <c r="EG7" s="94"/>
      <c r="EH7" s="94"/>
      <c r="EI7" s="94"/>
      <c r="EJ7" s="101"/>
      <c r="EK7" s="101"/>
      <c r="EL7" s="101"/>
      <c r="EM7" s="94"/>
      <c r="EN7" s="94"/>
      <c r="EO7" s="94"/>
      <c r="EP7" s="101"/>
      <c r="EQ7" s="101"/>
      <c r="ER7" s="101"/>
      <c r="ES7" s="94"/>
      <c r="ET7" s="94"/>
      <c r="EU7" s="94"/>
      <c r="EV7" s="101"/>
      <c r="EW7" s="101"/>
      <c r="EX7" s="101"/>
      <c r="EY7" s="94"/>
      <c r="EZ7" s="94"/>
      <c r="FA7" s="94"/>
    </row>
    <row r="8" s="66" customFormat="1" ht="171.5" customHeight="1" spans="1:172">
      <c r="A8" s="93">
        <v>6</v>
      </c>
      <c r="B8" s="94" t="s">
        <v>2168</v>
      </c>
      <c r="C8" s="107" t="s">
        <v>2169</v>
      </c>
      <c r="D8" s="93" t="s">
        <v>85</v>
      </c>
      <c r="E8" s="107" t="s">
        <v>88</v>
      </c>
      <c r="F8" s="93" t="s">
        <v>819</v>
      </c>
      <c r="G8" s="107" t="s">
        <v>2210</v>
      </c>
      <c r="H8" s="107" t="s">
        <v>820</v>
      </c>
      <c r="I8" s="107">
        <v>15851997635</v>
      </c>
      <c r="J8" s="107" t="s">
        <v>384</v>
      </c>
      <c r="K8" s="107" t="s">
        <v>879</v>
      </c>
      <c r="L8" s="93" t="s">
        <v>2211</v>
      </c>
      <c r="M8" s="107" t="s">
        <v>2212</v>
      </c>
      <c r="N8" s="107">
        <v>0</v>
      </c>
      <c r="O8" s="107" t="s">
        <v>2163</v>
      </c>
      <c r="P8" s="107" t="s">
        <v>369</v>
      </c>
      <c r="Q8" s="107" t="s">
        <v>97</v>
      </c>
      <c r="R8" s="108" t="s">
        <v>369</v>
      </c>
      <c r="S8" s="109" t="s">
        <v>2213</v>
      </c>
      <c r="T8" s="98" t="s">
        <v>2214</v>
      </c>
      <c r="U8" s="110"/>
      <c r="V8" s="100"/>
      <c r="W8" s="100"/>
      <c r="X8" s="94"/>
      <c r="Y8" s="94"/>
      <c r="Z8" s="94"/>
      <c r="AA8" s="101"/>
      <c r="AB8" s="101"/>
      <c r="AC8" s="101"/>
      <c r="AD8" s="102">
        <v>46051</v>
      </c>
      <c r="AE8" s="103" t="s">
        <v>2215</v>
      </c>
      <c r="AF8" s="103"/>
      <c r="AG8" s="110">
        <v>46056</v>
      </c>
      <c r="AH8" s="100" t="s">
        <v>2216</v>
      </c>
      <c r="AI8" s="100"/>
      <c r="AJ8" s="104"/>
      <c r="AK8" s="107"/>
      <c r="AL8" s="103"/>
      <c r="AM8" s="101"/>
      <c r="AN8" s="101"/>
      <c r="AO8" s="101"/>
      <c r="AP8" s="112">
        <v>46080</v>
      </c>
      <c r="AQ8" s="103" t="s">
        <v>2217</v>
      </c>
      <c r="AR8" s="113">
        <v>46084</v>
      </c>
      <c r="AS8" s="101" t="s">
        <v>2218</v>
      </c>
      <c r="AT8" s="104"/>
      <c r="AU8" s="94"/>
      <c r="AV8" s="101"/>
      <c r="AW8" s="101"/>
      <c r="AX8" s="94"/>
      <c r="AY8" s="94"/>
      <c r="AZ8" s="106">
        <v>46113</v>
      </c>
      <c r="BA8" s="100" t="s">
        <v>2219</v>
      </c>
      <c r="BB8" s="114"/>
      <c r="BC8" s="94"/>
      <c r="BD8" s="101"/>
      <c r="BE8" s="101"/>
      <c r="BF8" s="94"/>
      <c r="BG8" s="94"/>
      <c r="BH8" s="101"/>
      <c r="BI8" s="101"/>
      <c r="BJ8" s="94"/>
      <c r="BK8" s="94"/>
      <c r="BL8" s="101"/>
      <c r="BM8" s="101"/>
      <c r="BN8" s="94"/>
      <c r="BO8" s="94"/>
      <c r="BP8" s="101"/>
      <c r="BQ8" s="101"/>
      <c r="BR8" s="94"/>
      <c r="BS8" s="94"/>
      <c r="BT8" s="101"/>
      <c r="BU8" s="101"/>
      <c r="BV8" s="94"/>
      <c r="BW8" s="94"/>
      <c r="BX8" s="101"/>
      <c r="BY8" s="101"/>
      <c r="BZ8" s="94"/>
      <c r="CA8" s="94"/>
      <c r="CB8" s="101"/>
      <c r="CC8" s="101"/>
      <c r="CD8" s="101"/>
      <c r="CE8" s="94"/>
      <c r="CF8" s="94"/>
      <c r="CG8" s="94"/>
      <c r="CH8" s="101"/>
      <c r="CI8" s="101"/>
      <c r="CJ8" s="101"/>
      <c r="CK8" s="94"/>
      <c r="CL8" s="94"/>
      <c r="CM8" s="94"/>
      <c r="CN8" s="101"/>
      <c r="CO8" s="101"/>
      <c r="CP8" s="101"/>
      <c r="CQ8" s="94"/>
      <c r="CR8" s="94"/>
      <c r="CS8" s="94"/>
      <c r="CT8" s="101"/>
      <c r="CU8" s="101"/>
      <c r="CV8" s="101"/>
      <c r="CW8" s="94"/>
      <c r="CX8" s="94"/>
      <c r="CY8" s="94"/>
      <c r="CZ8" s="101"/>
      <c r="DA8" s="101"/>
      <c r="DB8" s="101"/>
      <c r="DC8" s="94"/>
      <c r="DD8" s="94"/>
      <c r="DE8" s="94"/>
      <c r="DF8" s="101"/>
      <c r="DG8" s="101"/>
      <c r="DH8" s="101"/>
      <c r="DI8" s="94"/>
      <c r="DJ8" s="94"/>
      <c r="DK8" s="94"/>
      <c r="DL8" s="101"/>
      <c r="DM8" s="101"/>
      <c r="DN8" s="101"/>
      <c r="DO8" s="94"/>
      <c r="DP8" s="94"/>
      <c r="DQ8" s="94"/>
      <c r="DR8" s="101"/>
      <c r="DS8" s="101"/>
      <c r="DT8" s="101"/>
      <c r="DU8" s="94"/>
      <c r="DV8" s="94"/>
      <c r="DW8" s="94"/>
      <c r="DX8" s="101"/>
      <c r="DY8" s="101"/>
      <c r="DZ8" s="101"/>
      <c r="EA8" s="94"/>
      <c r="EB8" s="94"/>
      <c r="EC8" s="94"/>
      <c r="ED8" s="101"/>
      <c r="EE8" s="101"/>
      <c r="EF8" s="101"/>
      <c r="EG8" s="94"/>
      <c r="EH8" s="94"/>
      <c r="EI8" s="94"/>
      <c r="EJ8" s="101"/>
      <c r="EK8" s="101"/>
      <c r="EL8" s="101"/>
      <c r="EM8" s="94"/>
      <c r="EN8" s="94"/>
      <c r="EO8" s="94"/>
      <c r="EP8" s="101"/>
      <c r="EQ8" s="101"/>
      <c r="ER8" s="101"/>
      <c r="ES8" s="94"/>
      <c r="ET8" s="94"/>
      <c r="EU8" s="94"/>
      <c r="EV8" s="101"/>
      <c r="EW8" s="101"/>
      <c r="EX8" s="101"/>
      <c r="EY8" s="94"/>
      <c r="EZ8" s="94"/>
      <c r="FA8" s="94"/>
    </row>
    <row r="9" s="66" customFormat="1" ht="76" customHeight="1" spans="1:172">
      <c r="A9" s="93">
        <v>7</v>
      </c>
      <c r="B9" s="94" t="s">
        <v>2220</v>
      </c>
      <c r="C9" s="107" t="s">
        <v>2221</v>
      </c>
      <c r="D9" s="107" t="s">
        <v>85</v>
      </c>
      <c r="E9" s="107" t="s">
        <v>88</v>
      </c>
      <c r="F9" s="93" t="s">
        <v>2222</v>
      </c>
      <c r="G9" s="93" t="s">
        <v>417</v>
      </c>
      <c r="H9" s="107" t="s">
        <v>421</v>
      </c>
      <c r="I9" s="107">
        <v>18068560097</v>
      </c>
      <c r="J9" s="107" t="s">
        <v>419</v>
      </c>
      <c r="K9" s="107" t="s">
        <v>2223</v>
      </c>
      <c r="L9" s="93" t="s">
        <v>2224</v>
      </c>
      <c r="M9" s="107">
        <v>0</v>
      </c>
      <c r="N9" s="107">
        <v>0</v>
      </c>
      <c r="O9" s="107" t="s">
        <v>369</v>
      </c>
      <c r="P9" s="107" t="s">
        <v>369</v>
      </c>
      <c r="Q9" s="107" t="s">
        <v>97</v>
      </c>
      <c r="R9" s="108" t="s">
        <v>2225</v>
      </c>
      <c r="S9" s="109" t="s">
        <v>2164</v>
      </c>
      <c r="T9" s="98" t="s">
        <v>2226</v>
      </c>
      <c r="U9" s="110"/>
      <c r="V9" s="100"/>
      <c r="W9" s="100"/>
      <c r="X9" s="94"/>
      <c r="Y9" s="94"/>
      <c r="Z9" s="94"/>
      <c r="AA9" s="101"/>
      <c r="AB9" s="101"/>
      <c r="AC9" s="101"/>
      <c r="AD9" s="102">
        <v>46051</v>
      </c>
      <c r="AE9" s="103" t="s">
        <v>2227</v>
      </c>
      <c r="AF9" s="103"/>
      <c r="AG9" s="110">
        <v>46055</v>
      </c>
      <c r="AH9" s="100" t="s">
        <v>2228</v>
      </c>
      <c r="AI9" s="100"/>
      <c r="AJ9" s="104"/>
      <c r="AK9" s="107"/>
      <c r="AL9" s="103"/>
      <c r="AM9" s="101"/>
      <c r="AN9" s="101"/>
      <c r="AO9" s="101"/>
      <c r="AP9" s="104"/>
      <c r="AQ9" s="94"/>
      <c r="AR9" s="105"/>
      <c r="AS9" s="101"/>
      <c r="AT9" s="104"/>
      <c r="AU9" s="94"/>
      <c r="AV9" s="101"/>
      <c r="AW9" s="101"/>
      <c r="AX9" s="94"/>
      <c r="AY9" s="94"/>
      <c r="AZ9" s="101"/>
      <c r="BA9" s="101"/>
      <c r="BB9" s="94"/>
      <c r="BC9" s="94"/>
      <c r="BD9" s="101"/>
      <c r="BE9" s="101"/>
      <c r="BF9" s="94"/>
      <c r="BG9" s="94"/>
      <c r="BH9" s="101"/>
      <c r="BI9" s="101"/>
      <c r="BJ9" s="94"/>
      <c r="BK9" s="94"/>
      <c r="BL9" s="101"/>
      <c r="BM9" s="101"/>
      <c r="BN9" s="94"/>
      <c r="BO9" s="94"/>
      <c r="BP9" s="101"/>
      <c r="BQ9" s="101"/>
      <c r="BR9" s="94"/>
      <c r="BS9" s="94"/>
      <c r="BT9" s="101"/>
      <c r="BU9" s="101"/>
      <c r="BV9" s="94"/>
      <c r="BW9" s="94"/>
      <c r="BX9" s="101"/>
      <c r="BY9" s="101"/>
      <c r="BZ9" s="94"/>
      <c r="CA9" s="94"/>
      <c r="CB9" s="101"/>
      <c r="CC9" s="101"/>
      <c r="CD9" s="101"/>
      <c r="CE9" s="94"/>
      <c r="CF9" s="94"/>
      <c r="CG9" s="94"/>
      <c r="CH9" s="101"/>
      <c r="CI9" s="101"/>
      <c r="CJ9" s="101"/>
      <c r="CK9" s="94"/>
      <c r="CL9" s="94"/>
      <c r="CM9" s="94"/>
      <c r="CN9" s="101"/>
      <c r="CO9" s="101"/>
      <c r="CP9" s="101"/>
      <c r="CQ9" s="94"/>
      <c r="CR9" s="94"/>
      <c r="CS9" s="94"/>
      <c r="CT9" s="101"/>
      <c r="CU9" s="101"/>
      <c r="CV9" s="101"/>
      <c r="CW9" s="94"/>
      <c r="CX9" s="94"/>
      <c r="CY9" s="94"/>
      <c r="CZ9" s="101"/>
      <c r="DA9" s="101"/>
      <c r="DB9" s="101"/>
      <c r="DC9" s="94"/>
      <c r="DD9" s="94"/>
      <c r="DE9" s="94"/>
      <c r="DF9" s="101"/>
      <c r="DG9" s="101"/>
      <c r="DH9" s="101"/>
      <c r="DI9" s="94"/>
      <c r="DJ9" s="94"/>
      <c r="DK9" s="94"/>
      <c r="DL9" s="101"/>
      <c r="DM9" s="101"/>
      <c r="DN9" s="101"/>
      <c r="DO9" s="94"/>
      <c r="DP9" s="94"/>
      <c r="DQ9" s="94"/>
      <c r="DR9" s="101"/>
      <c r="DS9" s="101"/>
      <c r="DT9" s="101"/>
      <c r="DU9" s="94"/>
      <c r="DV9" s="94"/>
      <c r="DW9" s="94"/>
      <c r="DX9" s="101"/>
      <c r="DY9" s="101"/>
      <c r="DZ9" s="101"/>
      <c r="EA9" s="94"/>
      <c r="EB9" s="94"/>
      <c r="EC9" s="94"/>
      <c r="ED9" s="101"/>
      <c r="EE9" s="101"/>
      <c r="EF9" s="101"/>
      <c r="EG9" s="94"/>
      <c r="EH9" s="94"/>
      <c r="EI9" s="94"/>
      <c r="EJ9" s="101"/>
      <c r="EK9" s="101"/>
      <c r="EL9" s="101"/>
      <c r="EM9" s="94"/>
      <c r="EN9" s="94"/>
      <c r="EO9" s="94"/>
      <c r="EP9" s="101"/>
      <c r="EQ9" s="101"/>
      <c r="ER9" s="101"/>
      <c r="ES9" s="94"/>
      <c r="ET9" s="94"/>
      <c r="EU9" s="94"/>
      <c r="EV9" s="101"/>
      <c r="EW9" s="101"/>
      <c r="EX9" s="101"/>
      <c r="EY9" s="94"/>
      <c r="EZ9" s="94"/>
      <c r="FA9" s="94"/>
    </row>
    <row r="10" s="66" customFormat="1" ht="76" customHeight="1" spans="1:172">
      <c r="A10" s="93">
        <v>8</v>
      </c>
      <c r="B10" s="94" t="s">
        <v>2162</v>
      </c>
      <c r="C10" s="107" t="s">
        <v>2200</v>
      </c>
      <c r="D10" s="107" t="s">
        <v>85</v>
      </c>
      <c r="E10" s="107" t="s">
        <v>88</v>
      </c>
      <c r="F10" s="107" t="s">
        <v>1771</v>
      </c>
      <c r="G10" s="107" t="s">
        <v>1772</v>
      </c>
      <c r="H10" s="107" t="s">
        <v>2229</v>
      </c>
      <c r="I10" s="107">
        <v>15961290231</v>
      </c>
      <c r="J10" s="107" t="s">
        <v>2230</v>
      </c>
      <c r="K10" s="107" t="s">
        <v>879</v>
      </c>
      <c r="L10" s="107" t="s">
        <v>2231</v>
      </c>
      <c r="M10" s="107">
        <v>0</v>
      </c>
      <c r="N10" s="107">
        <v>0</v>
      </c>
      <c r="O10" s="107">
        <v>0</v>
      </c>
      <c r="P10" s="107" t="s">
        <v>369</v>
      </c>
      <c r="Q10" s="107" t="s">
        <v>97</v>
      </c>
      <c r="R10" s="108" t="s">
        <v>2225</v>
      </c>
      <c r="S10" s="109" t="s">
        <v>1684</v>
      </c>
      <c r="T10" s="98" t="s">
        <v>2232</v>
      </c>
      <c r="U10" s="110"/>
      <c r="V10" s="100"/>
      <c r="W10" s="100"/>
      <c r="X10" s="94"/>
      <c r="Y10" s="94"/>
      <c r="Z10" s="94"/>
      <c r="AA10" s="101"/>
      <c r="AB10" s="101"/>
      <c r="AC10" s="101"/>
      <c r="AD10" s="102">
        <v>46051</v>
      </c>
      <c r="AE10" s="103" t="s">
        <v>2233</v>
      </c>
      <c r="AF10" s="103"/>
      <c r="AG10" s="111">
        <v>46056</v>
      </c>
      <c r="AH10" s="100" t="s">
        <v>2234</v>
      </c>
      <c r="AI10" s="100"/>
      <c r="AJ10" s="104"/>
      <c r="AK10" s="107"/>
      <c r="AL10" s="103"/>
      <c r="AM10" s="101"/>
      <c r="AN10" s="101"/>
      <c r="AO10" s="101"/>
      <c r="AP10" s="104"/>
      <c r="AQ10" s="94"/>
      <c r="AR10" s="105"/>
      <c r="AS10" s="101"/>
      <c r="AT10" s="104"/>
      <c r="AU10" s="94"/>
      <c r="AV10" s="101"/>
      <c r="AW10" s="101"/>
      <c r="AX10" s="94"/>
      <c r="AY10" s="94"/>
      <c r="AZ10" s="101"/>
      <c r="BA10" s="101"/>
      <c r="BB10" s="94"/>
      <c r="BC10" s="94"/>
      <c r="BD10" s="101"/>
      <c r="BE10" s="101"/>
      <c r="BF10" s="94"/>
      <c r="BG10" s="94"/>
      <c r="BH10" s="101"/>
      <c r="BI10" s="101"/>
      <c r="BJ10" s="94"/>
      <c r="BK10" s="94"/>
      <c r="BL10" s="101"/>
      <c r="BM10" s="101"/>
      <c r="BN10" s="94"/>
      <c r="BO10" s="94"/>
      <c r="BP10" s="101"/>
      <c r="BQ10" s="101"/>
      <c r="BR10" s="94"/>
      <c r="BS10" s="94"/>
      <c r="BT10" s="101"/>
      <c r="BU10" s="101"/>
      <c r="BV10" s="94"/>
      <c r="BW10" s="94"/>
      <c r="BX10" s="101"/>
      <c r="BY10" s="101"/>
      <c r="BZ10" s="94"/>
      <c r="CA10" s="94"/>
      <c r="CB10" s="101"/>
      <c r="CC10" s="101"/>
      <c r="CD10" s="101"/>
      <c r="CE10" s="94"/>
      <c r="CF10" s="94"/>
      <c r="CG10" s="94"/>
      <c r="CH10" s="101"/>
      <c r="CI10" s="101"/>
      <c r="CJ10" s="101"/>
      <c r="CK10" s="94"/>
      <c r="CL10" s="94"/>
      <c r="CM10" s="94"/>
      <c r="CN10" s="101"/>
      <c r="CO10" s="101"/>
      <c r="CP10" s="101"/>
      <c r="CQ10" s="94"/>
      <c r="CR10" s="94"/>
      <c r="CS10" s="94"/>
      <c r="CT10" s="101"/>
      <c r="CU10" s="101"/>
      <c r="CV10" s="101"/>
      <c r="CW10" s="94"/>
      <c r="CX10" s="94"/>
      <c r="CY10" s="94"/>
      <c r="CZ10" s="101"/>
      <c r="DA10" s="101"/>
      <c r="DB10" s="101"/>
      <c r="DC10" s="94"/>
      <c r="DD10" s="94"/>
      <c r="DE10" s="94"/>
      <c r="DF10" s="101"/>
      <c r="DG10" s="101"/>
      <c r="DH10" s="101"/>
      <c r="DI10" s="94"/>
      <c r="DJ10" s="94"/>
      <c r="DK10" s="94"/>
      <c r="DL10" s="101"/>
      <c r="DM10" s="101"/>
      <c r="DN10" s="101"/>
      <c r="DO10" s="94"/>
      <c r="DP10" s="94"/>
      <c r="DQ10" s="94"/>
      <c r="DR10" s="101"/>
      <c r="DS10" s="101"/>
      <c r="DT10" s="101"/>
      <c r="DU10" s="94"/>
      <c r="DV10" s="94"/>
      <c r="DW10" s="94"/>
      <c r="DX10" s="101"/>
      <c r="DY10" s="101"/>
      <c r="DZ10" s="101"/>
      <c r="EA10" s="94"/>
      <c r="EB10" s="94"/>
      <c r="EC10" s="94"/>
      <c r="ED10" s="101"/>
      <c r="EE10" s="101"/>
      <c r="EF10" s="101"/>
      <c r="EG10" s="94"/>
      <c r="EH10" s="94"/>
      <c r="EI10" s="94"/>
      <c r="EJ10" s="101"/>
      <c r="EK10" s="101"/>
      <c r="EL10" s="101"/>
      <c r="EM10" s="94"/>
      <c r="EN10" s="94"/>
      <c r="EO10" s="94"/>
      <c r="EP10" s="101"/>
      <c r="EQ10" s="101"/>
      <c r="ER10" s="101"/>
      <c r="ES10" s="94"/>
      <c r="ET10" s="94"/>
      <c r="EU10" s="94"/>
      <c r="EV10" s="101"/>
      <c r="EW10" s="101"/>
      <c r="EX10" s="101"/>
      <c r="EY10" s="94"/>
      <c r="EZ10" s="94"/>
      <c r="FA10" s="94"/>
    </row>
    <row r="11" s="66" customFormat="1" ht="76" customHeight="1" spans="1:172">
      <c r="A11" s="93">
        <v>9</v>
      </c>
      <c r="B11" s="94" t="s">
        <v>2235</v>
      </c>
      <c r="C11" s="107" t="s">
        <v>2236</v>
      </c>
      <c r="D11" s="93" t="s">
        <v>85</v>
      </c>
      <c r="E11" s="107" t="s">
        <v>88</v>
      </c>
      <c r="F11" s="107" t="s">
        <v>1179</v>
      </c>
      <c r="G11" s="107" t="s">
        <v>1180</v>
      </c>
      <c r="H11" s="107" t="s">
        <v>2237</v>
      </c>
      <c r="I11" s="107">
        <v>13915092196</v>
      </c>
      <c r="J11" s="107" t="s">
        <v>586</v>
      </c>
      <c r="K11" s="107" t="s">
        <v>310</v>
      </c>
      <c r="L11" s="107" t="s">
        <v>2238</v>
      </c>
      <c r="M11" s="107" t="s">
        <v>2002</v>
      </c>
      <c r="N11" s="107" t="s">
        <v>2002</v>
      </c>
      <c r="O11" s="107" t="s">
        <v>369</v>
      </c>
      <c r="P11" s="107" t="s">
        <v>146</v>
      </c>
      <c r="Q11" s="107" t="s">
        <v>85</v>
      </c>
      <c r="R11" s="108" t="s">
        <v>2239</v>
      </c>
      <c r="S11" s="109" t="s">
        <v>2240</v>
      </c>
      <c r="T11" s="98" t="s">
        <v>2241</v>
      </c>
      <c r="U11" s="110"/>
      <c r="V11" s="100"/>
      <c r="W11" s="100"/>
      <c r="X11" s="94"/>
      <c r="Y11" s="94"/>
      <c r="Z11" s="94"/>
      <c r="AA11" s="101"/>
      <c r="AB11" s="101"/>
      <c r="AC11" s="101"/>
      <c r="AD11" s="102">
        <v>46048</v>
      </c>
      <c r="AE11" s="103" t="s">
        <v>2242</v>
      </c>
      <c r="AF11" s="103"/>
      <c r="AG11" s="115"/>
      <c r="AH11" s="116"/>
      <c r="AI11" s="116"/>
      <c r="AJ11" s="112">
        <v>46064</v>
      </c>
      <c r="AK11" s="103" t="s">
        <v>2243</v>
      </c>
      <c r="AL11" s="103"/>
      <c r="AM11" s="101"/>
      <c r="AN11" s="101"/>
      <c r="AO11" s="101"/>
      <c r="AP11" s="104"/>
      <c r="AQ11" s="94"/>
      <c r="AR11" s="105"/>
      <c r="AS11" s="101"/>
      <c r="AT11" s="104"/>
      <c r="AU11" s="94"/>
      <c r="AV11" s="101"/>
      <c r="AW11" s="101"/>
      <c r="AX11" s="94"/>
      <c r="AY11" s="94"/>
      <c r="AZ11" s="101"/>
      <c r="BA11" s="101"/>
      <c r="BB11" s="94"/>
      <c r="BC11" s="94"/>
      <c r="BD11" s="101"/>
      <c r="BE11" s="101"/>
      <c r="BF11" s="94"/>
      <c r="BG11" s="94"/>
      <c r="BH11" s="101"/>
      <c r="BI11" s="101"/>
      <c r="BJ11" s="94"/>
      <c r="BK11" s="94"/>
      <c r="BL11" s="101"/>
      <c r="BM11" s="101"/>
      <c r="BN11" s="94"/>
      <c r="BO11" s="94"/>
      <c r="BP11" s="101"/>
      <c r="BQ11" s="101"/>
      <c r="BR11" s="94"/>
      <c r="BS11" s="94"/>
      <c r="BT11" s="101"/>
      <c r="BU11" s="101"/>
      <c r="BV11" s="94"/>
      <c r="BW11" s="94"/>
      <c r="BX11" s="101"/>
      <c r="BY11" s="101"/>
      <c r="BZ11" s="94"/>
      <c r="CA11" s="94"/>
      <c r="CB11" s="101"/>
      <c r="CC11" s="101"/>
      <c r="CD11" s="101"/>
      <c r="CE11" s="94"/>
      <c r="CF11" s="94"/>
      <c r="CG11" s="94"/>
      <c r="CH11" s="101"/>
      <c r="CI11" s="101"/>
      <c r="CJ11" s="101"/>
      <c r="CK11" s="94"/>
      <c r="CL11" s="94"/>
      <c r="CM11" s="94"/>
      <c r="CN11" s="101"/>
      <c r="CO11" s="101"/>
      <c r="CP11" s="101"/>
      <c r="CQ11" s="94"/>
      <c r="CR11" s="94"/>
      <c r="CS11" s="94"/>
      <c r="CT11" s="101"/>
      <c r="CU11" s="101"/>
      <c r="CV11" s="101"/>
      <c r="CW11" s="94"/>
      <c r="CX11" s="94"/>
      <c r="CY11" s="94"/>
      <c r="CZ11" s="101"/>
      <c r="DA11" s="101"/>
      <c r="DB11" s="101"/>
      <c r="DC11" s="94"/>
      <c r="DD11" s="94"/>
      <c r="DE11" s="94"/>
      <c r="DF11" s="101"/>
      <c r="DG11" s="101"/>
      <c r="DH11" s="101"/>
      <c r="DI11" s="94"/>
      <c r="DJ11" s="94"/>
      <c r="DK11" s="94"/>
      <c r="DL11" s="101"/>
      <c r="DM11" s="101"/>
      <c r="DN11" s="101"/>
      <c r="DO11" s="94"/>
      <c r="DP11" s="94"/>
      <c r="DQ11" s="94"/>
      <c r="DR11" s="101"/>
      <c r="DS11" s="101"/>
      <c r="DT11" s="101"/>
      <c r="DU11" s="94"/>
      <c r="DV11" s="94"/>
      <c r="DW11" s="94"/>
      <c r="DX11" s="101"/>
      <c r="DY11" s="101"/>
      <c r="DZ11" s="101"/>
      <c r="EA11" s="94"/>
      <c r="EB11" s="94"/>
      <c r="EC11" s="94"/>
      <c r="ED11" s="101"/>
      <c r="EE11" s="101"/>
      <c r="EF11" s="101"/>
      <c r="EG11" s="94"/>
      <c r="EH11" s="94"/>
      <c r="EI11" s="94"/>
      <c r="EJ11" s="101"/>
      <c r="EK11" s="101"/>
      <c r="EL11" s="101"/>
      <c r="EM11" s="94"/>
      <c r="EN11" s="94"/>
      <c r="EO11" s="94"/>
      <c r="EP11" s="101"/>
      <c r="EQ11" s="101"/>
      <c r="ER11" s="101"/>
      <c r="ES11" s="94"/>
      <c r="ET11" s="94"/>
      <c r="EU11" s="94"/>
      <c r="EV11" s="101"/>
      <c r="EW11" s="101"/>
      <c r="EX11" s="101"/>
      <c r="EY11" s="94"/>
      <c r="EZ11" s="94"/>
      <c r="FA11" s="94"/>
    </row>
    <row r="12" s="66" customFormat="1" ht="76" customHeight="1" spans="1:172">
      <c r="A12" s="93">
        <v>10</v>
      </c>
      <c r="B12" s="94" t="s">
        <v>2220</v>
      </c>
      <c r="C12" s="107" t="s">
        <v>2221</v>
      </c>
      <c r="D12" s="107" t="s">
        <v>85</v>
      </c>
      <c r="E12" s="107" t="s">
        <v>88</v>
      </c>
      <c r="F12" s="107" t="s">
        <v>1494</v>
      </c>
      <c r="G12" s="93" t="s">
        <v>1495</v>
      </c>
      <c r="H12" s="107" t="s">
        <v>2244</v>
      </c>
      <c r="I12" s="107">
        <v>13776853862</v>
      </c>
      <c r="J12" s="107" t="s">
        <v>879</v>
      </c>
      <c r="K12" s="107" t="s">
        <v>879</v>
      </c>
      <c r="L12" s="107"/>
      <c r="M12" s="107"/>
      <c r="N12" s="107"/>
      <c r="O12" s="107"/>
      <c r="P12" s="107"/>
      <c r="Q12" s="107" t="s">
        <v>97</v>
      </c>
      <c r="R12" s="108" t="s">
        <v>369</v>
      </c>
      <c r="S12" s="109" t="s">
        <v>2245</v>
      </c>
      <c r="T12" s="98" t="s">
        <v>2246</v>
      </c>
      <c r="U12" s="110"/>
      <c r="V12" s="100"/>
      <c r="W12" s="100"/>
      <c r="X12" s="94"/>
      <c r="Y12" s="94"/>
      <c r="Z12" s="94"/>
      <c r="AA12" s="101"/>
      <c r="AB12" s="101"/>
      <c r="AC12" s="101"/>
      <c r="AD12" s="102">
        <v>46051</v>
      </c>
      <c r="AE12" s="103" t="s">
        <v>2247</v>
      </c>
      <c r="AF12" s="103"/>
      <c r="AG12" s="110">
        <v>46057</v>
      </c>
      <c r="AH12" s="100" t="s">
        <v>2248</v>
      </c>
      <c r="AI12" s="100"/>
      <c r="AJ12" s="104"/>
      <c r="AK12" s="107"/>
      <c r="AL12" s="103"/>
      <c r="AM12" s="101"/>
      <c r="AN12" s="101"/>
      <c r="AO12" s="101"/>
      <c r="AP12" s="104"/>
      <c r="AQ12" s="94"/>
      <c r="AR12" s="105"/>
      <c r="AS12" s="101"/>
      <c r="AT12" s="104"/>
      <c r="AU12" s="94"/>
      <c r="AV12" s="101"/>
      <c r="AW12" s="101"/>
      <c r="AX12" s="94"/>
      <c r="AY12" s="94"/>
      <c r="AZ12" s="101"/>
      <c r="BA12" s="101"/>
      <c r="BB12" s="94"/>
      <c r="BC12" s="94"/>
      <c r="BD12" s="101"/>
      <c r="BE12" s="101"/>
      <c r="BF12" s="94"/>
      <c r="BG12" s="94"/>
      <c r="BH12" s="101"/>
      <c r="BI12" s="101"/>
      <c r="BJ12" s="94"/>
      <c r="BK12" s="94"/>
      <c r="BL12" s="101"/>
      <c r="BM12" s="101"/>
      <c r="BN12" s="94"/>
      <c r="BO12" s="94"/>
      <c r="BP12" s="101"/>
      <c r="BQ12" s="101"/>
      <c r="BR12" s="94"/>
      <c r="BS12" s="94"/>
      <c r="BT12" s="101"/>
      <c r="BU12" s="101"/>
      <c r="BV12" s="94"/>
      <c r="BW12" s="94"/>
      <c r="BX12" s="101"/>
      <c r="BY12" s="101"/>
      <c r="BZ12" s="94"/>
      <c r="CA12" s="94"/>
      <c r="CB12" s="101"/>
      <c r="CC12" s="101"/>
      <c r="CD12" s="101"/>
      <c r="CE12" s="94"/>
      <c r="CF12" s="94"/>
      <c r="CG12" s="94"/>
      <c r="CH12" s="101"/>
      <c r="CI12" s="101"/>
      <c r="CJ12" s="101"/>
      <c r="CK12" s="94"/>
      <c r="CL12" s="94"/>
      <c r="CM12" s="94"/>
      <c r="CN12" s="101"/>
      <c r="CO12" s="101"/>
      <c r="CP12" s="101"/>
      <c r="CQ12" s="94"/>
      <c r="CR12" s="94"/>
      <c r="CS12" s="94"/>
      <c r="CT12" s="101"/>
      <c r="CU12" s="101"/>
      <c r="CV12" s="101"/>
      <c r="CW12" s="94"/>
      <c r="CX12" s="94"/>
      <c r="CY12" s="94"/>
      <c r="CZ12" s="101"/>
      <c r="DA12" s="101"/>
      <c r="DB12" s="101"/>
      <c r="DC12" s="94"/>
      <c r="DD12" s="94"/>
      <c r="DE12" s="94"/>
      <c r="DF12" s="101"/>
      <c r="DG12" s="101"/>
      <c r="DH12" s="101"/>
      <c r="DI12" s="94"/>
      <c r="DJ12" s="94"/>
      <c r="DK12" s="94"/>
      <c r="DL12" s="101"/>
      <c r="DM12" s="101"/>
      <c r="DN12" s="101"/>
      <c r="DO12" s="94"/>
      <c r="DP12" s="94"/>
      <c r="DQ12" s="94"/>
      <c r="DR12" s="101"/>
      <c r="DS12" s="101"/>
      <c r="DT12" s="101"/>
      <c r="DU12" s="94"/>
      <c r="DV12" s="94"/>
      <c r="DW12" s="94"/>
      <c r="DX12" s="101"/>
      <c r="DY12" s="101"/>
      <c r="DZ12" s="101"/>
      <c r="EA12" s="94"/>
      <c r="EB12" s="94"/>
      <c r="EC12" s="94"/>
      <c r="ED12" s="101"/>
      <c r="EE12" s="101"/>
      <c r="EF12" s="101"/>
      <c r="EG12" s="94"/>
      <c r="EH12" s="94"/>
      <c r="EI12" s="94"/>
      <c r="EJ12" s="101"/>
      <c r="EK12" s="101"/>
      <c r="EL12" s="101"/>
      <c r="EM12" s="94"/>
      <c r="EN12" s="94"/>
      <c r="EO12" s="94"/>
      <c r="EP12" s="101"/>
      <c r="EQ12" s="101"/>
      <c r="ER12" s="101"/>
      <c r="ES12" s="94"/>
      <c r="ET12" s="94"/>
      <c r="EU12" s="94"/>
      <c r="EV12" s="101"/>
      <c r="EW12" s="101"/>
      <c r="EX12" s="101"/>
      <c r="EY12" s="94"/>
      <c r="EZ12" s="94"/>
      <c r="FA12" s="94"/>
    </row>
    <row r="13" s="66" customFormat="1" ht="76" customHeight="1" spans="1:172">
      <c r="A13" s="93">
        <v>11</v>
      </c>
      <c r="B13" s="94" t="s">
        <v>2249</v>
      </c>
      <c r="C13" s="107" t="s">
        <v>2250</v>
      </c>
      <c r="D13" s="107" t="s">
        <v>97</v>
      </c>
      <c r="E13" s="107" t="s">
        <v>88</v>
      </c>
      <c r="F13" s="107" t="s">
        <v>2251</v>
      </c>
      <c r="G13" s="107" t="s">
        <v>2252</v>
      </c>
      <c r="H13" s="107" t="s">
        <v>830</v>
      </c>
      <c r="I13" s="107">
        <v>13813659490</v>
      </c>
      <c r="J13" s="107" t="s">
        <v>2253</v>
      </c>
      <c r="K13" s="107" t="s">
        <v>879</v>
      </c>
      <c r="L13" s="107" t="s">
        <v>2254</v>
      </c>
      <c r="M13" s="107" t="s">
        <v>2255</v>
      </c>
      <c r="N13" s="107">
        <v>0</v>
      </c>
      <c r="O13" s="107" t="s">
        <v>2163</v>
      </c>
      <c r="P13" s="107" t="s">
        <v>369</v>
      </c>
      <c r="Q13" s="107" t="s">
        <v>97</v>
      </c>
      <c r="R13" s="108" t="s">
        <v>369</v>
      </c>
      <c r="S13" s="109" t="s">
        <v>2213</v>
      </c>
      <c r="T13" s="117" t="s">
        <v>2256</v>
      </c>
      <c r="U13" s="101"/>
      <c r="V13" s="101"/>
      <c r="W13" s="101"/>
      <c r="X13" s="94"/>
      <c r="Y13" s="94"/>
      <c r="Z13" s="94"/>
      <c r="AA13" s="101"/>
      <c r="AB13" s="101"/>
      <c r="AC13" s="101"/>
      <c r="AD13" s="94"/>
      <c r="AE13" s="94"/>
      <c r="AF13" s="94"/>
      <c r="AG13" s="110">
        <v>46055</v>
      </c>
      <c r="AH13" s="100" t="s">
        <v>2257</v>
      </c>
      <c r="AI13" s="100"/>
      <c r="AJ13" s="107"/>
      <c r="AK13" s="107"/>
      <c r="AL13" s="94"/>
      <c r="AM13" s="116"/>
      <c r="AN13" s="101"/>
      <c r="AO13" s="101"/>
      <c r="AP13" s="104"/>
      <c r="AQ13" s="94"/>
      <c r="AR13" s="105"/>
      <c r="AS13" s="101"/>
      <c r="AT13" s="104"/>
      <c r="AU13" s="94"/>
      <c r="AV13" s="101"/>
      <c r="AW13" s="101"/>
      <c r="AX13" s="94"/>
      <c r="AY13" s="94"/>
      <c r="AZ13" s="101"/>
      <c r="BA13" s="101"/>
      <c r="BB13" s="94"/>
      <c r="BC13" s="94"/>
      <c r="BD13" s="101"/>
      <c r="BE13" s="101"/>
      <c r="BF13" s="94"/>
      <c r="BG13" s="94"/>
      <c r="BH13" s="101"/>
      <c r="BI13" s="101"/>
      <c r="BJ13" s="94"/>
      <c r="BK13" s="94"/>
      <c r="BL13" s="101"/>
      <c r="BM13" s="101"/>
      <c r="BN13" s="94"/>
      <c r="BO13" s="94"/>
      <c r="BP13" s="101"/>
      <c r="BQ13" s="101"/>
      <c r="BR13" s="94"/>
      <c r="BS13" s="94"/>
      <c r="BT13" s="101"/>
      <c r="BU13" s="101"/>
      <c r="BV13" s="94"/>
      <c r="BW13" s="94"/>
      <c r="BX13" s="101"/>
      <c r="BY13" s="101"/>
      <c r="BZ13" s="94"/>
      <c r="CA13" s="94"/>
      <c r="CB13" s="101"/>
      <c r="CC13" s="101"/>
      <c r="CD13" s="101"/>
      <c r="CE13" s="94"/>
      <c r="CF13" s="94"/>
      <c r="CG13" s="94"/>
      <c r="CH13" s="101"/>
      <c r="CI13" s="101"/>
      <c r="CJ13" s="101"/>
      <c r="CK13" s="94"/>
      <c r="CL13" s="94"/>
      <c r="CM13" s="94"/>
      <c r="CN13" s="101"/>
      <c r="CO13" s="101"/>
      <c r="CP13" s="101"/>
      <c r="CQ13" s="94"/>
      <c r="CR13" s="94"/>
      <c r="CS13" s="94"/>
      <c r="CT13" s="101"/>
      <c r="CU13" s="101"/>
      <c r="CV13" s="101"/>
      <c r="CW13" s="94"/>
      <c r="CX13" s="94"/>
      <c r="CY13" s="94"/>
      <c r="CZ13" s="101"/>
      <c r="DA13" s="101"/>
      <c r="DB13" s="101"/>
      <c r="DC13" s="94"/>
      <c r="DD13" s="94"/>
      <c r="DE13" s="94"/>
      <c r="DF13" s="101"/>
      <c r="DG13" s="101"/>
      <c r="DH13" s="101"/>
      <c r="DI13" s="94"/>
      <c r="DJ13" s="94"/>
      <c r="DK13" s="94"/>
      <c r="DL13" s="101"/>
      <c r="DM13" s="101"/>
      <c r="DN13" s="101"/>
      <c r="DO13" s="94"/>
      <c r="DP13" s="94"/>
      <c r="DQ13" s="94"/>
      <c r="DR13" s="101"/>
      <c r="DS13" s="101"/>
      <c r="DT13" s="101"/>
      <c r="DU13" s="94"/>
      <c r="DV13" s="94"/>
      <c r="DW13" s="94"/>
      <c r="DX13" s="101"/>
      <c r="DY13" s="101"/>
      <c r="DZ13" s="101"/>
      <c r="EA13" s="94"/>
      <c r="EB13" s="94"/>
      <c r="EC13" s="94"/>
      <c r="ED13" s="101"/>
      <c r="EE13" s="101"/>
      <c r="EF13" s="101"/>
      <c r="EG13" s="94"/>
      <c r="EH13" s="94"/>
      <c r="EI13" s="94"/>
      <c r="EJ13" s="101"/>
      <c r="EK13" s="101"/>
      <c r="EL13" s="101"/>
      <c r="EM13" s="94"/>
      <c r="EN13" s="94"/>
      <c r="EO13" s="94"/>
      <c r="EP13" s="101"/>
      <c r="EQ13" s="101"/>
      <c r="ER13" s="101"/>
      <c r="ES13" s="94"/>
      <c r="ET13" s="94"/>
      <c r="EU13" s="94"/>
      <c r="EV13" s="101"/>
      <c r="EW13" s="101"/>
      <c r="EX13" s="101"/>
      <c r="EY13" s="94"/>
      <c r="EZ13" s="94"/>
      <c r="FA13" s="94"/>
    </row>
    <row r="14" s="66" customFormat="1" ht="76" customHeight="1" spans="1:172">
      <c r="A14" s="93">
        <v>12</v>
      </c>
      <c r="B14" s="94" t="s">
        <v>2249</v>
      </c>
      <c r="C14" s="107" t="s">
        <v>2250</v>
      </c>
      <c r="D14" s="107" t="s">
        <v>97</v>
      </c>
      <c r="E14" s="107" t="s">
        <v>88</v>
      </c>
      <c r="F14" s="107" t="s">
        <v>2258</v>
      </c>
      <c r="G14" s="93" t="s">
        <v>2259</v>
      </c>
      <c r="H14" s="107" t="s">
        <v>1487</v>
      </c>
      <c r="I14" s="107">
        <v>18317120735</v>
      </c>
      <c r="J14" s="107" t="s">
        <v>498</v>
      </c>
      <c r="K14" s="107" t="s">
        <v>310</v>
      </c>
      <c r="L14" s="107" t="s">
        <v>2260</v>
      </c>
      <c r="M14" s="107" t="s">
        <v>2261</v>
      </c>
      <c r="N14" s="107">
        <v>0</v>
      </c>
      <c r="O14" s="107" t="s">
        <v>2163</v>
      </c>
      <c r="P14" s="107" t="s">
        <v>369</v>
      </c>
      <c r="Q14" s="107" t="s">
        <v>97</v>
      </c>
      <c r="R14" s="108" t="s">
        <v>369</v>
      </c>
      <c r="S14" s="109"/>
      <c r="T14" s="117" t="s">
        <v>2262</v>
      </c>
      <c r="U14" s="101"/>
      <c r="V14" s="101"/>
      <c r="W14" s="101"/>
      <c r="X14" s="94"/>
      <c r="Y14" s="94"/>
      <c r="Z14" s="94"/>
      <c r="AA14" s="101"/>
      <c r="AB14" s="101"/>
      <c r="AC14" s="101"/>
      <c r="AD14" s="94"/>
      <c r="AE14" s="94"/>
      <c r="AF14" s="94"/>
      <c r="AG14" s="110">
        <v>46055</v>
      </c>
      <c r="AH14" s="100" t="s">
        <v>2263</v>
      </c>
      <c r="AI14" s="100"/>
      <c r="AJ14" s="107"/>
      <c r="AK14" s="107"/>
      <c r="AL14" s="94"/>
      <c r="AM14" s="116"/>
      <c r="AN14" s="101"/>
      <c r="AO14" s="101"/>
      <c r="AP14" s="104"/>
      <c r="AQ14" s="94"/>
      <c r="AR14" s="105"/>
      <c r="AS14" s="101"/>
      <c r="AT14" s="104"/>
      <c r="AU14" s="94"/>
      <c r="AV14" s="101"/>
      <c r="AW14" s="101"/>
      <c r="AX14" s="94"/>
      <c r="AY14" s="94"/>
      <c r="AZ14" s="101"/>
      <c r="BA14" s="101"/>
      <c r="BB14" s="94"/>
      <c r="BC14" s="94"/>
      <c r="BD14" s="101"/>
      <c r="BE14" s="101"/>
      <c r="BF14" s="94"/>
      <c r="BG14" s="94"/>
      <c r="BH14" s="101"/>
      <c r="BI14" s="101"/>
      <c r="BJ14" s="94"/>
      <c r="BK14" s="94"/>
      <c r="BL14" s="101"/>
      <c r="BM14" s="101"/>
      <c r="BN14" s="94"/>
      <c r="BO14" s="94"/>
      <c r="BP14" s="101"/>
      <c r="BQ14" s="101"/>
      <c r="BR14" s="94"/>
      <c r="BS14" s="94"/>
      <c r="BT14" s="101"/>
      <c r="BU14" s="101"/>
      <c r="BV14" s="94"/>
      <c r="BW14" s="94"/>
      <c r="BX14" s="101"/>
      <c r="BY14" s="101"/>
      <c r="BZ14" s="94"/>
      <c r="CA14" s="94"/>
      <c r="CB14" s="101"/>
      <c r="CC14" s="101"/>
      <c r="CD14" s="101"/>
      <c r="CE14" s="94"/>
      <c r="CF14" s="94"/>
      <c r="CG14" s="94"/>
      <c r="CH14" s="101"/>
      <c r="CI14" s="101"/>
      <c r="CJ14" s="101"/>
      <c r="CK14" s="94"/>
      <c r="CL14" s="94"/>
      <c r="CM14" s="94"/>
      <c r="CN14" s="101"/>
      <c r="CO14" s="101"/>
      <c r="CP14" s="101"/>
      <c r="CQ14" s="94"/>
      <c r="CR14" s="94"/>
      <c r="CS14" s="94"/>
      <c r="CT14" s="101"/>
      <c r="CU14" s="101"/>
      <c r="CV14" s="101"/>
      <c r="CW14" s="94"/>
      <c r="CX14" s="94"/>
      <c r="CY14" s="94"/>
      <c r="CZ14" s="101"/>
      <c r="DA14" s="101"/>
      <c r="DB14" s="101"/>
      <c r="DC14" s="94"/>
      <c r="DD14" s="94"/>
      <c r="DE14" s="94"/>
      <c r="DF14" s="101"/>
      <c r="DG14" s="101"/>
      <c r="DH14" s="101"/>
      <c r="DI14" s="94"/>
      <c r="DJ14" s="94"/>
      <c r="DK14" s="94"/>
      <c r="DL14" s="101"/>
      <c r="DM14" s="101"/>
      <c r="DN14" s="101"/>
      <c r="DO14" s="94"/>
      <c r="DP14" s="94"/>
      <c r="DQ14" s="94"/>
      <c r="DR14" s="101"/>
      <c r="DS14" s="101"/>
      <c r="DT14" s="101"/>
      <c r="DU14" s="94"/>
      <c r="DV14" s="94"/>
      <c r="DW14" s="94"/>
      <c r="DX14" s="101"/>
      <c r="DY14" s="101"/>
      <c r="DZ14" s="101"/>
      <c r="EA14" s="94"/>
      <c r="EB14" s="94"/>
      <c r="EC14" s="94"/>
      <c r="ED14" s="101"/>
      <c r="EE14" s="101"/>
      <c r="EF14" s="101"/>
      <c r="EG14" s="94"/>
      <c r="EH14" s="94"/>
      <c r="EI14" s="94"/>
      <c r="EJ14" s="101"/>
      <c r="EK14" s="101"/>
      <c r="EL14" s="101"/>
      <c r="EM14" s="94"/>
      <c r="EN14" s="94"/>
      <c r="EO14" s="94"/>
      <c r="EP14" s="101"/>
      <c r="EQ14" s="101"/>
      <c r="ER14" s="101"/>
      <c r="ES14" s="94"/>
      <c r="ET14" s="94"/>
      <c r="EU14" s="94"/>
      <c r="EV14" s="101"/>
      <c r="EW14" s="101"/>
      <c r="EX14" s="101"/>
      <c r="EY14" s="94"/>
      <c r="EZ14" s="94"/>
      <c r="FA14" s="94"/>
    </row>
    <row r="15" s="66" customFormat="1" ht="76" customHeight="1" spans="1:172">
      <c r="A15" s="93">
        <v>13</v>
      </c>
      <c r="B15" s="94" t="s">
        <v>2249</v>
      </c>
      <c r="C15" s="107" t="s">
        <v>2250</v>
      </c>
      <c r="D15" s="107" t="s">
        <v>97</v>
      </c>
      <c r="E15" s="107" t="s">
        <v>88</v>
      </c>
      <c r="F15" s="107" t="s">
        <v>1642</v>
      </c>
      <c r="G15" s="107" t="s">
        <v>2264</v>
      </c>
      <c r="H15" s="107" t="s">
        <v>1645</v>
      </c>
      <c r="I15" s="107">
        <v>13817609143</v>
      </c>
      <c r="J15" s="107" t="s">
        <v>1644</v>
      </c>
      <c r="K15" s="107" t="s">
        <v>310</v>
      </c>
      <c r="L15" s="107" t="s">
        <v>1511</v>
      </c>
      <c r="M15" s="107" t="s">
        <v>2265</v>
      </c>
      <c r="N15" s="107">
        <v>0</v>
      </c>
      <c r="O15" s="107" t="s">
        <v>2163</v>
      </c>
      <c r="P15" s="107" t="s">
        <v>369</v>
      </c>
      <c r="Q15" s="107" t="s">
        <v>97</v>
      </c>
      <c r="R15" s="108" t="s">
        <v>369</v>
      </c>
      <c r="S15" s="109"/>
      <c r="T15" s="117" t="s">
        <v>2262</v>
      </c>
      <c r="U15" s="101"/>
      <c r="V15" s="101"/>
      <c r="W15" s="101"/>
      <c r="X15" s="94"/>
      <c r="Y15" s="94"/>
      <c r="Z15" s="94"/>
      <c r="AA15" s="101"/>
      <c r="AB15" s="101"/>
      <c r="AC15" s="101"/>
      <c r="AD15" s="94"/>
      <c r="AE15" s="94"/>
      <c r="AF15" s="94"/>
      <c r="AG15" s="110">
        <v>46055</v>
      </c>
      <c r="AH15" s="100" t="s">
        <v>2266</v>
      </c>
      <c r="AI15" s="100"/>
      <c r="AJ15" s="107"/>
      <c r="AK15" s="107"/>
      <c r="AL15" s="94"/>
      <c r="AM15" s="116"/>
      <c r="AN15" s="101"/>
      <c r="AO15" s="101"/>
      <c r="AP15" s="104"/>
      <c r="AQ15" s="94"/>
      <c r="AR15" s="105"/>
      <c r="AS15" s="101"/>
      <c r="AT15" s="104"/>
      <c r="AU15" s="94"/>
      <c r="AV15" s="101"/>
      <c r="AW15" s="101"/>
      <c r="AX15" s="94"/>
      <c r="AY15" s="94"/>
      <c r="AZ15" s="101"/>
      <c r="BA15" s="101"/>
      <c r="BB15" s="94"/>
      <c r="BC15" s="94"/>
      <c r="BD15" s="101"/>
      <c r="BE15" s="101"/>
      <c r="BF15" s="94"/>
      <c r="BG15" s="94"/>
      <c r="BH15" s="101"/>
      <c r="BI15" s="101"/>
      <c r="BJ15" s="94"/>
      <c r="BK15" s="94"/>
      <c r="BL15" s="101"/>
      <c r="BM15" s="101"/>
      <c r="BN15" s="94"/>
      <c r="BO15" s="94"/>
      <c r="BP15" s="101"/>
      <c r="BQ15" s="101"/>
      <c r="BR15" s="94"/>
      <c r="BS15" s="94"/>
      <c r="BT15" s="101"/>
      <c r="BU15" s="101"/>
      <c r="BV15" s="94"/>
      <c r="BW15" s="94"/>
      <c r="BX15" s="101"/>
      <c r="BY15" s="101"/>
      <c r="BZ15" s="94"/>
      <c r="CA15" s="94"/>
      <c r="CB15" s="101"/>
      <c r="CC15" s="101"/>
      <c r="CD15" s="101"/>
      <c r="CE15" s="94"/>
      <c r="CF15" s="94"/>
      <c r="CG15" s="94"/>
      <c r="CH15" s="101"/>
      <c r="CI15" s="101"/>
      <c r="CJ15" s="101"/>
      <c r="CK15" s="94"/>
      <c r="CL15" s="94"/>
      <c r="CM15" s="94"/>
      <c r="CN15" s="101"/>
      <c r="CO15" s="101"/>
      <c r="CP15" s="101"/>
      <c r="CQ15" s="94"/>
      <c r="CR15" s="94"/>
      <c r="CS15" s="94"/>
      <c r="CT15" s="101"/>
      <c r="CU15" s="101"/>
      <c r="CV15" s="101"/>
      <c r="CW15" s="94"/>
      <c r="CX15" s="94"/>
      <c r="CY15" s="94"/>
      <c r="CZ15" s="101"/>
      <c r="DA15" s="101"/>
      <c r="DB15" s="101"/>
      <c r="DC15" s="94"/>
      <c r="DD15" s="94"/>
      <c r="DE15" s="94"/>
      <c r="DF15" s="101"/>
      <c r="DG15" s="101"/>
      <c r="DH15" s="101"/>
      <c r="DI15" s="94"/>
      <c r="DJ15" s="94"/>
      <c r="DK15" s="94"/>
      <c r="DL15" s="101"/>
      <c r="DM15" s="101"/>
      <c r="DN15" s="101"/>
      <c r="DO15" s="94"/>
      <c r="DP15" s="94"/>
      <c r="DQ15" s="94"/>
      <c r="DR15" s="101"/>
      <c r="DS15" s="101"/>
      <c r="DT15" s="101"/>
      <c r="DU15" s="94"/>
      <c r="DV15" s="94"/>
      <c r="DW15" s="94"/>
      <c r="DX15" s="101"/>
      <c r="DY15" s="101"/>
      <c r="DZ15" s="101"/>
      <c r="EA15" s="94"/>
      <c r="EB15" s="94"/>
      <c r="EC15" s="94"/>
      <c r="ED15" s="101"/>
      <c r="EE15" s="101"/>
      <c r="EF15" s="101"/>
      <c r="EG15" s="94"/>
      <c r="EH15" s="94"/>
      <c r="EI15" s="94"/>
      <c r="EJ15" s="101"/>
      <c r="EK15" s="101"/>
      <c r="EL15" s="101"/>
      <c r="EM15" s="94"/>
      <c r="EN15" s="94"/>
      <c r="EO15" s="94"/>
      <c r="EP15" s="101"/>
      <c r="EQ15" s="101"/>
      <c r="ER15" s="101"/>
      <c r="ES15" s="94"/>
      <c r="ET15" s="94"/>
      <c r="EU15" s="94"/>
      <c r="EV15" s="101"/>
      <c r="EW15" s="101"/>
      <c r="EX15" s="101"/>
      <c r="EY15" s="94"/>
      <c r="EZ15" s="94"/>
      <c r="FA15" s="94"/>
    </row>
    <row r="16" s="66" customFormat="1" ht="76" customHeight="1" spans="1:172">
      <c r="A16" s="93">
        <v>14</v>
      </c>
      <c r="B16" s="94" t="s">
        <v>2249</v>
      </c>
      <c r="C16" s="107" t="s">
        <v>2250</v>
      </c>
      <c r="D16" s="93" t="s">
        <v>97</v>
      </c>
      <c r="E16" s="107" t="s">
        <v>88</v>
      </c>
      <c r="F16" s="107" t="s">
        <v>833</v>
      </c>
      <c r="G16" s="93" t="s">
        <v>834</v>
      </c>
      <c r="H16" s="107" t="s">
        <v>836</v>
      </c>
      <c r="I16" s="107">
        <v>13861282953</v>
      </c>
      <c r="J16" s="107" t="s">
        <v>586</v>
      </c>
      <c r="K16" s="107" t="s">
        <v>2267</v>
      </c>
      <c r="L16" s="107" t="s">
        <v>2268</v>
      </c>
      <c r="M16" s="107"/>
      <c r="N16" s="107"/>
      <c r="O16" s="107" t="s">
        <v>369</v>
      </c>
      <c r="P16" s="107" t="s">
        <v>146</v>
      </c>
      <c r="Q16" s="107" t="s">
        <v>85</v>
      </c>
      <c r="R16" s="108" t="s">
        <v>1184</v>
      </c>
      <c r="S16" s="109" t="s">
        <v>787</v>
      </c>
      <c r="T16" s="98" t="s">
        <v>2269</v>
      </c>
      <c r="U16" s="101"/>
      <c r="V16" s="101"/>
      <c r="W16" s="101"/>
      <c r="X16" s="94"/>
      <c r="Y16" s="94"/>
      <c r="Z16" s="94"/>
      <c r="AA16" s="101"/>
      <c r="AB16" s="101"/>
      <c r="AC16" s="101"/>
      <c r="AD16" s="94"/>
      <c r="AE16" s="94"/>
      <c r="AF16" s="94"/>
      <c r="AG16" s="110">
        <v>46055</v>
      </c>
      <c r="AH16" s="100" t="s">
        <v>2270</v>
      </c>
      <c r="AI16" s="100"/>
      <c r="AJ16" s="107"/>
      <c r="AK16" s="107"/>
      <c r="AL16" s="94"/>
      <c r="AM16" s="116"/>
      <c r="AN16" s="101"/>
      <c r="AO16" s="101"/>
      <c r="AP16" s="104"/>
      <c r="AQ16" s="94"/>
      <c r="AR16" s="105"/>
      <c r="AS16" s="101"/>
      <c r="AT16" s="104"/>
      <c r="AU16" s="94"/>
      <c r="AV16" s="101"/>
      <c r="AW16" s="101"/>
      <c r="AX16" s="94"/>
      <c r="AY16" s="94"/>
      <c r="AZ16" s="101"/>
      <c r="BA16" s="101"/>
      <c r="BB16" s="94"/>
      <c r="BC16" s="94"/>
      <c r="BD16" s="101"/>
      <c r="BE16" s="101"/>
      <c r="BF16" s="94"/>
      <c r="BG16" s="94"/>
      <c r="BH16" s="101"/>
      <c r="BI16" s="101"/>
      <c r="BJ16" s="94"/>
      <c r="BK16" s="94"/>
      <c r="BL16" s="101"/>
      <c r="BM16" s="101"/>
      <c r="BN16" s="94"/>
      <c r="BO16" s="94"/>
      <c r="BP16" s="101"/>
      <c r="BQ16" s="101"/>
      <c r="BR16" s="94"/>
      <c r="BS16" s="94"/>
      <c r="BT16" s="101"/>
      <c r="BU16" s="101"/>
      <c r="BV16" s="94"/>
      <c r="BW16" s="94"/>
      <c r="BX16" s="101"/>
      <c r="BY16" s="101"/>
      <c r="BZ16" s="94"/>
      <c r="CA16" s="94"/>
      <c r="CB16" s="101"/>
      <c r="CC16" s="101"/>
      <c r="CD16" s="101"/>
      <c r="CE16" s="94"/>
      <c r="CF16" s="94"/>
      <c r="CG16" s="94"/>
      <c r="CH16" s="101"/>
      <c r="CI16" s="101"/>
      <c r="CJ16" s="101"/>
      <c r="CK16" s="94"/>
      <c r="CL16" s="94"/>
      <c r="CM16" s="94"/>
      <c r="CN16" s="101"/>
      <c r="CO16" s="101"/>
      <c r="CP16" s="101"/>
      <c r="CQ16" s="94"/>
      <c r="CR16" s="94"/>
      <c r="CS16" s="94"/>
      <c r="CT16" s="101"/>
      <c r="CU16" s="101"/>
      <c r="CV16" s="101"/>
      <c r="CW16" s="94"/>
      <c r="CX16" s="94"/>
      <c r="CY16" s="94"/>
      <c r="CZ16" s="101"/>
      <c r="DA16" s="101"/>
      <c r="DB16" s="101"/>
      <c r="DC16" s="94"/>
      <c r="DD16" s="94"/>
      <c r="DE16" s="94"/>
      <c r="DF16" s="101"/>
      <c r="DG16" s="101"/>
      <c r="DH16" s="101"/>
      <c r="DI16" s="94"/>
      <c r="DJ16" s="94"/>
      <c r="DK16" s="94"/>
      <c r="DL16" s="101"/>
      <c r="DM16" s="101"/>
      <c r="DN16" s="101"/>
      <c r="DO16" s="94"/>
      <c r="DP16" s="94"/>
      <c r="DQ16" s="94"/>
      <c r="DR16" s="101"/>
      <c r="DS16" s="101"/>
      <c r="DT16" s="101"/>
      <c r="DU16" s="94"/>
      <c r="DV16" s="94"/>
      <c r="DW16" s="94"/>
      <c r="DX16" s="101"/>
      <c r="DY16" s="101"/>
      <c r="DZ16" s="101"/>
      <c r="EA16" s="94"/>
      <c r="EB16" s="94"/>
      <c r="EC16" s="94"/>
      <c r="ED16" s="101"/>
      <c r="EE16" s="101"/>
      <c r="EF16" s="101"/>
      <c r="EG16" s="94"/>
      <c r="EH16" s="94"/>
      <c r="EI16" s="94"/>
      <c r="EJ16" s="101"/>
      <c r="EK16" s="101"/>
      <c r="EL16" s="101"/>
      <c r="EM16" s="94"/>
      <c r="EN16" s="94"/>
      <c r="EO16" s="94"/>
      <c r="EP16" s="101"/>
      <c r="EQ16" s="101"/>
      <c r="ER16" s="101"/>
      <c r="ES16" s="94"/>
      <c r="ET16" s="94"/>
      <c r="EU16" s="94"/>
      <c r="EV16" s="101"/>
      <c r="EW16" s="101"/>
      <c r="EX16" s="101"/>
      <c r="EY16" s="94"/>
      <c r="EZ16" s="94"/>
      <c r="FA16" s="94"/>
    </row>
    <row r="17" s="66" customFormat="1" ht="76" customHeight="1" spans="1:157">
      <c r="A17" s="93">
        <v>15</v>
      </c>
      <c r="B17" s="94" t="s">
        <v>2249</v>
      </c>
      <c r="C17" s="107" t="s">
        <v>2250</v>
      </c>
      <c r="D17" s="107" t="s">
        <v>97</v>
      </c>
      <c r="E17" s="107" t="s">
        <v>88</v>
      </c>
      <c r="F17" s="107" t="s">
        <v>1839</v>
      </c>
      <c r="G17" s="107" t="s">
        <v>2271</v>
      </c>
      <c r="H17" s="107" t="s">
        <v>1841</v>
      </c>
      <c r="I17" s="107">
        <v>18861125288</v>
      </c>
      <c r="J17" s="107" t="s">
        <v>1110</v>
      </c>
      <c r="K17" s="107" t="s">
        <v>879</v>
      </c>
      <c r="L17" s="107" t="s">
        <v>1842</v>
      </c>
      <c r="M17" s="107"/>
      <c r="N17" s="107"/>
      <c r="O17" s="107" t="s">
        <v>2163</v>
      </c>
      <c r="P17" s="107" t="s">
        <v>369</v>
      </c>
      <c r="Q17" s="107" t="s">
        <v>97</v>
      </c>
      <c r="R17" s="108" t="s">
        <v>369</v>
      </c>
      <c r="S17" s="109"/>
      <c r="T17" s="117" t="s">
        <v>2262</v>
      </c>
      <c r="U17" s="101"/>
      <c r="V17" s="101"/>
      <c r="W17" s="101"/>
      <c r="X17" s="94"/>
      <c r="Y17" s="94"/>
      <c r="Z17" s="94"/>
      <c r="AA17" s="101"/>
      <c r="AB17" s="101"/>
      <c r="AC17" s="101"/>
      <c r="AD17" s="94"/>
      <c r="AE17" s="94"/>
      <c r="AF17" s="94"/>
      <c r="AG17" s="110">
        <v>46055</v>
      </c>
      <c r="AH17" s="100" t="s">
        <v>2272</v>
      </c>
      <c r="AI17" s="100"/>
      <c r="AJ17" s="107"/>
      <c r="AK17" s="107"/>
      <c r="AL17" s="94"/>
      <c r="AM17" s="116"/>
      <c r="AN17" s="101"/>
      <c r="AO17" s="101"/>
      <c r="AP17" s="104"/>
      <c r="AQ17" s="94"/>
      <c r="AR17" s="105"/>
      <c r="AS17" s="101"/>
      <c r="AT17" s="104"/>
      <c r="AU17" s="94"/>
      <c r="AV17" s="101"/>
      <c r="AW17" s="101"/>
      <c r="AX17" s="94"/>
      <c r="AY17" s="94"/>
      <c r="AZ17" s="101"/>
      <c r="BA17" s="101"/>
      <c r="BB17" s="94"/>
      <c r="BC17" s="94"/>
      <c r="BD17" s="101"/>
      <c r="BE17" s="101"/>
      <c r="BF17" s="94"/>
      <c r="BG17" s="94"/>
      <c r="BH17" s="101"/>
      <c r="BI17" s="101"/>
      <c r="BJ17" s="94"/>
      <c r="BK17" s="94"/>
      <c r="BL17" s="101"/>
      <c r="BM17" s="101"/>
      <c r="BN17" s="94"/>
      <c r="BO17" s="94"/>
      <c r="BP17" s="101"/>
      <c r="BQ17" s="101"/>
      <c r="BR17" s="94"/>
      <c r="BS17" s="94"/>
      <c r="BT17" s="101"/>
      <c r="BU17" s="101"/>
      <c r="BV17" s="94"/>
      <c r="BW17" s="94"/>
      <c r="BX17" s="101"/>
      <c r="BY17" s="101"/>
      <c r="BZ17" s="94"/>
      <c r="CA17" s="94"/>
      <c r="CB17" s="101"/>
      <c r="CC17" s="101"/>
      <c r="CD17" s="101"/>
      <c r="CE17" s="94"/>
      <c r="CF17" s="94"/>
      <c r="CG17" s="94"/>
      <c r="CH17" s="101"/>
      <c r="CI17" s="101"/>
      <c r="CJ17" s="101"/>
      <c r="CK17" s="94"/>
      <c r="CL17" s="94"/>
      <c r="CM17" s="94"/>
      <c r="CN17" s="101"/>
      <c r="CO17" s="101"/>
      <c r="CP17" s="101"/>
      <c r="CQ17" s="94"/>
      <c r="CR17" s="94"/>
      <c r="CS17" s="94"/>
      <c r="CT17" s="101"/>
      <c r="CU17" s="101"/>
      <c r="CV17" s="101"/>
      <c r="CW17" s="94"/>
      <c r="CX17" s="94"/>
      <c r="CY17" s="94"/>
      <c r="CZ17" s="101"/>
      <c r="DA17" s="101"/>
      <c r="DB17" s="101"/>
      <c r="DC17" s="94"/>
      <c r="DD17" s="94"/>
      <c r="DE17" s="94"/>
      <c r="DF17" s="101"/>
      <c r="DG17" s="101"/>
      <c r="DH17" s="101"/>
      <c r="DI17" s="94"/>
      <c r="DJ17" s="94"/>
      <c r="DK17" s="94"/>
      <c r="DL17" s="101"/>
      <c r="DM17" s="101"/>
      <c r="DN17" s="101"/>
      <c r="DO17" s="94"/>
      <c r="DP17" s="94"/>
      <c r="DQ17" s="94"/>
      <c r="DR17" s="101"/>
      <c r="DS17" s="101"/>
      <c r="DT17" s="101"/>
      <c r="DU17" s="94"/>
      <c r="DV17" s="94"/>
      <c r="DW17" s="94"/>
      <c r="DX17" s="101"/>
      <c r="DY17" s="101"/>
      <c r="DZ17" s="101"/>
      <c r="EA17" s="94"/>
      <c r="EB17" s="94"/>
      <c r="EC17" s="94"/>
      <c r="ED17" s="101"/>
      <c r="EE17" s="101"/>
      <c r="EF17" s="101"/>
      <c r="EG17" s="94"/>
      <c r="EH17" s="94"/>
      <c r="EI17" s="94"/>
      <c r="EJ17" s="101"/>
      <c r="EK17" s="101"/>
      <c r="EL17" s="101"/>
      <c r="EM17" s="94"/>
      <c r="EN17" s="94"/>
      <c r="EO17" s="94"/>
      <c r="EP17" s="101"/>
      <c r="EQ17" s="101"/>
      <c r="ER17" s="101"/>
      <c r="ES17" s="94"/>
      <c r="ET17" s="94"/>
      <c r="EU17" s="94"/>
      <c r="EV17" s="101"/>
      <c r="EW17" s="101"/>
      <c r="EX17" s="101"/>
      <c r="EY17" s="94"/>
      <c r="EZ17" s="94"/>
      <c r="FA17" s="94"/>
    </row>
    <row r="18" s="66" customFormat="1" ht="76" customHeight="1" spans="1:157">
      <c r="A18" s="93">
        <v>16</v>
      </c>
      <c r="B18" s="94" t="s">
        <v>2249</v>
      </c>
      <c r="C18" s="107" t="s">
        <v>850</v>
      </c>
      <c r="D18" s="93" t="s">
        <v>85</v>
      </c>
      <c r="E18" s="107" t="s">
        <v>88</v>
      </c>
      <c r="F18" s="107" t="s">
        <v>841</v>
      </c>
      <c r="G18" s="93" t="s">
        <v>2273</v>
      </c>
      <c r="H18" s="95" t="s">
        <v>843</v>
      </c>
      <c r="I18" s="95">
        <v>13813650777</v>
      </c>
      <c r="J18" s="107" t="s">
        <v>2274</v>
      </c>
      <c r="K18" s="107" t="s">
        <v>879</v>
      </c>
      <c r="L18" s="107" t="s">
        <v>2275</v>
      </c>
      <c r="M18" s="107" t="s">
        <v>2276</v>
      </c>
      <c r="N18" s="107" t="s">
        <v>2277</v>
      </c>
      <c r="O18" s="107" t="s">
        <v>2163</v>
      </c>
      <c r="P18" s="107" t="s">
        <v>2278</v>
      </c>
      <c r="Q18" s="107" t="s">
        <v>97</v>
      </c>
      <c r="R18" s="108" t="s">
        <v>369</v>
      </c>
      <c r="S18" s="109" t="s">
        <v>2279</v>
      </c>
      <c r="T18" s="98" t="s">
        <v>2280</v>
      </c>
      <c r="U18" s="101"/>
      <c r="V18" s="101"/>
      <c r="W18" s="101"/>
      <c r="X18" s="94"/>
      <c r="Y18" s="94"/>
      <c r="Z18" s="94"/>
      <c r="AA18" s="101"/>
      <c r="AB18" s="101"/>
      <c r="AC18" s="101"/>
      <c r="AD18" s="94"/>
      <c r="AE18" s="94"/>
      <c r="AF18" s="94"/>
      <c r="AG18" s="110">
        <v>46056</v>
      </c>
      <c r="AH18" s="100" t="s">
        <v>2281</v>
      </c>
      <c r="AI18" s="100"/>
      <c r="AJ18" s="107"/>
      <c r="AK18" s="107"/>
      <c r="AL18" s="94"/>
      <c r="AM18" s="116"/>
      <c r="AN18" s="101"/>
      <c r="AO18" s="101"/>
      <c r="AP18" s="112">
        <v>46081</v>
      </c>
      <c r="AQ18" s="103" t="s">
        <v>2282</v>
      </c>
      <c r="AR18" s="111">
        <v>46084</v>
      </c>
      <c r="AS18" s="100" t="s">
        <v>2283</v>
      </c>
      <c r="AT18" s="104"/>
      <c r="AU18" s="118"/>
      <c r="AV18" s="116"/>
      <c r="AW18" s="116"/>
      <c r="AX18" s="118"/>
      <c r="AY18" s="118"/>
      <c r="AZ18" s="116"/>
      <c r="BA18" s="116"/>
      <c r="BB18" s="118"/>
      <c r="BC18" s="118"/>
      <c r="BD18" s="101"/>
      <c r="BE18" s="101"/>
      <c r="BF18" s="94"/>
      <c r="BG18" s="94"/>
      <c r="BH18" s="101"/>
      <c r="BI18" s="101"/>
      <c r="BJ18" s="94"/>
      <c r="BK18" s="94"/>
      <c r="BL18" s="101"/>
      <c r="BM18" s="101"/>
      <c r="BN18" s="94"/>
      <c r="BO18" s="94"/>
      <c r="BP18" s="101"/>
      <c r="BQ18" s="101"/>
      <c r="BR18" s="94"/>
      <c r="BS18" s="94"/>
      <c r="BT18" s="101"/>
      <c r="BU18" s="101"/>
      <c r="BV18" s="94"/>
      <c r="BW18" s="94"/>
      <c r="BX18" s="101"/>
      <c r="BY18" s="101"/>
      <c r="BZ18" s="94"/>
      <c r="CA18" s="94"/>
      <c r="CB18" s="101"/>
      <c r="CC18" s="101"/>
      <c r="CD18" s="101"/>
      <c r="CE18" s="94"/>
      <c r="CF18" s="94"/>
      <c r="CG18" s="94"/>
      <c r="CH18" s="101"/>
      <c r="CI18" s="101"/>
      <c r="CJ18" s="101"/>
      <c r="CK18" s="94"/>
      <c r="CL18" s="94"/>
      <c r="CM18" s="94"/>
      <c r="CN18" s="101"/>
      <c r="CO18" s="101"/>
      <c r="CP18" s="101"/>
      <c r="CQ18" s="94"/>
      <c r="CR18" s="94"/>
      <c r="CS18" s="94"/>
      <c r="CT18" s="101"/>
      <c r="CU18" s="101"/>
      <c r="CV18" s="101"/>
      <c r="CW18" s="94"/>
      <c r="CX18" s="94"/>
      <c r="CY18" s="94"/>
      <c r="CZ18" s="101"/>
      <c r="DA18" s="101"/>
      <c r="DB18" s="101"/>
      <c r="DC18" s="94"/>
      <c r="DD18" s="94"/>
      <c r="DE18" s="94"/>
      <c r="DF18" s="101"/>
      <c r="DG18" s="101"/>
      <c r="DH18" s="101"/>
      <c r="DI18" s="94"/>
      <c r="DJ18" s="94"/>
      <c r="DK18" s="94"/>
      <c r="DL18" s="101"/>
      <c r="DM18" s="101"/>
      <c r="DN18" s="101"/>
      <c r="DO18" s="94"/>
      <c r="DP18" s="94"/>
      <c r="DQ18" s="94"/>
      <c r="DR18" s="101"/>
      <c r="DS18" s="101"/>
      <c r="DT18" s="101"/>
      <c r="DU18" s="94"/>
      <c r="DV18" s="94"/>
      <c r="DW18" s="94"/>
      <c r="DX18" s="101"/>
      <c r="DY18" s="101"/>
      <c r="DZ18" s="101"/>
      <c r="EA18" s="94"/>
      <c r="EB18" s="94"/>
      <c r="EC18" s="94"/>
      <c r="ED18" s="101"/>
      <c r="EE18" s="101"/>
      <c r="EF18" s="101"/>
      <c r="EG18" s="94"/>
      <c r="EH18" s="94"/>
      <c r="EI18" s="94"/>
      <c r="EJ18" s="101"/>
      <c r="EK18" s="101"/>
      <c r="EL18" s="101"/>
      <c r="EM18" s="94"/>
      <c r="EN18" s="94"/>
      <c r="EO18" s="94"/>
      <c r="EP18" s="101"/>
      <c r="EQ18" s="101"/>
      <c r="ER18" s="101"/>
      <c r="ES18" s="94"/>
      <c r="ET18" s="94"/>
      <c r="EU18" s="94"/>
      <c r="EV18" s="101"/>
      <c r="EW18" s="101"/>
      <c r="EX18" s="101"/>
      <c r="EY18" s="94"/>
      <c r="EZ18" s="94"/>
      <c r="FA18" s="94"/>
    </row>
    <row r="19" s="66" customFormat="1" ht="76" customHeight="1" spans="1:157">
      <c r="A19" s="93">
        <v>17</v>
      </c>
      <c r="B19" s="94" t="s">
        <v>2249</v>
      </c>
      <c r="C19" s="107" t="s">
        <v>850</v>
      </c>
      <c r="D19" s="107" t="s">
        <v>85</v>
      </c>
      <c r="E19" s="107" t="s">
        <v>88</v>
      </c>
      <c r="F19" s="107" t="s">
        <v>857</v>
      </c>
      <c r="G19" s="93" t="s">
        <v>858</v>
      </c>
      <c r="H19" s="107" t="s">
        <v>2284</v>
      </c>
      <c r="I19" s="107">
        <v>13862697795</v>
      </c>
      <c r="J19" s="107" t="s">
        <v>2274</v>
      </c>
      <c r="K19" s="107" t="s">
        <v>879</v>
      </c>
      <c r="L19" s="107" t="s">
        <v>2285</v>
      </c>
      <c r="M19" s="107" t="s">
        <v>2286</v>
      </c>
      <c r="N19" s="107" t="s">
        <v>2287</v>
      </c>
      <c r="O19" s="107" t="s">
        <v>2163</v>
      </c>
      <c r="P19" s="107" t="s">
        <v>576</v>
      </c>
      <c r="Q19" s="107" t="s">
        <v>97</v>
      </c>
      <c r="R19" s="108" t="s">
        <v>369</v>
      </c>
      <c r="S19" s="109" t="s">
        <v>787</v>
      </c>
      <c r="T19" s="98" t="s">
        <v>2288</v>
      </c>
      <c r="U19" s="101"/>
      <c r="V19" s="101"/>
      <c r="W19" s="101"/>
      <c r="X19" s="94"/>
      <c r="Y19" s="94"/>
      <c r="Z19" s="94"/>
      <c r="AA19" s="101"/>
      <c r="AB19" s="101"/>
      <c r="AC19" s="101"/>
      <c r="AD19" s="94"/>
      <c r="AE19" s="94"/>
      <c r="AF19" s="94"/>
      <c r="AG19" s="110">
        <v>46056</v>
      </c>
      <c r="AH19" s="100" t="s">
        <v>2289</v>
      </c>
      <c r="AI19" s="100"/>
      <c r="AJ19" s="107"/>
      <c r="AK19" s="107"/>
      <c r="AL19" s="94"/>
      <c r="AM19" s="116"/>
      <c r="AN19" s="101"/>
      <c r="AO19" s="101"/>
      <c r="AP19" s="104"/>
      <c r="AQ19" s="94"/>
      <c r="AR19" s="115"/>
      <c r="AS19" s="116"/>
      <c r="AT19" s="104"/>
      <c r="AU19" s="118"/>
      <c r="AV19" s="116"/>
      <c r="AW19" s="116"/>
      <c r="AX19" s="118"/>
      <c r="AY19" s="118"/>
      <c r="AZ19" s="116"/>
      <c r="BA19" s="116"/>
      <c r="BB19" s="118"/>
      <c r="BC19" s="118"/>
      <c r="BD19" s="101"/>
      <c r="BE19" s="101"/>
      <c r="BF19" s="94"/>
      <c r="BG19" s="94"/>
      <c r="BH19" s="101"/>
      <c r="BI19" s="101"/>
      <c r="BJ19" s="94"/>
      <c r="BK19" s="94"/>
      <c r="BL19" s="101"/>
      <c r="BM19" s="101"/>
      <c r="BN19" s="94"/>
      <c r="BO19" s="94"/>
      <c r="BP19" s="101"/>
      <c r="BQ19" s="101"/>
      <c r="BR19" s="94"/>
      <c r="BS19" s="94"/>
      <c r="BT19" s="101"/>
      <c r="BU19" s="101"/>
      <c r="BV19" s="94"/>
      <c r="BW19" s="94"/>
      <c r="BX19" s="101"/>
      <c r="BY19" s="101"/>
      <c r="BZ19" s="94"/>
      <c r="CA19" s="94"/>
      <c r="CB19" s="101"/>
      <c r="CC19" s="101"/>
      <c r="CD19" s="101"/>
      <c r="CE19" s="94"/>
      <c r="CF19" s="94"/>
      <c r="CG19" s="94"/>
      <c r="CH19" s="101"/>
      <c r="CI19" s="101"/>
      <c r="CJ19" s="101"/>
      <c r="CK19" s="94"/>
      <c r="CL19" s="94"/>
      <c r="CM19" s="94"/>
      <c r="CN19" s="101"/>
      <c r="CO19" s="101"/>
      <c r="CP19" s="101"/>
      <c r="CQ19" s="94"/>
      <c r="CR19" s="94"/>
      <c r="CS19" s="94"/>
      <c r="CT19" s="101"/>
      <c r="CU19" s="101"/>
      <c r="CV19" s="101"/>
      <c r="CW19" s="94"/>
      <c r="CX19" s="94"/>
      <c r="CY19" s="94"/>
      <c r="CZ19" s="101"/>
      <c r="DA19" s="101"/>
      <c r="DB19" s="101"/>
      <c r="DC19" s="94"/>
      <c r="DD19" s="94"/>
      <c r="DE19" s="94"/>
      <c r="DF19" s="101"/>
      <c r="DG19" s="101"/>
      <c r="DH19" s="101"/>
      <c r="DI19" s="94"/>
      <c r="DJ19" s="94"/>
      <c r="DK19" s="94"/>
      <c r="DL19" s="101"/>
      <c r="DM19" s="101"/>
      <c r="DN19" s="101"/>
      <c r="DO19" s="94"/>
      <c r="DP19" s="94"/>
      <c r="DQ19" s="94"/>
      <c r="DR19" s="101"/>
      <c r="DS19" s="101"/>
      <c r="DT19" s="101"/>
      <c r="DU19" s="94"/>
      <c r="DV19" s="94"/>
      <c r="DW19" s="94"/>
      <c r="DX19" s="101"/>
      <c r="DY19" s="101"/>
      <c r="DZ19" s="101"/>
      <c r="EA19" s="94"/>
      <c r="EB19" s="94"/>
      <c r="EC19" s="94"/>
      <c r="ED19" s="101"/>
      <c r="EE19" s="101"/>
      <c r="EF19" s="101"/>
      <c r="EG19" s="94"/>
      <c r="EH19" s="94"/>
      <c r="EI19" s="94"/>
      <c r="EJ19" s="101"/>
      <c r="EK19" s="101"/>
      <c r="EL19" s="101"/>
      <c r="EM19" s="94"/>
      <c r="EN19" s="94"/>
      <c r="EO19" s="94"/>
      <c r="EP19" s="101"/>
      <c r="EQ19" s="101"/>
      <c r="ER19" s="101"/>
      <c r="ES19" s="94"/>
      <c r="ET19" s="94"/>
      <c r="EU19" s="94"/>
      <c r="EV19" s="101"/>
      <c r="EW19" s="101"/>
      <c r="EX19" s="101"/>
      <c r="EY19" s="94"/>
      <c r="EZ19" s="94"/>
      <c r="FA19" s="94"/>
    </row>
    <row r="20" s="66" customFormat="1" ht="76" customHeight="1" spans="1:157">
      <c r="A20" s="93">
        <v>18</v>
      </c>
      <c r="B20" s="94" t="s">
        <v>2290</v>
      </c>
      <c r="C20" s="107" t="s">
        <v>2291</v>
      </c>
      <c r="D20" s="107" t="s">
        <v>85</v>
      </c>
      <c r="E20" s="107" t="s">
        <v>88</v>
      </c>
      <c r="F20" s="93" t="s">
        <v>2292</v>
      </c>
      <c r="G20" s="93" t="s">
        <v>2293</v>
      </c>
      <c r="H20" s="107" t="s">
        <v>2294</v>
      </c>
      <c r="I20" s="107"/>
      <c r="J20" s="107" t="s">
        <v>586</v>
      </c>
      <c r="K20" s="107" t="s">
        <v>2295</v>
      </c>
      <c r="L20" s="107" t="s">
        <v>2296</v>
      </c>
      <c r="M20" s="107"/>
      <c r="N20" s="107"/>
      <c r="O20" s="107" t="s">
        <v>2163</v>
      </c>
      <c r="P20" s="107"/>
      <c r="Q20" s="107" t="s">
        <v>97</v>
      </c>
      <c r="R20" s="108" t="s">
        <v>369</v>
      </c>
      <c r="S20" s="109" t="s">
        <v>2164</v>
      </c>
      <c r="T20" s="98" t="s">
        <v>2297</v>
      </c>
      <c r="U20" s="101"/>
      <c r="V20" s="101"/>
      <c r="W20" s="101"/>
      <c r="X20" s="94"/>
      <c r="Y20" s="94"/>
      <c r="Z20" s="94"/>
      <c r="AA20" s="101"/>
      <c r="AB20" s="101"/>
      <c r="AC20" s="101"/>
      <c r="AD20" s="94"/>
      <c r="AE20" s="94"/>
      <c r="AF20" s="94"/>
      <c r="AG20" s="111">
        <v>46059</v>
      </c>
      <c r="AH20" s="100" t="s">
        <v>2298</v>
      </c>
      <c r="AI20" s="100"/>
      <c r="AJ20" s="104"/>
      <c r="AK20" s="107"/>
      <c r="AL20" s="94"/>
      <c r="AM20" s="101"/>
      <c r="AN20" s="101"/>
      <c r="AO20" s="101"/>
      <c r="AP20" s="112">
        <v>46079</v>
      </c>
      <c r="AQ20" s="103" t="s">
        <v>2299</v>
      </c>
      <c r="AR20" s="111">
        <v>46084</v>
      </c>
      <c r="AS20" s="116" t="s">
        <v>2300</v>
      </c>
      <c r="AT20" s="104"/>
      <c r="AU20" s="118"/>
      <c r="AV20" s="116"/>
      <c r="AW20" s="116"/>
      <c r="AX20" s="118"/>
      <c r="AY20" s="118"/>
      <c r="AZ20" s="116"/>
      <c r="BA20" s="116"/>
      <c r="BB20" s="118"/>
      <c r="BC20" s="118"/>
      <c r="BD20" s="101"/>
      <c r="BE20" s="101"/>
      <c r="BF20" s="94"/>
      <c r="BG20" s="94"/>
      <c r="BH20" s="101"/>
      <c r="BI20" s="101"/>
      <c r="BJ20" s="94"/>
      <c r="BK20" s="94"/>
      <c r="BL20" s="101"/>
      <c r="BM20" s="101"/>
      <c r="BN20" s="94"/>
      <c r="BO20" s="94"/>
      <c r="BP20" s="101"/>
      <c r="BQ20" s="101"/>
      <c r="BR20" s="94"/>
      <c r="BS20" s="94"/>
      <c r="BT20" s="101"/>
      <c r="BU20" s="101"/>
      <c r="BV20" s="94"/>
      <c r="BW20" s="94"/>
      <c r="BX20" s="101"/>
      <c r="BY20" s="101"/>
      <c r="BZ20" s="94"/>
      <c r="CA20" s="94"/>
      <c r="CB20" s="101"/>
      <c r="CC20" s="101"/>
      <c r="CD20" s="101"/>
      <c r="CE20" s="94"/>
      <c r="CF20" s="94"/>
      <c r="CG20" s="94"/>
      <c r="CH20" s="101"/>
      <c r="CI20" s="101"/>
      <c r="CJ20" s="101"/>
      <c r="CK20" s="94"/>
      <c r="CL20" s="94"/>
      <c r="CM20" s="94"/>
      <c r="CN20" s="101"/>
      <c r="CO20" s="101"/>
      <c r="CP20" s="101"/>
      <c r="CQ20" s="94"/>
      <c r="CR20" s="94"/>
      <c r="CS20" s="94"/>
      <c r="CT20" s="101"/>
      <c r="CU20" s="101"/>
      <c r="CV20" s="101"/>
      <c r="CW20" s="94"/>
      <c r="CX20" s="94"/>
      <c r="CY20" s="94"/>
      <c r="CZ20" s="101"/>
      <c r="DA20" s="101"/>
      <c r="DB20" s="101"/>
      <c r="DC20" s="94"/>
      <c r="DD20" s="94"/>
      <c r="DE20" s="94"/>
      <c r="DF20" s="101"/>
      <c r="DG20" s="101"/>
      <c r="DH20" s="101"/>
      <c r="DI20" s="94"/>
      <c r="DJ20" s="94"/>
      <c r="DK20" s="94"/>
      <c r="DL20" s="101"/>
      <c r="DM20" s="101"/>
      <c r="DN20" s="101"/>
      <c r="DO20" s="94"/>
      <c r="DP20" s="94"/>
      <c r="DQ20" s="94"/>
      <c r="DR20" s="101"/>
      <c r="DS20" s="101"/>
      <c r="DT20" s="101"/>
      <c r="DU20" s="94"/>
      <c r="DV20" s="94"/>
      <c r="DW20" s="94"/>
      <c r="DX20" s="101"/>
      <c r="DY20" s="101"/>
      <c r="DZ20" s="101"/>
      <c r="EA20" s="94"/>
      <c r="EB20" s="94"/>
      <c r="EC20" s="94"/>
      <c r="ED20" s="101"/>
      <c r="EE20" s="101"/>
      <c r="EF20" s="101"/>
      <c r="EG20" s="94"/>
      <c r="EH20" s="94"/>
      <c r="EI20" s="94"/>
      <c r="EJ20" s="101"/>
      <c r="EK20" s="101"/>
      <c r="EL20" s="101"/>
      <c r="EM20" s="94"/>
      <c r="EN20" s="94"/>
      <c r="EO20" s="94"/>
      <c r="EP20" s="101"/>
      <c r="EQ20" s="101"/>
      <c r="ER20" s="101"/>
      <c r="ES20" s="94"/>
      <c r="ET20" s="94"/>
      <c r="EU20" s="94"/>
      <c r="EV20" s="101"/>
      <c r="EW20" s="101"/>
      <c r="EX20" s="101"/>
      <c r="EY20" s="94"/>
      <c r="EZ20" s="94"/>
      <c r="FA20" s="94"/>
    </row>
    <row r="21" s="66" customFormat="1" ht="160.75" customHeight="1" spans="1:157">
      <c r="A21" s="93">
        <v>19</v>
      </c>
      <c r="B21" s="94" t="s">
        <v>2249</v>
      </c>
      <c r="C21" s="107" t="s">
        <v>2301</v>
      </c>
      <c r="D21" s="107" t="s">
        <v>85</v>
      </c>
      <c r="E21" s="107" t="s">
        <v>88</v>
      </c>
      <c r="F21" s="107" t="s">
        <v>877</v>
      </c>
      <c r="G21" s="93" t="s">
        <v>2302</v>
      </c>
      <c r="H21" s="107" t="s">
        <v>880</v>
      </c>
      <c r="I21" s="107">
        <v>13861213990</v>
      </c>
      <c r="J21" s="107" t="s">
        <v>2303</v>
      </c>
      <c r="K21" s="107" t="s">
        <v>310</v>
      </c>
      <c r="L21" s="107" t="s">
        <v>2304</v>
      </c>
      <c r="M21" s="107" t="s">
        <v>143</v>
      </c>
      <c r="N21" s="107" t="s">
        <v>2305</v>
      </c>
      <c r="O21" s="107" t="s">
        <v>369</v>
      </c>
      <c r="P21" s="107" t="s">
        <v>2306</v>
      </c>
      <c r="Q21" s="107" t="s">
        <v>97</v>
      </c>
      <c r="R21" s="108" t="s">
        <v>369</v>
      </c>
      <c r="S21" s="109" t="s">
        <v>2307</v>
      </c>
      <c r="T21" s="98" t="s">
        <v>2308</v>
      </c>
      <c r="U21" s="101"/>
      <c r="V21" s="101"/>
      <c r="W21" s="101"/>
      <c r="X21" s="94"/>
      <c r="Y21" s="94"/>
      <c r="Z21" s="94"/>
      <c r="AA21" s="101"/>
      <c r="AB21" s="101"/>
      <c r="AC21" s="101"/>
      <c r="AD21" s="94"/>
      <c r="AE21" s="94"/>
      <c r="AF21" s="94"/>
      <c r="AG21" s="111">
        <v>46059</v>
      </c>
      <c r="AH21" s="100" t="s">
        <v>2309</v>
      </c>
      <c r="AI21" s="100"/>
      <c r="AJ21" s="104"/>
      <c r="AK21" s="107"/>
      <c r="AL21" s="94"/>
      <c r="AM21" s="101"/>
      <c r="AN21" s="101"/>
      <c r="AO21" s="101"/>
      <c r="AP21" s="104"/>
      <c r="AQ21" s="94"/>
      <c r="AR21" s="115"/>
      <c r="AS21" s="116"/>
      <c r="AT21" s="104"/>
      <c r="AU21" s="118"/>
      <c r="AV21" s="119">
        <v>46099</v>
      </c>
      <c r="AW21" s="100" t="s">
        <v>2310</v>
      </c>
      <c r="AX21" s="118"/>
      <c r="AY21" s="118"/>
      <c r="AZ21" s="116"/>
      <c r="BA21" s="116"/>
      <c r="BB21" s="118"/>
      <c r="BC21" s="118"/>
      <c r="BD21" s="101"/>
      <c r="BE21" s="101"/>
      <c r="BF21" s="94"/>
      <c r="BG21" s="94"/>
      <c r="BH21" s="101"/>
      <c r="BI21" s="101"/>
      <c r="BJ21" s="94"/>
      <c r="BK21" s="94"/>
      <c r="BL21" s="101"/>
      <c r="BM21" s="101"/>
      <c r="BN21" s="94"/>
      <c r="BO21" s="94"/>
      <c r="BP21" s="101"/>
      <c r="BQ21" s="101"/>
      <c r="BR21" s="94"/>
      <c r="BS21" s="94"/>
      <c r="BT21" s="101"/>
      <c r="BU21" s="101"/>
      <c r="BV21" s="94"/>
      <c r="BW21" s="94"/>
      <c r="BX21" s="101"/>
      <c r="BY21" s="101"/>
      <c r="BZ21" s="94"/>
      <c r="CA21" s="94"/>
      <c r="CB21" s="101"/>
      <c r="CC21" s="101"/>
      <c r="CD21" s="101"/>
      <c r="CE21" s="94"/>
      <c r="CF21" s="94"/>
      <c r="CG21" s="94"/>
      <c r="CH21" s="101"/>
      <c r="CI21" s="101"/>
      <c r="CJ21" s="101"/>
      <c r="CK21" s="94"/>
      <c r="CL21" s="94"/>
      <c r="CM21" s="94"/>
      <c r="CN21" s="101"/>
      <c r="CO21" s="101"/>
      <c r="CP21" s="101"/>
      <c r="CQ21" s="94"/>
      <c r="CR21" s="94"/>
      <c r="CS21" s="94"/>
      <c r="CT21" s="101"/>
      <c r="CU21" s="101"/>
      <c r="CV21" s="101"/>
      <c r="CW21" s="94"/>
      <c r="CX21" s="94"/>
      <c r="CY21" s="94"/>
      <c r="CZ21" s="101"/>
      <c r="DA21" s="101"/>
      <c r="DB21" s="101"/>
      <c r="DC21" s="94"/>
      <c r="DD21" s="94"/>
      <c r="DE21" s="94"/>
      <c r="DF21" s="101"/>
      <c r="DG21" s="101"/>
      <c r="DH21" s="101"/>
      <c r="DI21" s="94"/>
      <c r="DJ21" s="94"/>
      <c r="DK21" s="94"/>
      <c r="DL21" s="101"/>
      <c r="DM21" s="101"/>
      <c r="DN21" s="101"/>
      <c r="DO21" s="94"/>
      <c r="DP21" s="94"/>
      <c r="DQ21" s="94"/>
      <c r="DR21" s="101"/>
      <c r="DS21" s="101"/>
      <c r="DT21" s="101"/>
      <c r="DU21" s="94"/>
      <c r="DV21" s="94"/>
      <c r="DW21" s="94"/>
      <c r="DX21" s="101"/>
      <c r="DY21" s="101"/>
      <c r="DZ21" s="101"/>
      <c r="EA21" s="94"/>
      <c r="EB21" s="94"/>
      <c r="EC21" s="94"/>
      <c r="ED21" s="101"/>
      <c r="EE21" s="101"/>
      <c r="EF21" s="101"/>
      <c r="EG21" s="94"/>
      <c r="EH21" s="94"/>
      <c r="EI21" s="94"/>
      <c r="EJ21" s="101"/>
      <c r="EK21" s="101"/>
      <c r="EL21" s="101"/>
      <c r="EM21" s="94"/>
      <c r="EN21" s="94"/>
      <c r="EO21" s="94"/>
      <c r="EP21" s="101"/>
      <c r="EQ21" s="101"/>
      <c r="ER21" s="101"/>
      <c r="ES21" s="94"/>
      <c r="ET21" s="94"/>
      <c r="EU21" s="94"/>
      <c r="EV21" s="101"/>
      <c r="EW21" s="101"/>
      <c r="EX21" s="101"/>
      <c r="EY21" s="94"/>
      <c r="EZ21" s="94"/>
      <c r="FA21" s="94"/>
    </row>
    <row r="22" s="66" customFormat="1" ht="130" customHeight="1" spans="1:157">
      <c r="A22" s="93">
        <v>20</v>
      </c>
      <c r="B22" s="94" t="s">
        <v>2249</v>
      </c>
      <c r="C22" s="107" t="s">
        <v>2301</v>
      </c>
      <c r="D22" s="107" t="s">
        <v>85</v>
      </c>
      <c r="E22" s="107" t="s">
        <v>88</v>
      </c>
      <c r="F22" s="107" t="s">
        <v>2311</v>
      </c>
      <c r="G22" s="107" t="s">
        <v>780</v>
      </c>
      <c r="H22" s="107" t="s">
        <v>914</v>
      </c>
      <c r="I22" s="107">
        <v>18915077917</v>
      </c>
      <c r="J22" s="107" t="s">
        <v>2312</v>
      </c>
      <c r="K22" s="107" t="s">
        <v>310</v>
      </c>
      <c r="L22" s="107" t="s">
        <v>915</v>
      </c>
      <c r="M22" s="107" t="s">
        <v>2313</v>
      </c>
      <c r="N22" s="107" t="s">
        <v>2313</v>
      </c>
      <c r="O22" s="107" t="s">
        <v>369</v>
      </c>
      <c r="P22" s="107" t="s">
        <v>140</v>
      </c>
      <c r="Q22" s="107" t="s">
        <v>85</v>
      </c>
      <c r="R22" s="108" t="s">
        <v>2314</v>
      </c>
      <c r="S22" s="109" t="s">
        <v>2240</v>
      </c>
      <c r="T22" s="98" t="s">
        <v>2315</v>
      </c>
      <c r="U22" s="101"/>
      <c r="V22" s="101"/>
      <c r="W22" s="101"/>
      <c r="X22" s="94"/>
      <c r="Y22" s="94"/>
      <c r="Z22" s="94"/>
      <c r="AA22" s="101"/>
      <c r="AB22" s="101"/>
      <c r="AC22" s="101"/>
      <c r="AD22" s="94"/>
      <c r="AE22" s="94"/>
      <c r="AF22" s="94"/>
      <c r="AG22" s="101"/>
      <c r="AH22" s="101"/>
      <c r="AI22" s="101"/>
      <c r="AJ22" s="112">
        <v>46062</v>
      </c>
      <c r="AK22" s="103" t="s">
        <v>2316</v>
      </c>
      <c r="AL22" s="94"/>
      <c r="AM22" s="101"/>
      <c r="AN22" s="101"/>
      <c r="AO22" s="101"/>
      <c r="AP22" s="112">
        <v>46077</v>
      </c>
      <c r="AQ22" s="103" t="s">
        <v>2317</v>
      </c>
      <c r="AR22" s="115"/>
      <c r="AS22" s="116"/>
      <c r="AT22" s="104"/>
      <c r="AU22" s="118"/>
      <c r="AV22" s="119">
        <v>46098</v>
      </c>
      <c r="AW22" s="100" t="s">
        <v>2318</v>
      </c>
      <c r="AX22" s="118"/>
      <c r="AY22" s="118"/>
      <c r="AZ22" s="116"/>
      <c r="BA22" s="116"/>
      <c r="BB22" s="118"/>
      <c r="BC22" s="118"/>
      <c r="BD22" s="101"/>
      <c r="BE22" s="101"/>
      <c r="BF22" s="94"/>
      <c r="BG22" s="94"/>
      <c r="BH22" s="101"/>
      <c r="BI22" s="101"/>
      <c r="BJ22" s="94"/>
      <c r="BK22" s="94"/>
      <c r="BL22" s="101"/>
      <c r="BM22" s="101"/>
      <c r="BN22" s="94"/>
      <c r="BO22" s="94"/>
      <c r="BP22" s="101"/>
      <c r="BQ22" s="101"/>
      <c r="BR22" s="94"/>
      <c r="BS22" s="94"/>
      <c r="BT22" s="101"/>
      <c r="BU22" s="101"/>
      <c r="BV22" s="94"/>
      <c r="BW22" s="94"/>
      <c r="BX22" s="101"/>
      <c r="BY22" s="101"/>
      <c r="BZ22" s="94"/>
      <c r="CA22" s="94"/>
      <c r="CB22" s="101"/>
      <c r="CC22" s="101"/>
      <c r="CD22" s="101"/>
      <c r="CE22" s="94"/>
      <c r="CF22" s="94"/>
      <c r="CG22" s="94"/>
      <c r="CH22" s="101"/>
      <c r="CI22" s="101"/>
      <c r="CJ22" s="101"/>
      <c r="CK22" s="94"/>
      <c r="CL22" s="94"/>
      <c r="CM22" s="94"/>
      <c r="CN22" s="101"/>
      <c r="CO22" s="101"/>
      <c r="CP22" s="101"/>
      <c r="CQ22" s="94"/>
      <c r="CR22" s="94"/>
      <c r="CS22" s="94"/>
      <c r="CT22" s="101"/>
      <c r="CU22" s="101"/>
      <c r="CV22" s="101"/>
      <c r="CW22" s="94"/>
      <c r="CX22" s="94"/>
      <c r="CY22" s="94"/>
      <c r="CZ22" s="101"/>
      <c r="DA22" s="101"/>
      <c r="DB22" s="101"/>
      <c r="DC22" s="94"/>
      <c r="DD22" s="94"/>
      <c r="DE22" s="94"/>
      <c r="DF22" s="101"/>
      <c r="DG22" s="101"/>
      <c r="DH22" s="101"/>
      <c r="DI22" s="94"/>
      <c r="DJ22" s="94"/>
      <c r="DK22" s="94"/>
      <c r="DL22" s="101"/>
      <c r="DM22" s="101"/>
      <c r="DN22" s="101"/>
      <c r="DO22" s="94"/>
      <c r="DP22" s="94"/>
      <c r="DQ22" s="94"/>
      <c r="DR22" s="101"/>
      <c r="DS22" s="101"/>
      <c r="DT22" s="101"/>
      <c r="DU22" s="94"/>
      <c r="DV22" s="94"/>
      <c r="DW22" s="94"/>
      <c r="DX22" s="101"/>
      <c r="DY22" s="101"/>
      <c r="DZ22" s="101"/>
      <c r="EA22" s="94"/>
      <c r="EB22" s="94"/>
      <c r="EC22" s="94"/>
      <c r="ED22" s="101"/>
      <c r="EE22" s="101"/>
      <c r="EF22" s="101"/>
      <c r="EG22" s="94"/>
      <c r="EH22" s="94"/>
      <c r="EI22" s="94"/>
      <c r="EJ22" s="101"/>
      <c r="EK22" s="101"/>
      <c r="EL22" s="101"/>
      <c r="EM22" s="94"/>
      <c r="EN22" s="94"/>
      <c r="EO22" s="94"/>
      <c r="EP22" s="101"/>
      <c r="EQ22" s="101"/>
      <c r="ER22" s="101"/>
      <c r="ES22" s="94"/>
      <c r="ET22" s="94"/>
      <c r="EU22" s="94"/>
      <c r="EV22" s="101"/>
      <c r="EW22" s="101"/>
      <c r="EX22" s="101"/>
      <c r="EY22" s="94"/>
      <c r="EZ22" s="94"/>
      <c r="FA22" s="94"/>
    </row>
    <row r="23" s="66" customFormat="1" ht="101" customHeight="1" spans="1:157">
      <c r="A23" s="93">
        <v>21</v>
      </c>
      <c r="B23" s="94" t="s">
        <v>2319</v>
      </c>
      <c r="C23" s="107" t="s">
        <v>462</v>
      </c>
      <c r="D23" s="107" t="s">
        <v>85</v>
      </c>
      <c r="E23" s="107" t="s">
        <v>2320</v>
      </c>
      <c r="F23" s="107" t="s">
        <v>452</v>
      </c>
      <c r="G23" s="93" t="s">
        <v>2321</v>
      </c>
      <c r="H23" s="107" t="s">
        <v>456</v>
      </c>
      <c r="I23" s="107">
        <v>13961227791</v>
      </c>
      <c r="J23" s="107" t="s">
        <v>2322</v>
      </c>
      <c r="K23" s="107" t="s">
        <v>879</v>
      </c>
      <c r="L23" s="93" t="s">
        <v>2323</v>
      </c>
      <c r="M23" s="107" t="s">
        <v>455</v>
      </c>
      <c r="N23" s="107">
        <v>0</v>
      </c>
      <c r="O23" s="107" t="s">
        <v>2324</v>
      </c>
      <c r="P23" s="107" t="s">
        <v>369</v>
      </c>
      <c r="Q23" s="107" t="s">
        <v>97</v>
      </c>
      <c r="R23" s="108" t="s">
        <v>369</v>
      </c>
      <c r="S23" s="109" t="s">
        <v>2164</v>
      </c>
      <c r="T23" s="98" t="s">
        <v>2325</v>
      </c>
      <c r="U23" s="101"/>
      <c r="V23" s="101"/>
      <c r="W23" s="101"/>
      <c r="X23" s="94"/>
      <c r="Y23" s="94"/>
      <c r="Z23" s="94"/>
      <c r="AA23" s="101"/>
      <c r="AB23" s="101"/>
      <c r="AC23" s="101"/>
      <c r="AD23" s="94"/>
      <c r="AE23" s="94"/>
      <c r="AF23" s="94"/>
      <c r="AG23" s="101"/>
      <c r="AH23" s="101"/>
      <c r="AI23" s="101"/>
      <c r="AJ23" s="112">
        <v>46063</v>
      </c>
      <c r="AK23" s="103" t="s">
        <v>2326</v>
      </c>
      <c r="AL23" s="94"/>
      <c r="AM23" s="101"/>
      <c r="AN23" s="101"/>
      <c r="AO23" s="101"/>
      <c r="AP23" s="107"/>
      <c r="AQ23" s="118"/>
      <c r="AR23" s="115"/>
      <c r="AS23" s="116"/>
      <c r="AT23" s="104"/>
      <c r="AU23" s="118"/>
      <c r="AV23" s="116"/>
      <c r="AW23" s="116"/>
      <c r="AX23" s="118"/>
      <c r="AY23" s="118"/>
      <c r="AZ23" s="116"/>
      <c r="BA23" s="116"/>
      <c r="BB23" s="118"/>
      <c r="BC23" s="118"/>
      <c r="BD23" s="101"/>
      <c r="BE23" s="101"/>
      <c r="BF23" s="94"/>
      <c r="BG23" s="94"/>
      <c r="BH23" s="101"/>
      <c r="BI23" s="101"/>
      <c r="BJ23" s="94"/>
      <c r="BK23" s="94"/>
      <c r="BL23" s="101"/>
      <c r="BM23" s="101"/>
      <c r="BN23" s="94"/>
      <c r="BO23" s="94"/>
      <c r="BP23" s="101"/>
      <c r="BQ23" s="101"/>
      <c r="BR23" s="94"/>
      <c r="BS23" s="94"/>
      <c r="BT23" s="101"/>
      <c r="BU23" s="101"/>
      <c r="BV23" s="94"/>
      <c r="BW23" s="94"/>
      <c r="BX23" s="101"/>
      <c r="BY23" s="101"/>
      <c r="BZ23" s="94"/>
      <c r="CA23" s="94"/>
      <c r="CB23" s="101"/>
      <c r="CC23" s="101"/>
      <c r="CD23" s="101"/>
      <c r="CE23" s="94"/>
      <c r="CF23" s="94"/>
      <c r="CG23" s="94"/>
      <c r="CH23" s="101"/>
      <c r="CI23" s="101"/>
      <c r="CJ23" s="101"/>
      <c r="CK23" s="94"/>
      <c r="CL23" s="94"/>
      <c r="CM23" s="94"/>
      <c r="CN23" s="101"/>
      <c r="CO23" s="101"/>
      <c r="CP23" s="101"/>
      <c r="CQ23" s="94"/>
      <c r="CR23" s="94"/>
      <c r="CS23" s="94"/>
      <c r="CT23" s="101"/>
      <c r="CU23" s="101"/>
      <c r="CV23" s="101"/>
      <c r="CW23" s="94"/>
      <c r="CX23" s="94"/>
      <c r="CY23" s="94"/>
      <c r="CZ23" s="101"/>
      <c r="DA23" s="101"/>
      <c r="DB23" s="101"/>
      <c r="DC23" s="94"/>
      <c r="DD23" s="94"/>
      <c r="DE23" s="94"/>
      <c r="DF23" s="101"/>
      <c r="DG23" s="101"/>
      <c r="DH23" s="101"/>
      <c r="DI23" s="94"/>
      <c r="DJ23" s="94"/>
      <c r="DK23" s="94"/>
      <c r="DL23" s="101"/>
      <c r="DM23" s="101"/>
      <c r="DN23" s="101"/>
      <c r="DO23" s="94"/>
      <c r="DP23" s="94"/>
      <c r="DQ23" s="94"/>
      <c r="DR23" s="101"/>
      <c r="DS23" s="101"/>
      <c r="DT23" s="101"/>
      <c r="DU23" s="94"/>
      <c r="DV23" s="94"/>
      <c r="DW23" s="94"/>
      <c r="DX23" s="101"/>
      <c r="DY23" s="101"/>
      <c r="DZ23" s="101"/>
      <c r="EA23" s="94"/>
      <c r="EB23" s="94"/>
      <c r="EC23" s="94"/>
      <c r="ED23" s="101"/>
      <c r="EE23" s="101"/>
      <c r="EF23" s="101"/>
      <c r="EG23" s="94"/>
      <c r="EH23" s="94"/>
      <c r="EI23" s="94"/>
      <c r="EJ23" s="101"/>
      <c r="EK23" s="101"/>
      <c r="EL23" s="101"/>
      <c r="EM23" s="94"/>
      <c r="EN23" s="94"/>
      <c r="EO23" s="94"/>
      <c r="EP23" s="101"/>
      <c r="EQ23" s="101"/>
      <c r="ER23" s="101"/>
      <c r="ES23" s="94"/>
      <c r="ET23" s="94"/>
      <c r="EU23" s="94"/>
      <c r="EV23" s="101"/>
      <c r="EW23" s="101"/>
      <c r="EX23" s="101"/>
      <c r="EY23" s="94"/>
      <c r="EZ23" s="94"/>
      <c r="FA23" s="94"/>
    </row>
    <row r="24" s="66" customFormat="1" ht="76" customHeight="1" spans="1:157">
      <c r="A24" s="93">
        <v>22</v>
      </c>
      <c r="B24" s="94" t="s">
        <v>2319</v>
      </c>
      <c r="C24" s="107" t="s">
        <v>462</v>
      </c>
      <c r="D24" s="107" t="s">
        <v>85</v>
      </c>
      <c r="E24" s="107" t="s">
        <v>88</v>
      </c>
      <c r="F24" s="107" t="s">
        <v>334</v>
      </c>
      <c r="G24" s="93" t="s">
        <v>2327</v>
      </c>
      <c r="H24" s="107" t="s">
        <v>2328</v>
      </c>
      <c r="I24" s="107">
        <v>13813658632</v>
      </c>
      <c r="J24" s="107" t="s">
        <v>2329</v>
      </c>
      <c r="K24" s="107" t="s">
        <v>310</v>
      </c>
      <c r="L24" s="107" t="s">
        <v>2330</v>
      </c>
      <c r="M24" s="107" t="s">
        <v>1512</v>
      </c>
      <c r="N24" s="107" t="s">
        <v>1512</v>
      </c>
      <c r="O24" s="107" t="s">
        <v>369</v>
      </c>
      <c r="P24" s="107" t="s">
        <v>2331</v>
      </c>
      <c r="Q24" s="107" t="s">
        <v>85</v>
      </c>
      <c r="R24" s="108" t="s">
        <v>87</v>
      </c>
      <c r="S24" s="109" t="s">
        <v>2240</v>
      </c>
      <c r="T24" s="120" t="s">
        <v>2332</v>
      </c>
      <c r="U24" s="101"/>
      <c r="V24" s="101"/>
      <c r="W24" s="101"/>
      <c r="X24" s="94"/>
      <c r="Y24" s="94"/>
      <c r="Z24" s="94"/>
      <c r="AA24" s="101"/>
      <c r="AB24" s="101"/>
      <c r="AC24" s="101"/>
      <c r="AD24" s="94"/>
      <c r="AE24" s="94"/>
      <c r="AF24" s="94"/>
      <c r="AG24" s="101"/>
      <c r="AH24" s="101"/>
      <c r="AI24" s="101"/>
      <c r="AJ24" s="112">
        <v>46063</v>
      </c>
      <c r="AK24" s="121" t="s">
        <v>2333</v>
      </c>
      <c r="AL24" s="94"/>
      <c r="AM24" s="101"/>
      <c r="AN24" s="101"/>
      <c r="AO24" s="101"/>
      <c r="AP24" s="107"/>
      <c r="AQ24" s="122"/>
      <c r="AR24" s="115"/>
      <c r="AS24" s="123"/>
      <c r="AT24" s="104"/>
      <c r="AU24" s="122"/>
      <c r="AV24" s="123"/>
      <c r="AW24" s="123"/>
      <c r="AX24" s="122"/>
      <c r="AY24" s="122"/>
      <c r="AZ24" s="123"/>
      <c r="BA24" s="123"/>
      <c r="BB24" s="122"/>
      <c r="BC24" s="122"/>
      <c r="BD24" s="101"/>
      <c r="BE24" s="101"/>
      <c r="BF24" s="94"/>
      <c r="BG24" s="94"/>
      <c r="BH24" s="101"/>
      <c r="BI24" s="101"/>
      <c r="BJ24" s="94"/>
      <c r="BK24" s="94"/>
      <c r="BL24" s="101"/>
      <c r="BM24" s="101"/>
      <c r="BN24" s="94"/>
      <c r="BO24" s="94"/>
      <c r="BP24" s="101"/>
      <c r="BQ24" s="101"/>
      <c r="BR24" s="94"/>
      <c r="BS24" s="94"/>
      <c r="BT24" s="101"/>
      <c r="BU24" s="101"/>
      <c r="BV24" s="94"/>
      <c r="BW24" s="94"/>
      <c r="BX24" s="101"/>
      <c r="BY24" s="101"/>
      <c r="BZ24" s="94"/>
      <c r="CA24" s="94"/>
      <c r="CB24" s="101"/>
      <c r="CC24" s="101"/>
      <c r="CD24" s="101"/>
      <c r="CE24" s="94"/>
      <c r="CF24" s="94"/>
      <c r="CG24" s="94"/>
      <c r="CH24" s="101"/>
      <c r="CI24" s="101"/>
      <c r="CJ24" s="101"/>
      <c r="CK24" s="94"/>
      <c r="CL24" s="94"/>
      <c r="CM24" s="94"/>
      <c r="CN24" s="101"/>
      <c r="CO24" s="101"/>
      <c r="CP24" s="101"/>
      <c r="CQ24" s="94"/>
      <c r="CR24" s="94"/>
      <c r="CS24" s="94"/>
      <c r="CT24" s="101"/>
      <c r="CU24" s="101"/>
      <c r="CV24" s="101"/>
      <c r="CW24" s="94"/>
      <c r="CX24" s="94"/>
      <c r="CY24" s="94"/>
      <c r="CZ24" s="101"/>
      <c r="DA24" s="101"/>
      <c r="DB24" s="101"/>
      <c r="DC24" s="94"/>
      <c r="DD24" s="94"/>
      <c r="DE24" s="94"/>
      <c r="DF24" s="101"/>
      <c r="DG24" s="101"/>
      <c r="DH24" s="101"/>
      <c r="DI24" s="94"/>
      <c r="DJ24" s="94"/>
      <c r="DK24" s="94"/>
      <c r="DL24" s="101"/>
      <c r="DM24" s="101"/>
      <c r="DN24" s="101"/>
      <c r="DO24" s="94"/>
      <c r="DP24" s="94"/>
      <c r="DQ24" s="94"/>
      <c r="DR24" s="101"/>
      <c r="DS24" s="101"/>
      <c r="DT24" s="101"/>
      <c r="DU24" s="94"/>
      <c r="DV24" s="94"/>
      <c r="DW24" s="94"/>
      <c r="DX24" s="101"/>
      <c r="DY24" s="101"/>
      <c r="DZ24" s="101"/>
      <c r="EA24" s="94"/>
      <c r="EB24" s="94"/>
      <c r="EC24" s="94"/>
      <c r="ED24" s="101"/>
      <c r="EE24" s="101"/>
      <c r="EF24" s="101"/>
      <c r="EG24" s="94"/>
      <c r="EH24" s="94"/>
      <c r="EI24" s="94"/>
      <c r="EJ24" s="101"/>
      <c r="EK24" s="101"/>
      <c r="EL24" s="101"/>
      <c r="EM24" s="94"/>
      <c r="EN24" s="94"/>
      <c r="EO24" s="94"/>
      <c r="EP24" s="101"/>
      <c r="EQ24" s="101"/>
      <c r="ER24" s="101"/>
      <c r="ES24" s="94"/>
      <c r="ET24" s="94"/>
      <c r="EU24" s="94"/>
      <c r="EV24" s="101"/>
      <c r="EW24" s="101"/>
      <c r="EX24" s="101"/>
      <c r="EY24" s="94"/>
      <c r="EZ24" s="94"/>
      <c r="FA24" s="94"/>
    </row>
    <row r="25" s="66" customFormat="1" ht="76" customHeight="1" spans="1:157">
      <c r="A25" s="93">
        <v>23</v>
      </c>
      <c r="B25" s="94" t="s">
        <v>2178</v>
      </c>
      <c r="C25" s="107" t="s">
        <v>2334</v>
      </c>
      <c r="D25" s="107" t="s">
        <v>85</v>
      </c>
      <c r="E25" s="107" t="s">
        <v>88</v>
      </c>
      <c r="F25" s="107" t="s">
        <v>783</v>
      </c>
      <c r="G25" s="107" t="s">
        <v>2335</v>
      </c>
      <c r="H25" s="107" t="s">
        <v>2336</v>
      </c>
      <c r="I25" s="107">
        <v>18051205299</v>
      </c>
      <c r="J25" s="107" t="s">
        <v>2337</v>
      </c>
      <c r="K25" s="107" t="s">
        <v>879</v>
      </c>
      <c r="L25" s="107" t="s">
        <v>785</v>
      </c>
      <c r="M25" s="107" t="s">
        <v>1512</v>
      </c>
      <c r="N25" s="107" t="s">
        <v>1512</v>
      </c>
      <c r="O25" s="107" t="s">
        <v>2338</v>
      </c>
      <c r="P25" s="107" t="s">
        <v>2339</v>
      </c>
      <c r="Q25" s="107" t="s">
        <v>97</v>
      </c>
      <c r="R25" s="108" t="s">
        <v>369</v>
      </c>
      <c r="S25" s="109" t="s">
        <v>52</v>
      </c>
      <c r="T25" s="120" t="s">
        <v>2340</v>
      </c>
      <c r="U25" s="101"/>
      <c r="V25" s="101"/>
      <c r="W25" s="101"/>
      <c r="X25" s="94"/>
      <c r="Y25" s="94"/>
      <c r="Z25" s="94"/>
      <c r="AA25" s="101"/>
      <c r="AB25" s="101"/>
      <c r="AC25" s="101"/>
      <c r="AD25" s="94"/>
      <c r="AE25" s="94"/>
      <c r="AF25" s="94"/>
      <c r="AG25" s="101"/>
      <c r="AH25" s="101"/>
      <c r="AI25" s="101"/>
      <c r="AJ25" s="104"/>
      <c r="AK25" s="94"/>
      <c r="AL25" s="94"/>
      <c r="AM25" s="101"/>
      <c r="AN25" s="101"/>
      <c r="AO25" s="101"/>
      <c r="AP25" s="112">
        <v>46077</v>
      </c>
      <c r="AQ25" s="121" t="s">
        <v>2341</v>
      </c>
      <c r="AR25" s="115"/>
      <c r="AS25" s="123"/>
      <c r="AT25" s="104"/>
      <c r="AU25" s="122"/>
      <c r="AV25" s="123"/>
      <c r="AW25" s="123"/>
      <c r="AX25" s="122"/>
      <c r="AY25" s="122"/>
      <c r="AZ25" s="123"/>
      <c r="BA25" s="123"/>
      <c r="BB25" s="122"/>
      <c r="BC25" s="122"/>
      <c r="BD25" s="101"/>
      <c r="BE25" s="101"/>
      <c r="BF25" s="94"/>
      <c r="BG25" s="94"/>
      <c r="BH25" s="101"/>
      <c r="BI25" s="101"/>
      <c r="BJ25" s="94"/>
      <c r="BK25" s="94"/>
      <c r="BL25" s="101"/>
      <c r="BM25" s="101"/>
      <c r="BN25" s="94"/>
      <c r="BO25" s="94"/>
      <c r="BP25" s="101"/>
      <c r="BQ25" s="101"/>
      <c r="BR25" s="94"/>
      <c r="BS25" s="94"/>
      <c r="BT25" s="101"/>
      <c r="BU25" s="101"/>
      <c r="BV25" s="94"/>
      <c r="BW25" s="94"/>
      <c r="BX25" s="101"/>
      <c r="BY25" s="101"/>
      <c r="BZ25" s="94"/>
      <c r="CA25" s="94"/>
      <c r="CB25" s="101"/>
      <c r="CC25" s="101"/>
      <c r="CD25" s="101"/>
      <c r="CE25" s="94"/>
      <c r="CF25" s="94"/>
      <c r="CG25" s="94"/>
      <c r="CH25" s="101"/>
      <c r="CI25" s="101"/>
      <c r="CJ25" s="101"/>
      <c r="CK25" s="94"/>
      <c r="CL25" s="94"/>
      <c r="CM25" s="94"/>
      <c r="CN25" s="101"/>
      <c r="CO25" s="101"/>
      <c r="CP25" s="101"/>
      <c r="CQ25" s="94"/>
      <c r="CR25" s="94"/>
      <c r="CS25" s="94"/>
      <c r="CT25" s="101"/>
      <c r="CU25" s="101"/>
      <c r="CV25" s="101"/>
      <c r="CW25" s="94"/>
      <c r="CX25" s="94"/>
      <c r="CY25" s="94"/>
      <c r="CZ25" s="101"/>
      <c r="DA25" s="101"/>
      <c r="DB25" s="101"/>
      <c r="DC25" s="94"/>
      <c r="DD25" s="94"/>
      <c r="DE25" s="94"/>
      <c r="DF25" s="101"/>
      <c r="DG25" s="101"/>
      <c r="DH25" s="101"/>
      <c r="DI25" s="94"/>
      <c r="DJ25" s="94"/>
      <c r="DK25" s="94"/>
      <c r="DL25" s="101"/>
      <c r="DM25" s="101"/>
      <c r="DN25" s="101"/>
      <c r="DO25" s="94"/>
      <c r="DP25" s="94"/>
      <c r="DQ25" s="94"/>
      <c r="DR25" s="101"/>
      <c r="DS25" s="101"/>
      <c r="DT25" s="101"/>
      <c r="DU25" s="94"/>
      <c r="DV25" s="94"/>
      <c r="DW25" s="94"/>
      <c r="DX25" s="101"/>
      <c r="DY25" s="101"/>
      <c r="DZ25" s="101"/>
      <c r="EA25" s="94"/>
      <c r="EB25" s="94"/>
      <c r="EC25" s="94"/>
      <c r="ED25" s="101"/>
      <c r="EE25" s="101"/>
      <c r="EF25" s="101"/>
      <c r="EG25" s="94"/>
      <c r="EH25" s="94"/>
      <c r="EI25" s="94"/>
      <c r="EJ25" s="101"/>
      <c r="EK25" s="101"/>
      <c r="EL25" s="101"/>
      <c r="EM25" s="94"/>
      <c r="EN25" s="94"/>
      <c r="EO25" s="94"/>
      <c r="EP25" s="101"/>
      <c r="EQ25" s="101"/>
      <c r="ER25" s="101"/>
      <c r="ES25" s="94"/>
      <c r="ET25" s="94"/>
      <c r="EU25" s="94"/>
      <c r="EV25" s="101"/>
      <c r="EW25" s="101"/>
      <c r="EX25" s="101"/>
      <c r="EY25" s="94"/>
      <c r="EZ25" s="94"/>
      <c r="FA25" s="94"/>
    </row>
    <row r="26" s="66" customFormat="1" ht="134" customHeight="1" spans="1:157">
      <c r="A26" s="93">
        <v>24</v>
      </c>
      <c r="B26" s="94" t="s">
        <v>2249</v>
      </c>
      <c r="C26" s="107" t="s">
        <v>2342</v>
      </c>
      <c r="D26" s="107" t="s">
        <v>85</v>
      </c>
      <c r="E26" s="107" t="s">
        <v>88</v>
      </c>
      <c r="F26" s="107" t="s">
        <v>885</v>
      </c>
      <c r="G26" s="107" t="s">
        <v>2343</v>
      </c>
      <c r="H26" s="107" t="s">
        <v>889</v>
      </c>
      <c r="I26" s="107">
        <v>18796960868</v>
      </c>
      <c r="J26" s="107" t="s">
        <v>1650</v>
      </c>
      <c r="K26" s="107" t="s">
        <v>310</v>
      </c>
      <c r="L26" s="107" t="s">
        <v>2344</v>
      </c>
      <c r="M26" s="107"/>
      <c r="N26" s="107"/>
      <c r="O26" s="107"/>
      <c r="P26" s="107" t="s">
        <v>2345</v>
      </c>
      <c r="Q26" s="107" t="s">
        <v>97</v>
      </c>
      <c r="R26" s="108" t="s">
        <v>369</v>
      </c>
      <c r="S26" s="109" t="s">
        <v>2164</v>
      </c>
      <c r="T26" s="120" t="s">
        <v>2346</v>
      </c>
      <c r="U26" s="101"/>
      <c r="V26" s="101"/>
      <c r="W26" s="101"/>
      <c r="X26" s="94"/>
      <c r="Y26" s="94"/>
      <c r="Z26" s="94"/>
      <c r="AA26" s="101"/>
      <c r="AB26" s="101"/>
      <c r="AC26" s="101"/>
      <c r="AD26" s="94"/>
      <c r="AE26" s="94"/>
      <c r="AF26" s="94"/>
      <c r="AG26" s="101"/>
      <c r="AH26" s="101"/>
      <c r="AI26" s="101"/>
      <c r="AJ26" s="104"/>
      <c r="AK26" s="94"/>
      <c r="AL26" s="94"/>
      <c r="AM26" s="101"/>
      <c r="AN26" s="101"/>
      <c r="AO26" s="101"/>
      <c r="AP26" s="112">
        <v>46077</v>
      </c>
      <c r="AQ26" s="121" t="s">
        <v>2347</v>
      </c>
      <c r="AR26" s="111">
        <v>46085</v>
      </c>
      <c r="AS26" s="124" t="s">
        <v>2348</v>
      </c>
      <c r="AT26" s="104"/>
      <c r="AU26" s="94"/>
      <c r="AV26" s="123"/>
      <c r="AW26" s="101"/>
      <c r="AX26" s="122"/>
      <c r="AY26" s="122"/>
      <c r="AZ26" s="125">
        <v>46113</v>
      </c>
      <c r="BA26" s="124" t="s">
        <v>2349</v>
      </c>
      <c r="BB26" s="122"/>
      <c r="BC26" s="122"/>
      <c r="BD26" s="101"/>
      <c r="BE26" s="101"/>
      <c r="BF26" s="94"/>
      <c r="BG26" s="94"/>
      <c r="BH26" s="101"/>
      <c r="BI26" s="101"/>
      <c r="BJ26" s="94"/>
      <c r="BK26" s="94"/>
      <c r="BL26" s="101"/>
      <c r="BM26" s="101"/>
      <c r="BN26" s="94"/>
      <c r="BO26" s="94"/>
      <c r="BP26" s="101"/>
      <c r="BQ26" s="101"/>
      <c r="BR26" s="94"/>
      <c r="BS26" s="94"/>
      <c r="BT26" s="101"/>
      <c r="BU26" s="101"/>
      <c r="BV26" s="94"/>
      <c r="BW26" s="94"/>
      <c r="BX26" s="101"/>
      <c r="BY26" s="101"/>
      <c r="BZ26" s="94"/>
      <c r="CA26" s="94"/>
      <c r="CB26" s="101"/>
      <c r="CC26" s="101"/>
      <c r="CD26" s="101"/>
      <c r="CE26" s="94"/>
      <c r="CF26" s="94"/>
      <c r="CG26" s="94"/>
      <c r="CH26" s="101"/>
      <c r="CI26" s="101"/>
      <c r="CJ26" s="101"/>
      <c r="CK26" s="94"/>
      <c r="CL26" s="94"/>
      <c r="CM26" s="94"/>
      <c r="CN26" s="101"/>
      <c r="CO26" s="101"/>
      <c r="CP26" s="101"/>
      <c r="CQ26" s="94"/>
      <c r="CR26" s="94"/>
      <c r="CS26" s="94"/>
      <c r="CT26" s="101"/>
      <c r="CU26" s="101"/>
      <c r="CV26" s="101"/>
      <c r="CW26" s="94"/>
      <c r="CX26" s="94"/>
      <c r="CY26" s="94"/>
      <c r="CZ26" s="101"/>
      <c r="DA26" s="101"/>
      <c r="DB26" s="101"/>
      <c r="DC26" s="94"/>
      <c r="DD26" s="94"/>
      <c r="DE26" s="94"/>
      <c r="DF26" s="101"/>
      <c r="DG26" s="101"/>
      <c r="DH26" s="101"/>
      <c r="DI26" s="94"/>
      <c r="DJ26" s="94"/>
      <c r="DK26" s="94"/>
      <c r="DL26" s="101"/>
      <c r="DM26" s="101"/>
      <c r="DN26" s="101"/>
      <c r="DO26" s="94"/>
      <c r="DP26" s="94"/>
      <c r="DQ26" s="94"/>
      <c r="DR26" s="101"/>
      <c r="DS26" s="101"/>
      <c r="DT26" s="101"/>
      <c r="DU26" s="94"/>
      <c r="DV26" s="94"/>
      <c r="DW26" s="94"/>
      <c r="DX26" s="101"/>
      <c r="DY26" s="101"/>
      <c r="DZ26" s="101"/>
      <c r="EA26" s="94"/>
      <c r="EB26" s="94"/>
      <c r="EC26" s="94"/>
      <c r="ED26" s="101"/>
      <c r="EE26" s="101"/>
      <c r="EF26" s="101"/>
      <c r="EG26" s="94"/>
      <c r="EH26" s="94"/>
      <c r="EI26" s="94"/>
      <c r="EJ26" s="101"/>
      <c r="EK26" s="101"/>
      <c r="EL26" s="101"/>
      <c r="EM26" s="94"/>
      <c r="EN26" s="94"/>
      <c r="EO26" s="94"/>
      <c r="EP26" s="101"/>
      <c r="EQ26" s="101"/>
      <c r="ER26" s="101"/>
      <c r="ES26" s="94"/>
      <c r="ET26" s="94"/>
      <c r="EU26" s="94"/>
      <c r="EV26" s="101"/>
      <c r="EW26" s="101"/>
      <c r="EX26" s="101"/>
      <c r="EY26" s="94"/>
      <c r="EZ26" s="94"/>
      <c r="FA26" s="94"/>
    </row>
    <row r="27" s="66" customFormat="1" ht="76" customHeight="1" spans="1:157">
      <c r="A27" s="93"/>
      <c r="B27" s="94"/>
      <c r="C27" s="107"/>
      <c r="D27" s="107"/>
      <c r="E27" s="107"/>
      <c r="F27" s="107"/>
      <c r="G27" s="107"/>
      <c r="H27" s="107"/>
      <c r="I27" s="107"/>
      <c r="J27" s="107"/>
      <c r="K27" s="107"/>
      <c r="L27" s="107"/>
      <c r="M27" s="107"/>
      <c r="N27" s="107"/>
      <c r="O27" s="107"/>
      <c r="P27" s="107"/>
      <c r="Q27" s="107"/>
      <c r="R27" s="108"/>
      <c r="S27" s="109"/>
      <c r="T27" s="120"/>
      <c r="U27" s="101"/>
      <c r="V27" s="101"/>
      <c r="W27" s="101"/>
      <c r="X27" s="94"/>
      <c r="Y27" s="94"/>
      <c r="Z27" s="94"/>
      <c r="AA27" s="101"/>
      <c r="AB27" s="101"/>
      <c r="AC27" s="101"/>
      <c r="AD27" s="94"/>
      <c r="AE27" s="94"/>
      <c r="AF27" s="94"/>
      <c r="AG27" s="101"/>
      <c r="AH27" s="101"/>
      <c r="AI27" s="101"/>
      <c r="AJ27" s="104"/>
      <c r="AK27" s="94"/>
      <c r="AL27" s="94"/>
      <c r="AM27" s="101"/>
      <c r="AN27" s="101"/>
      <c r="AO27" s="101"/>
      <c r="AP27" s="112">
        <v>46079</v>
      </c>
      <c r="AQ27" s="121" t="s">
        <v>2350</v>
      </c>
      <c r="AR27" s="105"/>
      <c r="AS27" s="101"/>
      <c r="AT27" s="104"/>
      <c r="AU27" s="94"/>
      <c r="AV27" s="101"/>
      <c r="AW27" s="101"/>
      <c r="AX27" s="94"/>
      <c r="AY27" s="94"/>
      <c r="AZ27" s="101"/>
      <c r="BA27" s="123"/>
      <c r="BB27" s="122"/>
      <c r="BC27" s="122"/>
      <c r="BD27" s="101"/>
      <c r="BE27" s="101"/>
      <c r="BF27" s="94"/>
      <c r="BG27" s="94"/>
      <c r="BH27" s="101"/>
      <c r="BI27" s="101"/>
      <c r="BJ27" s="94"/>
      <c r="BK27" s="94"/>
      <c r="BL27" s="101"/>
      <c r="BM27" s="101"/>
      <c r="BN27" s="94"/>
      <c r="BO27" s="94"/>
      <c r="BP27" s="101"/>
      <c r="BQ27" s="101"/>
      <c r="BR27" s="94"/>
      <c r="BS27" s="94"/>
      <c r="BT27" s="101"/>
      <c r="BU27" s="101"/>
      <c r="BV27" s="94"/>
      <c r="BW27" s="94"/>
      <c r="BX27" s="101"/>
      <c r="BY27" s="101"/>
      <c r="BZ27" s="94"/>
      <c r="CA27" s="94"/>
      <c r="CB27" s="101"/>
      <c r="CC27" s="101"/>
      <c r="CD27" s="101"/>
      <c r="CE27" s="94"/>
      <c r="CF27" s="94"/>
      <c r="CG27" s="94"/>
      <c r="CH27" s="101"/>
      <c r="CI27" s="101"/>
      <c r="CJ27" s="101"/>
      <c r="CK27" s="94"/>
      <c r="CL27" s="94"/>
      <c r="CM27" s="94"/>
      <c r="CN27" s="101"/>
      <c r="CO27" s="101"/>
      <c r="CP27" s="101"/>
      <c r="CQ27" s="94"/>
      <c r="CR27" s="94"/>
      <c r="CS27" s="94"/>
      <c r="CT27" s="101"/>
      <c r="CU27" s="101"/>
      <c r="CV27" s="101"/>
      <c r="CW27" s="94"/>
      <c r="CX27" s="94"/>
      <c r="CY27" s="94"/>
      <c r="CZ27" s="101"/>
      <c r="DA27" s="101"/>
      <c r="DB27" s="101"/>
      <c r="DC27" s="94"/>
      <c r="DD27" s="94"/>
      <c r="DE27" s="94"/>
      <c r="DF27" s="101"/>
      <c r="DG27" s="101"/>
      <c r="DH27" s="101"/>
      <c r="DI27" s="94"/>
      <c r="DJ27" s="94"/>
      <c r="DK27" s="94"/>
      <c r="DL27" s="101"/>
      <c r="DM27" s="101"/>
      <c r="DN27" s="101"/>
      <c r="DO27" s="94"/>
      <c r="DP27" s="94"/>
      <c r="DQ27" s="94"/>
      <c r="DR27" s="101"/>
      <c r="DS27" s="101"/>
      <c r="DT27" s="101"/>
      <c r="DU27" s="94"/>
      <c r="DV27" s="94"/>
      <c r="DW27" s="94"/>
      <c r="DX27" s="101"/>
      <c r="DY27" s="101"/>
      <c r="DZ27" s="101"/>
      <c r="EA27" s="94"/>
      <c r="EB27" s="94"/>
      <c r="EC27" s="94"/>
      <c r="ED27" s="101"/>
      <c r="EE27" s="101"/>
      <c r="EF27" s="101"/>
      <c r="EG27" s="94"/>
      <c r="EH27" s="94"/>
      <c r="EI27" s="94"/>
      <c r="EJ27" s="101"/>
      <c r="EK27" s="101"/>
      <c r="EL27" s="101"/>
      <c r="EM27" s="94"/>
      <c r="EN27" s="94"/>
      <c r="EO27" s="94"/>
      <c r="EP27" s="101"/>
      <c r="EQ27" s="101"/>
      <c r="ER27" s="101"/>
      <c r="ES27" s="94"/>
      <c r="ET27" s="94"/>
      <c r="EU27" s="94"/>
      <c r="EV27" s="101"/>
      <c r="EW27" s="101"/>
      <c r="EX27" s="101"/>
      <c r="EY27" s="94"/>
      <c r="EZ27" s="94"/>
      <c r="FA27" s="94"/>
    </row>
    <row r="28" s="66" customFormat="1" ht="145.75" customHeight="1" spans="1:157">
      <c r="A28" s="93">
        <v>25</v>
      </c>
      <c r="B28" s="94" t="s">
        <v>2162</v>
      </c>
      <c r="C28" s="107" t="s">
        <v>2351</v>
      </c>
      <c r="D28" s="107" t="s">
        <v>85</v>
      </c>
      <c r="E28" s="107" t="s">
        <v>88</v>
      </c>
      <c r="F28" s="93" t="s">
        <v>2352</v>
      </c>
      <c r="G28" s="107" t="s">
        <v>2353</v>
      </c>
      <c r="H28" s="107" t="s">
        <v>1638</v>
      </c>
      <c r="I28" s="107">
        <v>13401333779</v>
      </c>
      <c r="J28" s="107" t="s">
        <v>2354</v>
      </c>
      <c r="K28" s="107" t="s">
        <v>310</v>
      </c>
      <c r="L28" s="107" t="s">
        <v>2355</v>
      </c>
      <c r="M28" s="107" t="s">
        <v>2261</v>
      </c>
      <c r="N28" s="107" t="s">
        <v>2356</v>
      </c>
      <c r="O28" s="107" t="s">
        <v>2163</v>
      </c>
      <c r="P28" s="93" t="s">
        <v>2357</v>
      </c>
      <c r="Q28" s="107" t="s">
        <v>97</v>
      </c>
      <c r="R28" s="108" t="s">
        <v>369</v>
      </c>
      <c r="S28" s="109" t="s">
        <v>2164</v>
      </c>
      <c r="T28" s="120" t="s">
        <v>2358</v>
      </c>
      <c r="U28" s="101"/>
      <c r="V28" s="101"/>
      <c r="W28" s="101"/>
      <c r="X28" s="94"/>
      <c r="Y28" s="94"/>
      <c r="Z28" s="94"/>
      <c r="AA28" s="101"/>
      <c r="AB28" s="101"/>
      <c r="AC28" s="101"/>
      <c r="AD28" s="94"/>
      <c r="AE28" s="94"/>
      <c r="AF28" s="94"/>
      <c r="AG28" s="101"/>
      <c r="AH28" s="101"/>
      <c r="AI28" s="101"/>
      <c r="AJ28" s="104"/>
      <c r="AK28" s="94"/>
      <c r="AL28" s="94"/>
      <c r="AM28" s="101"/>
      <c r="AN28" s="101"/>
      <c r="AO28" s="101"/>
      <c r="AP28" s="112">
        <v>46077</v>
      </c>
      <c r="AQ28" s="121" t="s">
        <v>2359</v>
      </c>
      <c r="AR28" s="111">
        <v>46084</v>
      </c>
      <c r="AS28" s="124" t="s">
        <v>2360</v>
      </c>
      <c r="AT28" s="104"/>
      <c r="AU28" s="122"/>
      <c r="AV28" s="125">
        <v>46096</v>
      </c>
      <c r="AW28" s="124" t="s">
        <v>2361</v>
      </c>
      <c r="AX28" s="122"/>
      <c r="AY28" s="122"/>
      <c r="AZ28" s="123"/>
      <c r="BA28" s="123"/>
      <c r="BB28" s="122"/>
      <c r="BC28" s="122"/>
      <c r="BD28" s="101"/>
      <c r="BE28" s="101"/>
      <c r="BF28" s="94"/>
      <c r="BG28" s="94"/>
      <c r="BH28" s="101"/>
      <c r="BI28" s="101"/>
      <c r="BJ28" s="94"/>
      <c r="BK28" s="94"/>
      <c r="BL28" s="101"/>
      <c r="BM28" s="101"/>
      <c r="BN28" s="94"/>
      <c r="BO28" s="94"/>
      <c r="BP28" s="101"/>
      <c r="BQ28" s="101"/>
      <c r="BR28" s="94"/>
      <c r="BS28" s="94"/>
      <c r="BT28" s="101"/>
      <c r="BU28" s="101"/>
      <c r="BV28" s="94"/>
      <c r="BW28" s="94"/>
      <c r="BX28" s="101"/>
      <c r="BY28" s="101"/>
      <c r="BZ28" s="94"/>
      <c r="CA28" s="94"/>
      <c r="CB28" s="101"/>
      <c r="CC28" s="101"/>
      <c r="CD28" s="101"/>
      <c r="CE28" s="94"/>
      <c r="CF28" s="94"/>
      <c r="CG28" s="94"/>
      <c r="CH28" s="101"/>
      <c r="CI28" s="101"/>
      <c r="CJ28" s="101"/>
      <c r="CK28" s="94"/>
      <c r="CL28" s="94"/>
      <c r="CM28" s="94"/>
      <c r="CN28" s="101"/>
      <c r="CO28" s="101"/>
      <c r="CP28" s="101"/>
      <c r="CQ28" s="94"/>
      <c r="CR28" s="94"/>
      <c r="CS28" s="94"/>
      <c r="CT28" s="101"/>
      <c r="CU28" s="101"/>
      <c r="CV28" s="101"/>
      <c r="CW28" s="94"/>
      <c r="CX28" s="94"/>
      <c r="CY28" s="94"/>
      <c r="CZ28" s="101"/>
      <c r="DA28" s="101"/>
      <c r="DB28" s="101"/>
      <c r="DC28" s="94"/>
      <c r="DD28" s="94"/>
      <c r="DE28" s="94"/>
      <c r="DF28" s="101"/>
      <c r="DG28" s="101"/>
      <c r="DH28" s="101"/>
      <c r="DI28" s="94"/>
      <c r="DJ28" s="94"/>
      <c r="DK28" s="94"/>
      <c r="DL28" s="101"/>
      <c r="DM28" s="101"/>
      <c r="DN28" s="101"/>
      <c r="DO28" s="94"/>
      <c r="DP28" s="94"/>
      <c r="DQ28" s="94"/>
      <c r="DR28" s="101"/>
      <c r="DS28" s="101"/>
      <c r="DT28" s="101"/>
      <c r="DU28" s="94"/>
      <c r="DV28" s="94"/>
      <c r="DW28" s="94"/>
      <c r="DX28" s="101"/>
      <c r="DY28" s="101"/>
      <c r="DZ28" s="101"/>
      <c r="EA28" s="94"/>
      <c r="EB28" s="94"/>
      <c r="EC28" s="94"/>
      <c r="ED28" s="101"/>
      <c r="EE28" s="101"/>
      <c r="EF28" s="101"/>
      <c r="EG28" s="94"/>
      <c r="EH28" s="94"/>
      <c r="EI28" s="94"/>
      <c r="EJ28" s="101"/>
      <c r="EK28" s="101"/>
      <c r="EL28" s="101"/>
      <c r="EM28" s="94"/>
      <c r="EN28" s="94"/>
      <c r="EO28" s="94"/>
      <c r="EP28" s="101"/>
      <c r="EQ28" s="101"/>
      <c r="ER28" s="101"/>
      <c r="ES28" s="94"/>
      <c r="ET28" s="94"/>
      <c r="EU28" s="94"/>
      <c r="EV28" s="101"/>
      <c r="EW28" s="101"/>
      <c r="EX28" s="101"/>
      <c r="EY28" s="94"/>
      <c r="EZ28" s="94"/>
      <c r="FA28" s="94"/>
    </row>
    <row r="29" s="66" customFormat="1" ht="76" customHeight="1" spans="1:157">
      <c r="A29" s="93">
        <v>26</v>
      </c>
      <c r="B29" s="94" t="s">
        <v>2178</v>
      </c>
      <c r="C29" s="107" t="s">
        <v>2179</v>
      </c>
      <c r="D29" s="107" t="s">
        <v>85</v>
      </c>
      <c r="E29" s="107" t="s">
        <v>88</v>
      </c>
      <c r="F29" s="107" t="s">
        <v>387</v>
      </c>
      <c r="G29" s="93" t="s">
        <v>2362</v>
      </c>
      <c r="H29" s="107" t="s">
        <v>2363</v>
      </c>
      <c r="I29" s="107">
        <v>13585309555</v>
      </c>
      <c r="J29" s="107" t="s">
        <v>2364</v>
      </c>
      <c r="K29" s="107" t="s">
        <v>310</v>
      </c>
      <c r="L29" s="107" t="s">
        <v>2365</v>
      </c>
      <c r="M29" s="107" t="s">
        <v>1506</v>
      </c>
      <c r="N29" s="107" t="s">
        <v>1506</v>
      </c>
      <c r="O29" s="107" t="s">
        <v>369</v>
      </c>
      <c r="P29" s="107" t="s">
        <v>2366</v>
      </c>
      <c r="Q29" s="107" t="s">
        <v>85</v>
      </c>
      <c r="R29" s="108" t="s">
        <v>1184</v>
      </c>
      <c r="S29" s="109" t="s">
        <v>2240</v>
      </c>
      <c r="T29" s="120" t="s">
        <v>2367</v>
      </c>
      <c r="U29" s="101"/>
      <c r="V29" s="101"/>
      <c r="W29" s="101"/>
      <c r="X29" s="94"/>
      <c r="Y29" s="94"/>
      <c r="Z29" s="94"/>
      <c r="AA29" s="101"/>
      <c r="AB29" s="101"/>
      <c r="AC29" s="101"/>
      <c r="AD29" s="94"/>
      <c r="AE29" s="94"/>
      <c r="AF29" s="94"/>
      <c r="AG29" s="101"/>
      <c r="AH29" s="101"/>
      <c r="AI29" s="101"/>
      <c r="AJ29" s="104"/>
      <c r="AK29" s="94"/>
      <c r="AL29" s="94"/>
      <c r="AM29" s="101"/>
      <c r="AN29" s="101"/>
      <c r="AO29" s="101"/>
      <c r="AP29" s="112">
        <v>46079</v>
      </c>
      <c r="AQ29" s="121" t="s">
        <v>2368</v>
      </c>
      <c r="AR29" s="115"/>
      <c r="AS29" s="123"/>
      <c r="AT29" s="104"/>
      <c r="AU29" s="122"/>
      <c r="AV29" s="123"/>
      <c r="AW29" s="123"/>
      <c r="AX29" s="122"/>
      <c r="AY29" s="122"/>
      <c r="AZ29" s="123"/>
      <c r="BA29" s="123"/>
      <c r="BB29" s="122"/>
      <c r="BC29" s="122"/>
      <c r="BD29" s="101"/>
      <c r="BE29" s="101"/>
      <c r="BF29" s="94"/>
      <c r="BG29" s="94"/>
      <c r="BH29" s="101"/>
      <c r="BI29" s="101"/>
      <c r="BJ29" s="94"/>
      <c r="BK29" s="94"/>
      <c r="BL29" s="101"/>
      <c r="BM29" s="101"/>
      <c r="BN29" s="94"/>
      <c r="BO29" s="94"/>
      <c r="BP29" s="101"/>
      <c r="BQ29" s="101"/>
      <c r="BR29" s="94"/>
      <c r="BS29" s="94"/>
      <c r="BT29" s="101"/>
      <c r="BU29" s="101"/>
      <c r="BV29" s="94"/>
      <c r="BW29" s="94"/>
      <c r="BX29" s="101"/>
      <c r="BY29" s="101"/>
      <c r="BZ29" s="94"/>
      <c r="CA29" s="94"/>
      <c r="CB29" s="101"/>
      <c r="CC29" s="101"/>
      <c r="CD29" s="101"/>
      <c r="CE29" s="94"/>
      <c r="CF29" s="94"/>
      <c r="CG29" s="94"/>
      <c r="CH29" s="101"/>
      <c r="CI29" s="101"/>
      <c r="CJ29" s="101"/>
      <c r="CK29" s="94"/>
      <c r="CL29" s="94"/>
      <c r="CM29" s="94"/>
      <c r="CN29" s="101"/>
      <c r="CO29" s="101"/>
      <c r="CP29" s="101"/>
      <c r="CQ29" s="94"/>
      <c r="CR29" s="94"/>
      <c r="CS29" s="94"/>
      <c r="CT29" s="101"/>
      <c r="CU29" s="101"/>
      <c r="CV29" s="101"/>
      <c r="CW29" s="94"/>
      <c r="CX29" s="94"/>
      <c r="CY29" s="94"/>
      <c r="CZ29" s="101"/>
      <c r="DA29" s="101"/>
      <c r="DB29" s="101"/>
      <c r="DC29" s="94"/>
      <c r="DD29" s="94"/>
      <c r="DE29" s="94"/>
      <c r="DF29" s="101"/>
      <c r="DG29" s="101"/>
      <c r="DH29" s="101"/>
      <c r="DI29" s="94"/>
      <c r="DJ29" s="94"/>
      <c r="DK29" s="94"/>
      <c r="DL29" s="101"/>
      <c r="DM29" s="101"/>
      <c r="DN29" s="101"/>
      <c r="DO29" s="94"/>
      <c r="DP29" s="94"/>
      <c r="DQ29" s="94"/>
      <c r="DR29" s="101"/>
      <c r="DS29" s="101"/>
      <c r="DT29" s="101"/>
      <c r="DU29" s="94"/>
      <c r="DV29" s="94"/>
      <c r="DW29" s="94"/>
      <c r="DX29" s="101"/>
      <c r="DY29" s="101"/>
      <c r="DZ29" s="101"/>
      <c r="EA29" s="94"/>
      <c r="EB29" s="94"/>
      <c r="EC29" s="94"/>
      <c r="ED29" s="101"/>
      <c r="EE29" s="101"/>
      <c r="EF29" s="101"/>
      <c r="EG29" s="94"/>
      <c r="EH29" s="94"/>
      <c r="EI29" s="94"/>
      <c r="EJ29" s="101"/>
      <c r="EK29" s="101"/>
      <c r="EL29" s="101"/>
      <c r="EM29" s="94"/>
      <c r="EN29" s="94"/>
      <c r="EO29" s="94"/>
      <c r="EP29" s="101"/>
      <c r="EQ29" s="101"/>
      <c r="ER29" s="101"/>
      <c r="ES29" s="94"/>
      <c r="ET29" s="94"/>
      <c r="EU29" s="94"/>
      <c r="EV29" s="101"/>
      <c r="EW29" s="101"/>
      <c r="EX29" s="101"/>
      <c r="EY29" s="94"/>
      <c r="EZ29" s="94"/>
      <c r="FA29" s="94"/>
    </row>
    <row r="30" s="66" customFormat="1" ht="76" customHeight="1" spans="1:157">
      <c r="A30" s="93">
        <v>27</v>
      </c>
      <c r="B30" s="94" t="s">
        <v>2369</v>
      </c>
      <c r="C30" s="107" t="s">
        <v>2370</v>
      </c>
      <c r="D30" s="107" t="s">
        <v>85</v>
      </c>
      <c r="E30" s="107" t="s">
        <v>88</v>
      </c>
      <c r="F30" s="107" t="s">
        <v>443</v>
      </c>
      <c r="G30" s="107" t="s">
        <v>2371</v>
      </c>
      <c r="H30" s="126" t="s">
        <v>446</v>
      </c>
      <c r="I30" s="126">
        <v>18661163476</v>
      </c>
      <c r="J30" s="126" t="s">
        <v>2372</v>
      </c>
      <c r="K30" s="107" t="s">
        <v>879</v>
      </c>
      <c r="L30" s="107" t="s">
        <v>2373</v>
      </c>
      <c r="M30" s="107" t="s">
        <v>445</v>
      </c>
      <c r="N30" s="107" t="s">
        <v>445</v>
      </c>
      <c r="O30" s="107" t="s">
        <v>369</v>
      </c>
      <c r="P30" s="107" t="s">
        <v>448</v>
      </c>
      <c r="Q30" s="107" t="s">
        <v>97</v>
      </c>
      <c r="R30" s="108" t="s">
        <v>97</v>
      </c>
      <c r="S30" s="109" t="s">
        <v>2213</v>
      </c>
      <c r="T30" s="120" t="s">
        <v>2374</v>
      </c>
      <c r="U30" s="101"/>
      <c r="V30" s="101"/>
      <c r="W30" s="101"/>
      <c r="X30" s="94"/>
      <c r="Y30" s="94"/>
      <c r="Z30" s="94"/>
      <c r="AA30" s="101"/>
      <c r="AB30" s="101"/>
      <c r="AC30" s="101"/>
      <c r="AD30" s="94"/>
      <c r="AE30" s="94"/>
      <c r="AF30" s="94"/>
      <c r="AG30" s="101"/>
      <c r="AH30" s="101"/>
      <c r="AI30" s="101"/>
      <c r="AJ30" s="104"/>
      <c r="AK30" s="94"/>
      <c r="AL30" s="94"/>
      <c r="AM30" s="101"/>
      <c r="AN30" s="101"/>
      <c r="AO30" s="101"/>
      <c r="AP30" s="104"/>
      <c r="AQ30" s="94"/>
      <c r="AR30" s="111">
        <v>46084</v>
      </c>
      <c r="AS30" s="124" t="s">
        <v>2375</v>
      </c>
      <c r="AT30" s="104"/>
      <c r="AU30" s="122"/>
      <c r="AV30" s="123"/>
      <c r="AW30" s="123"/>
      <c r="AX30" s="94"/>
      <c r="AY30" s="122"/>
      <c r="AZ30" s="101"/>
      <c r="BA30" s="123"/>
      <c r="BB30" s="122"/>
      <c r="BC30" s="122"/>
      <c r="BD30" s="101"/>
      <c r="BE30" s="101"/>
      <c r="BF30" s="94"/>
      <c r="BG30" s="94"/>
      <c r="BH30" s="101"/>
      <c r="BI30" s="101"/>
      <c r="BJ30" s="94"/>
      <c r="BK30" s="94"/>
      <c r="BL30" s="101"/>
      <c r="BM30" s="101"/>
      <c r="BN30" s="94"/>
      <c r="BO30" s="94"/>
      <c r="BP30" s="101"/>
      <c r="BQ30" s="101"/>
      <c r="BR30" s="94"/>
      <c r="BS30" s="94"/>
      <c r="BT30" s="101"/>
      <c r="BU30" s="101"/>
      <c r="BV30" s="94"/>
      <c r="BW30" s="94"/>
      <c r="BX30" s="101"/>
      <c r="BY30" s="101"/>
      <c r="BZ30" s="94"/>
      <c r="CA30" s="94"/>
      <c r="CB30" s="101"/>
      <c r="CC30" s="101"/>
      <c r="CD30" s="101"/>
      <c r="CE30" s="94"/>
      <c r="CF30" s="94"/>
      <c r="CG30" s="94"/>
      <c r="CH30" s="101"/>
      <c r="CI30" s="101"/>
      <c r="CJ30" s="101"/>
      <c r="CK30" s="94"/>
      <c r="CL30" s="94"/>
      <c r="CM30" s="94"/>
      <c r="CN30" s="101"/>
      <c r="CO30" s="101"/>
      <c r="CP30" s="101"/>
      <c r="CQ30" s="94"/>
      <c r="CR30" s="94"/>
      <c r="CS30" s="94"/>
      <c r="CT30" s="101"/>
      <c r="CU30" s="101"/>
      <c r="CV30" s="101"/>
      <c r="CW30" s="94"/>
      <c r="CX30" s="94"/>
      <c r="CY30" s="94"/>
      <c r="CZ30" s="101"/>
      <c r="DA30" s="101"/>
      <c r="DB30" s="101"/>
      <c r="DC30" s="94"/>
      <c r="DD30" s="94"/>
      <c r="DE30" s="94"/>
      <c r="DF30" s="101"/>
      <c r="DG30" s="101"/>
      <c r="DH30" s="101"/>
      <c r="DI30" s="94"/>
      <c r="DJ30" s="94"/>
      <c r="DK30" s="94"/>
      <c r="DL30" s="101"/>
      <c r="DM30" s="101"/>
      <c r="DN30" s="101"/>
      <c r="DO30" s="94"/>
      <c r="DP30" s="94"/>
      <c r="DQ30" s="94"/>
      <c r="DR30" s="101"/>
      <c r="DS30" s="101"/>
      <c r="DT30" s="101"/>
      <c r="DU30" s="94"/>
      <c r="DV30" s="94"/>
      <c r="DW30" s="94"/>
      <c r="DX30" s="101"/>
      <c r="DY30" s="101"/>
      <c r="DZ30" s="101"/>
      <c r="EA30" s="94"/>
      <c r="EB30" s="94"/>
      <c r="EC30" s="94"/>
      <c r="ED30" s="101"/>
      <c r="EE30" s="101"/>
      <c r="EF30" s="101"/>
      <c r="EG30" s="94"/>
      <c r="EH30" s="94"/>
      <c r="EI30" s="94"/>
      <c r="EJ30" s="101"/>
      <c r="EK30" s="101"/>
      <c r="EL30" s="101"/>
      <c r="EM30" s="94"/>
      <c r="EN30" s="94"/>
      <c r="EO30" s="94"/>
      <c r="EP30" s="101"/>
      <c r="EQ30" s="101"/>
      <c r="ER30" s="101"/>
      <c r="ES30" s="94"/>
      <c r="ET30" s="94"/>
      <c r="EU30" s="94"/>
      <c r="EV30" s="101"/>
      <c r="EW30" s="101"/>
      <c r="EX30" s="101"/>
      <c r="EY30" s="94"/>
      <c r="EZ30" s="94"/>
      <c r="FA30" s="94"/>
    </row>
    <row r="31" s="66" customFormat="1" ht="76" customHeight="1" spans="1:157">
      <c r="A31" s="93"/>
      <c r="B31" s="94"/>
      <c r="C31" s="107"/>
      <c r="D31" s="107"/>
      <c r="E31" s="107"/>
      <c r="F31" s="107"/>
      <c r="G31" s="107"/>
      <c r="H31" s="127"/>
      <c r="I31" s="127"/>
      <c r="J31" s="127"/>
      <c r="K31" s="107"/>
      <c r="L31" s="107"/>
      <c r="M31" s="107"/>
      <c r="N31" s="107"/>
      <c r="O31" s="107"/>
      <c r="P31" s="107"/>
      <c r="Q31" s="107"/>
      <c r="R31" s="108"/>
      <c r="S31" s="109"/>
      <c r="T31" s="120"/>
      <c r="U31" s="101"/>
      <c r="V31" s="101"/>
      <c r="W31" s="101"/>
      <c r="X31" s="94"/>
      <c r="Y31" s="94"/>
      <c r="Z31" s="94"/>
      <c r="AA31" s="101"/>
      <c r="AB31" s="101"/>
      <c r="AC31" s="101"/>
      <c r="AD31" s="94"/>
      <c r="AE31" s="94"/>
      <c r="AF31" s="94"/>
      <c r="AG31" s="101"/>
      <c r="AH31" s="101"/>
      <c r="AI31" s="101"/>
      <c r="AJ31" s="104"/>
      <c r="AK31" s="94"/>
      <c r="AL31" s="94"/>
      <c r="AM31" s="101"/>
      <c r="AN31" s="101"/>
      <c r="AO31" s="101"/>
      <c r="AP31" s="104"/>
      <c r="AQ31" s="94"/>
      <c r="AR31" s="111">
        <v>46086</v>
      </c>
      <c r="AS31" s="124" t="s">
        <v>2376</v>
      </c>
      <c r="AT31" s="104"/>
      <c r="AU31" s="122"/>
      <c r="AV31" s="123"/>
      <c r="AW31" s="123"/>
      <c r="AX31" s="128"/>
      <c r="AY31" s="122"/>
      <c r="AZ31" s="124"/>
      <c r="BA31" s="123"/>
      <c r="BB31" s="122"/>
      <c r="BC31" s="122"/>
      <c r="BD31" s="101"/>
      <c r="BE31" s="101"/>
      <c r="BF31" s="94"/>
      <c r="BG31" s="94"/>
      <c r="BH31" s="101"/>
      <c r="BI31" s="101"/>
      <c r="BJ31" s="94"/>
      <c r="BK31" s="94"/>
      <c r="BL31" s="101"/>
      <c r="BM31" s="101"/>
      <c r="BN31" s="94"/>
      <c r="BO31" s="94"/>
      <c r="BP31" s="101"/>
      <c r="BQ31" s="101"/>
      <c r="BR31" s="94"/>
      <c r="BS31" s="94"/>
      <c r="BT31" s="101"/>
      <c r="BU31" s="101"/>
      <c r="BV31" s="94"/>
      <c r="BW31" s="94"/>
      <c r="BX31" s="101"/>
      <c r="BY31" s="101"/>
      <c r="BZ31" s="94"/>
      <c r="CA31" s="94"/>
      <c r="CB31" s="101"/>
      <c r="CC31" s="101"/>
      <c r="CD31" s="101"/>
      <c r="CE31" s="94"/>
      <c r="CF31" s="94"/>
      <c r="CG31" s="94"/>
      <c r="CH31" s="101"/>
      <c r="CI31" s="101"/>
      <c r="CJ31" s="101"/>
      <c r="CK31" s="94"/>
      <c r="CL31" s="94"/>
      <c r="CM31" s="94"/>
      <c r="CN31" s="101"/>
      <c r="CO31" s="101"/>
      <c r="CP31" s="101"/>
      <c r="CQ31" s="94"/>
      <c r="CR31" s="94"/>
      <c r="CS31" s="94"/>
      <c r="CT31" s="101"/>
      <c r="CU31" s="101"/>
      <c r="CV31" s="101"/>
      <c r="CW31" s="94"/>
      <c r="CX31" s="94"/>
      <c r="CY31" s="94"/>
      <c r="CZ31" s="101"/>
      <c r="DA31" s="101"/>
      <c r="DB31" s="101"/>
      <c r="DC31" s="94"/>
      <c r="DD31" s="94"/>
      <c r="DE31" s="94"/>
      <c r="DF31" s="101"/>
      <c r="DG31" s="101"/>
      <c r="DH31" s="101"/>
      <c r="DI31" s="94"/>
      <c r="DJ31" s="94"/>
      <c r="DK31" s="94"/>
      <c r="DL31" s="101"/>
      <c r="DM31" s="101"/>
      <c r="DN31" s="101"/>
      <c r="DO31" s="94"/>
      <c r="DP31" s="94"/>
      <c r="DQ31" s="94"/>
      <c r="DR31" s="101"/>
      <c r="DS31" s="101"/>
      <c r="DT31" s="101"/>
      <c r="DU31" s="94"/>
      <c r="DV31" s="94"/>
      <c r="DW31" s="94"/>
      <c r="DX31" s="101"/>
      <c r="DY31" s="101"/>
      <c r="DZ31" s="101"/>
      <c r="EA31" s="94"/>
      <c r="EB31" s="94"/>
      <c r="EC31" s="94"/>
      <c r="ED31" s="101"/>
      <c r="EE31" s="101"/>
      <c r="EF31" s="101"/>
      <c r="EG31" s="94"/>
      <c r="EH31" s="94"/>
      <c r="EI31" s="94"/>
      <c r="EJ31" s="101"/>
      <c r="EK31" s="101"/>
      <c r="EL31" s="101"/>
      <c r="EM31" s="94"/>
      <c r="EN31" s="94"/>
      <c r="EO31" s="94"/>
      <c r="EP31" s="101"/>
      <c r="EQ31" s="101"/>
      <c r="ER31" s="101"/>
      <c r="ES31" s="94"/>
      <c r="ET31" s="94"/>
      <c r="EU31" s="94"/>
      <c r="EV31" s="101"/>
      <c r="EW31" s="101"/>
      <c r="EX31" s="101"/>
      <c r="EY31" s="94"/>
      <c r="EZ31" s="94"/>
      <c r="FA31" s="94"/>
    </row>
    <row r="32" s="66" customFormat="1" ht="147.75" customHeight="1" spans="1:157">
      <c r="A32" s="93">
        <v>28</v>
      </c>
      <c r="B32" s="94" t="s">
        <v>2369</v>
      </c>
      <c r="C32" s="107" t="s">
        <v>2377</v>
      </c>
      <c r="D32" s="107" t="s">
        <v>85</v>
      </c>
      <c r="E32" s="107" t="s">
        <v>88</v>
      </c>
      <c r="F32" s="93" t="s">
        <v>1663</v>
      </c>
      <c r="G32" s="107" t="s">
        <v>1664</v>
      </c>
      <c r="H32" s="107" t="s">
        <v>2378</v>
      </c>
      <c r="I32" s="107">
        <v>13775086111</v>
      </c>
      <c r="J32" s="107" t="s">
        <v>1665</v>
      </c>
      <c r="K32" s="107" t="s">
        <v>310</v>
      </c>
      <c r="L32" s="107" t="s">
        <v>2379</v>
      </c>
      <c r="M32" s="107" t="s">
        <v>2023</v>
      </c>
      <c r="N32" s="107">
        <v>0</v>
      </c>
      <c r="O32" s="107" t="s">
        <v>2163</v>
      </c>
      <c r="P32" s="107" t="s">
        <v>369</v>
      </c>
      <c r="Q32" s="107" t="s">
        <v>97</v>
      </c>
      <c r="R32" s="108" t="s">
        <v>87</v>
      </c>
      <c r="S32" s="109" t="s">
        <v>2164</v>
      </c>
      <c r="T32" s="120" t="s">
        <v>2380</v>
      </c>
      <c r="U32" s="101"/>
      <c r="V32" s="101"/>
      <c r="W32" s="101"/>
      <c r="X32" s="94"/>
      <c r="Y32" s="94"/>
      <c r="Z32" s="94"/>
      <c r="AA32" s="101"/>
      <c r="AB32" s="101"/>
      <c r="AC32" s="101"/>
      <c r="AD32" s="94"/>
      <c r="AE32" s="94"/>
      <c r="AF32" s="94"/>
      <c r="AG32" s="101"/>
      <c r="AH32" s="101"/>
      <c r="AI32" s="101"/>
      <c r="AJ32" s="104"/>
      <c r="AK32" s="94"/>
      <c r="AL32" s="94"/>
      <c r="AM32" s="101"/>
      <c r="AN32" s="101"/>
      <c r="AO32" s="101"/>
      <c r="AP32" s="104"/>
      <c r="AQ32" s="94"/>
      <c r="AR32" s="111">
        <v>46085</v>
      </c>
      <c r="AS32" s="124" t="s">
        <v>2381</v>
      </c>
      <c r="AT32" s="107"/>
      <c r="AU32" s="94"/>
      <c r="AV32" s="125">
        <v>46099</v>
      </c>
      <c r="AW32" s="100" t="s">
        <v>2382</v>
      </c>
      <c r="AX32" s="122"/>
      <c r="AY32" s="122"/>
      <c r="AZ32" s="123"/>
      <c r="BA32" s="101"/>
      <c r="BB32" s="94"/>
      <c r="BC32" s="94"/>
      <c r="BD32" s="101"/>
      <c r="BE32" s="101"/>
      <c r="BF32" s="94"/>
      <c r="BG32" s="94"/>
      <c r="BH32" s="101"/>
      <c r="BI32" s="101"/>
      <c r="BJ32" s="94"/>
      <c r="BK32" s="94"/>
      <c r="BL32" s="101"/>
      <c r="BM32" s="101"/>
      <c r="BN32" s="94"/>
      <c r="BO32" s="94"/>
      <c r="BP32" s="101"/>
      <c r="BQ32" s="101"/>
      <c r="BR32" s="94"/>
      <c r="BS32" s="94"/>
      <c r="BT32" s="101"/>
      <c r="BU32" s="101"/>
      <c r="BV32" s="94"/>
      <c r="BW32" s="94"/>
      <c r="BX32" s="101"/>
      <c r="BY32" s="101"/>
      <c r="BZ32" s="94"/>
      <c r="CA32" s="94"/>
      <c r="CB32" s="101"/>
      <c r="CC32" s="101"/>
      <c r="CD32" s="101"/>
      <c r="CE32" s="94"/>
      <c r="CF32" s="94"/>
      <c r="CG32" s="94"/>
      <c r="CH32" s="101"/>
      <c r="CI32" s="101"/>
      <c r="CJ32" s="101"/>
      <c r="CK32" s="94"/>
      <c r="CL32" s="94"/>
      <c r="CM32" s="94"/>
      <c r="CN32" s="101"/>
      <c r="CO32" s="101"/>
      <c r="CP32" s="101"/>
      <c r="CQ32" s="94"/>
      <c r="CR32" s="94"/>
      <c r="CS32" s="94"/>
      <c r="CT32" s="101"/>
      <c r="CU32" s="101"/>
      <c r="CV32" s="101"/>
      <c r="CW32" s="94"/>
      <c r="CX32" s="94"/>
      <c r="CY32" s="94"/>
      <c r="CZ32" s="101"/>
      <c r="DA32" s="101"/>
      <c r="DB32" s="101"/>
      <c r="DC32" s="94"/>
      <c r="DD32" s="94"/>
      <c r="DE32" s="94"/>
      <c r="DF32" s="101"/>
      <c r="DG32" s="101"/>
      <c r="DH32" s="101"/>
      <c r="DI32" s="94"/>
      <c r="DJ32" s="94"/>
      <c r="DK32" s="94"/>
      <c r="DL32" s="101"/>
      <c r="DM32" s="101"/>
      <c r="DN32" s="101"/>
      <c r="DO32" s="94"/>
      <c r="DP32" s="94"/>
      <c r="DQ32" s="94"/>
      <c r="DR32" s="101"/>
      <c r="DS32" s="101"/>
      <c r="DT32" s="101"/>
      <c r="DU32" s="94"/>
      <c r="DV32" s="94"/>
      <c r="DW32" s="94"/>
      <c r="DX32" s="101"/>
      <c r="DY32" s="101"/>
      <c r="DZ32" s="101"/>
      <c r="EA32" s="94"/>
      <c r="EB32" s="94"/>
      <c r="EC32" s="94"/>
      <c r="ED32" s="101"/>
      <c r="EE32" s="101"/>
      <c r="EF32" s="101"/>
      <c r="EG32" s="94"/>
      <c r="EH32" s="94"/>
      <c r="EI32" s="94"/>
      <c r="EJ32" s="101"/>
      <c r="EK32" s="101"/>
      <c r="EL32" s="101"/>
      <c r="EM32" s="94"/>
      <c r="EN32" s="94"/>
      <c r="EO32" s="94"/>
      <c r="EP32" s="101"/>
      <c r="EQ32" s="101"/>
      <c r="ER32" s="101"/>
      <c r="ES32" s="94"/>
      <c r="ET32" s="94"/>
      <c r="EU32" s="94"/>
      <c r="EV32" s="101"/>
      <c r="EW32" s="101"/>
      <c r="EX32" s="101"/>
      <c r="EY32" s="94"/>
      <c r="EZ32" s="94"/>
      <c r="FA32" s="94"/>
    </row>
    <row r="33" s="66" customFormat="1" ht="76" customHeight="1" spans="1:157">
      <c r="A33" s="93">
        <v>29</v>
      </c>
      <c r="B33" s="94" t="s">
        <v>2383</v>
      </c>
      <c r="C33" s="107" t="s">
        <v>2384</v>
      </c>
      <c r="D33" s="107" t="s">
        <v>97</v>
      </c>
      <c r="E33" s="107" t="s">
        <v>88</v>
      </c>
      <c r="F33" s="107" t="s">
        <v>931</v>
      </c>
      <c r="G33" s="107" t="s">
        <v>932</v>
      </c>
      <c r="H33" s="107" t="s">
        <v>933</v>
      </c>
      <c r="I33" s="95">
        <v>13401308483</v>
      </c>
      <c r="J33" s="107" t="s">
        <v>520</v>
      </c>
      <c r="K33" s="107" t="s">
        <v>310</v>
      </c>
      <c r="L33" s="107" t="s">
        <v>1133</v>
      </c>
      <c r="M33" s="107" t="s">
        <v>1512</v>
      </c>
      <c r="N33" s="107" t="s">
        <v>2385</v>
      </c>
      <c r="O33" s="107" t="s">
        <v>2163</v>
      </c>
      <c r="P33" s="107" t="s">
        <v>2386</v>
      </c>
      <c r="Q33" s="107" t="s">
        <v>97</v>
      </c>
      <c r="R33" s="108" t="s">
        <v>87</v>
      </c>
      <c r="S33" s="109" t="s">
        <v>2164</v>
      </c>
      <c r="T33" s="120" t="s">
        <v>2387</v>
      </c>
      <c r="U33" s="101"/>
      <c r="V33" s="101"/>
      <c r="W33" s="101"/>
      <c r="X33" s="94"/>
      <c r="Y33" s="94"/>
      <c r="Z33" s="94"/>
      <c r="AA33" s="101"/>
      <c r="AB33" s="101"/>
      <c r="AC33" s="101"/>
      <c r="AD33" s="94"/>
      <c r="AE33" s="94"/>
      <c r="AF33" s="94"/>
      <c r="AG33" s="101"/>
      <c r="AH33" s="101"/>
      <c r="AI33" s="101"/>
      <c r="AJ33" s="104"/>
      <c r="AK33" s="94"/>
      <c r="AL33" s="94"/>
      <c r="AM33" s="101"/>
      <c r="AN33" s="101"/>
      <c r="AO33" s="101"/>
      <c r="AP33" s="104"/>
      <c r="AQ33" s="94"/>
      <c r="AR33" s="111">
        <v>46087</v>
      </c>
      <c r="AS33" s="124" t="s">
        <v>2388</v>
      </c>
      <c r="AT33" s="104"/>
      <c r="AU33" s="122"/>
      <c r="AV33" s="125">
        <v>46100</v>
      </c>
      <c r="AW33" s="124" t="s">
        <v>2389</v>
      </c>
      <c r="AX33" s="122"/>
      <c r="AY33" s="122"/>
      <c r="AZ33" s="123"/>
      <c r="BA33" s="101"/>
      <c r="BB33" s="94"/>
      <c r="BC33" s="94"/>
      <c r="BD33" s="101"/>
      <c r="BE33" s="101"/>
      <c r="BF33" s="94"/>
      <c r="BG33" s="94"/>
      <c r="BH33" s="101"/>
      <c r="BI33" s="101"/>
      <c r="BJ33" s="94"/>
      <c r="BK33" s="94"/>
      <c r="BL33" s="101"/>
      <c r="BM33" s="101"/>
      <c r="BN33" s="94"/>
      <c r="BO33" s="94"/>
      <c r="BP33" s="101"/>
      <c r="BQ33" s="101"/>
      <c r="BR33" s="94"/>
      <c r="BS33" s="94"/>
      <c r="BT33" s="101"/>
      <c r="BU33" s="101"/>
      <c r="BV33" s="94"/>
      <c r="BW33" s="94"/>
      <c r="BX33" s="101"/>
      <c r="BY33" s="101"/>
      <c r="BZ33" s="94"/>
      <c r="CA33" s="94"/>
      <c r="CB33" s="101"/>
      <c r="CC33" s="101"/>
      <c r="CD33" s="101"/>
      <c r="CE33" s="94"/>
      <c r="CF33" s="94"/>
      <c r="CG33" s="94"/>
      <c r="CH33" s="101"/>
      <c r="CI33" s="101"/>
      <c r="CJ33" s="101"/>
      <c r="CK33" s="94"/>
      <c r="CL33" s="94"/>
      <c r="CM33" s="94"/>
      <c r="CN33" s="101"/>
      <c r="CO33" s="101"/>
      <c r="CP33" s="101"/>
      <c r="CQ33" s="94"/>
      <c r="CR33" s="94"/>
      <c r="CS33" s="94"/>
      <c r="CT33" s="101"/>
      <c r="CU33" s="101"/>
      <c r="CV33" s="101"/>
      <c r="CW33" s="94"/>
      <c r="CX33" s="94"/>
      <c r="CY33" s="94"/>
      <c r="CZ33" s="101"/>
      <c r="DA33" s="101"/>
      <c r="DB33" s="101"/>
      <c r="DC33" s="94"/>
      <c r="DD33" s="94"/>
      <c r="DE33" s="94"/>
      <c r="DF33" s="101"/>
      <c r="DG33" s="101"/>
      <c r="DH33" s="101"/>
      <c r="DI33" s="94"/>
      <c r="DJ33" s="94"/>
      <c r="DK33" s="94"/>
      <c r="DL33" s="101"/>
      <c r="DM33" s="101"/>
      <c r="DN33" s="101"/>
      <c r="DO33" s="94"/>
      <c r="DP33" s="94"/>
      <c r="DQ33" s="94"/>
      <c r="DR33" s="101"/>
      <c r="DS33" s="101"/>
      <c r="DT33" s="101"/>
      <c r="DU33" s="94"/>
      <c r="DV33" s="94"/>
      <c r="DW33" s="94"/>
      <c r="DX33" s="101"/>
      <c r="DY33" s="101"/>
      <c r="DZ33" s="101"/>
      <c r="EA33" s="94"/>
      <c r="EB33" s="94"/>
      <c r="EC33" s="94"/>
      <c r="ED33" s="101"/>
      <c r="EE33" s="101"/>
      <c r="EF33" s="101"/>
      <c r="EG33" s="94"/>
      <c r="EH33" s="94"/>
      <c r="EI33" s="94"/>
      <c r="EJ33" s="101"/>
      <c r="EK33" s="101"/>
      <c r="EL33" s="101"/>
      <c r="EM33" s="94"/>
      <c r="EN33" s="94"/>
      <c r="EO33" s="94"/>
      <c r="EP33" s="101"/>
      <c r="EQ33" s="101"/>
      <c r="ER33" s="101"/>
      <c r="ES33" s="94"/>
      <c r="ET33" s="94"/>
      <c r="EU33" s="94"/>
      <c r="EV33" s="101"/>
      <c r="EW33" s="101"/>
      <c r="EX33" s="101"/>
      <c r="EY33" s="94"/>
      <c r="EZ33" s="94"/>
      <c r="FA33" s="94"/>
    </row>
    <row r="34" s="66" customFormat="1" ht="76" customHeight="1" spans="1:157">
      <c r="A34" s="129">
        <v>30</v>
      </c>
      <c r="B34" s="130" t="s">
        <v>2383</v>
      </c>
      <c r="C34" s="126" t="s">
        <v>2390</v>
      </c>
      <c r="D34" s="126" t="s">
        <v>85</v>
      </c>
      <c r="E34" s="126" t="s">
        <v>88</v>
      </c>
      <c r="F34" s="126" t="s">
        <v>2391</v>
      </c>
      <c r="G34" s="126" t="s">
        <v>2392</v>
      </c>
      <c r="H34" s="126" t="s">
        <v>2393</v>
      </c>
      <c r="I34" s="126">
        <v>13401361025</v>
      </c>
      <c r="J34" s="126" t="s">
        <v>520</v>
      </c>
      <c r="K34" s="126" t="s">
        <v>310</v>
      </c>
      <c r="L34" s="126" t="s">
        <v>470</v>
      </c>
      <c r="M34" s="126" t="s">
        <v>945</v>
      </c>
      <c r="N34" s="126" t="s">
        <v>945</v>
      </c>
      <c r="O34" s="126" t="s">
        <v>369</v>
      </c>
      <c r="P34" s="129" t="s">
        <v>2394</v>
      </c>
      <c r="Q34" s="126" t="s">
        <v>85</v>
      </c>
      <c r="R34" s="131" t="s">
        <v>2395</v>
      </c>
      <c r="S34" s="132" t="s">
        <v>2396</v>
      </c>
      <c r="T34" s="133" t="s">
        <v>2397</v>
      </c>
      <c r="U34" s="134"/>
      <c r="V34" s="134"/>
      <c r="W34" s="134"/>
      <c r="X34" s="130"/>
      <c r="Y34" s="130"/>
      <c r="Z34" s="130"/>
      <c r="AA34" s="134"/>
      <c r="AB34" s="134"/>
      <c r="AC34" s="134"/>
      <c r="AD34" s="130"/>
      <c r="AE34" s="130"/>
      <c r="AF34" s="130"/>
      <c r="AG34" s="134"/>
      <c r="AH34" s="134"/>
      <c r="AI34" s="134"/>
      <c r="AJ34" s="135"/>
      <c r="AK34" s="130"/>
      <c r="AL34" s="130"/>
      <c r="AM34" s="134"/>
      <c r="AN34" s="134"/>
      <c r="AO34" s="134"/>
      <c r="AP34" s="135"/>
      <c r="AQ34" s="130"/>
      <c r="AR34" s="136"/>
      <c r="AS34" s="134"/>
      <c r="AT34" s="137">
        <v>46090</v>
      </c>
      <c r="AU34" s="138" t="s">
        <v>2398</v>
      </c>
      <c r="AV34" s="139"/>
      <c r="AW34" s="134"/>
      <c r="AX34" s="130"/>
      <c r="AY34" s="130"/>
      <c r="AZ34" s="134"/>
      <c r="BA34" s="134"/>
      <c r="BB34" s="94"/>
      <c r="BC34" s="94"/>
      <c r="BD34" s="101"/>
      <c r="BE34" s="101"/>
      <c r="BF34" s="94"/>
      <c r="BG34" s="94"/>
      <c r="BH34" s="101"/>
      <c r="BI34" s="101"/>
      <c r="BJ34" s="94"/>
      <c r="BK34" s="94"/>
      <c r="BL34" s="101"/>
      <c r="BM34" s="101"/>
      <c r="BN34" s="94"/>
      <c r="BO34" s="94"/>
      <c r="BP34" s="101"/>
      <c r="BQ34" s="101"/>
      <c r="BR34" s="94"/>
      <c r="BS34" s="94"/>
      <c r="BT34" s="101"/>
      <c r="BU34" s="101"/>
      <c r="BV34" s="94"/>
      <c r="BW34" s="94"/>
      <c r="BX34" s="101"/>
      <c r="BY34" s="101"/>
      <c r="BZ34" s="94"/>
      <c r="CA34" s="94"/>
      <c r="CB34" s="101"/>
      <c r="CC34" s="101"/>
      <c r="CD34" s="101"/>
      <c r="CE34" s="94"/>
      <c r="CF34" s="94"/>
      <c r="CG34" s="94"/>
      <c r="CH34" s="101"/>
      <c r="CI34" s="101"/>
      <c r="CJ34" s="101"/>
      <c r="CK34" s="94"/>
      <c r="CL34" s="94"/>
      <c r="CM34" s="94"/>
      <c r="CN34" s="101"/>
      <c r="CO34" s="101"/>
      <c r="CP34" s="101"/>
      <c r="CQ34" s="94"/>
      <c r="CR34" s="94"/>
      <c r="CS34" s="94"/>
      <c r="CT34" s="101"/>
      <c r="CU34" s="101"/>
      <c r="CV34" s="101"/>
      <c r="CW34" s="94"/>
      <c r="CX34" s="94"/>
      <c r="CY34" s="94"/>
      <c r="CZ34" s="101"/>
      <c r="DA34" s="101"/>
      <c r="DB34" s="101"/>
      <c r="DC34" s="94"/>
      <c r="DD34" s="94"/>
      <c r="DE34" s="94"/>
      <c r="DF34" s="101"/>
      <c r="DG34" s="101"/>
      <c r="DH34" s="101"/>
      <c r="DI34" s="94"/>
      <c r="DJ34" s="94"/>
      <c r="DK34" s="94"/>
      <c r="DL34" s="101"/>
      <c r="DM34" s="101"/>
      <c r="DN34" s="101"/>
      <c r="DO34" s="94"/>
      <c r="DP34" s="94"/>
      <c r="DQ34" s="94"/>
      <c r="DR34" s="101"/>
      <c r="DS34" s="101"/>
      <c r="DT34" s="101"/>
      <c r="DU34" s="94"/>
      <c r="DV34" s="94"/>
      <c r="DW34" s="94"/>
      <c r="DX34" s="101"/>
      <c r="DY34" s="101"/>
      <c r="DZ34" s="101"/>
      <c r="EA34" s="94"/>
      <c r="EB34" s="94"/>
      <c r="EC34" s="94"/>
      <c r="ED34" s="101"/>
      <c r="EE34" s="101"/>
      <c r="EF34" s="101"/>
      <c r="EG34" s="94"/>
      <c r="EH34" s="94"/>
      <c r="EI34" s="94"/>
      <c r="EJ34" s="101"/>
      <c r="EK34" s="101"/>
      <c r="EL34" s="101"/>
      <c r="EM34" s="94"/>
      <c r="EN34" s="94"/>
      <c r="EO34" s="94"/>
      <c r="EP34" s="101"/>
      <c r="EQ34" s="101"/>
      <c r="ER34" s="101"/>
      <c r="ES34" s="94"/>
      <c r="ET34" s="94"/>
      <c r="EU34" s="94"/>
      <c r="EV34" s="101"/>
      <c r="EW34" s="101"/>
      <c r="EX34" s="101"/>
      <c r="EY34" s="94"/>
      <c r="EZ34" s="94"/>
      <c r="FA34" s="94"/>
    </row>
    <row r="35" s="67" customFormat="1" ht="48" customHeight="1" spans="1:157">
      <c r="A35" s="140">
        <v>31</v>
      </c>
      <c r="B35" s="140"/>
      <c r="C35" s="140" t="s">
        <v>2399</v>
      </c>
      <c r="D35" s="141" t="s">
        <v>97</v>
      </c>
      <c r="E35" s="142" t="s">
        <v>88</v>
      </c>
      <c r="F35" s="142" t="s">
        <v>1959</v>
      </c>
      <c r="G35" s="142" t="s">
        <v>2400</v>
      </c>
      <c r="H35" s="142" t="s">
        <v>1961</v>
      </c>
      <c r="I35" s="143"/>
      <c r="J35" s="142" t="s">
        <v>81</v>
      </c>
      <c r="K35" s="142" t="s">
        <v>310</v>
      </c>
      <c r="L35" s="142" t="s">
        <v>2401</v>
      </c>
      <c r="M35" s="142" t="s">
        <v>1506</v>
      </c>
      <c r="N35" s="142" t="s">
        <v>1506</v>
      </c>
      <c r="O35" s="142" t="s">
        <v>369</v>
      </c>
      <c r="P35" s="142" t="s">
        <v>146</v>
      </c>
      <c r="Q35" s="142" t="s">
        <v>85</v>
      </c>
      <c r="R35" s="143" t="s">
        <v>2402</v>
      </c>
      <c r="S35" s="143" t="s">
        <v>787</v>
      </c>
      <c r="T35" s="143" t="s">
        <v>2403</v>
      </c>
      <c r="U35" s="144"/>
      <c r="V35" s="144"/>
      <c r="W35" s="144"/>
      <c r="X35" s="145"/>
      <c r="Y35" s="145"/>
      <c r="Z35" s="145"/>
      <c r="AA35" s="144"/>
      <c r="AB35" s="144"/>
      <c r="AC35" s="144"/>
      <c r="AD35" s="145"/>
      <c r="AE35" s="145"/>
      <c r="AF35" s="145"/>
      <c r="AG35" s="144"/>
      <c r="AH35" s="144"/>
      <c r="AI35" s="144"/>
      <c r="AJ35" s="140"/>
      <c r="AK35" s="145"/>
      <c r="AL35" s="145"/>
      <c r="AM35" s="144"/>
      <c r="AN35" s="144"/>
      <c r="AO35" s="144"/>
      <c r="AP35" s="140"/>
      <c r="AQ35" s="145"/>
      <c r="AR35" s="146"/>
      <c r="AS35" s="144"/>
      <c r="AT35" s="140"/>
      <c r="AU35" s="145"/>
      <c r="AV35" s="144"/>
      <c r="AW35" s="144"/>
      <c r="AX35" s="145"/>
      <c r="AY35" s="145"/>
      <c r="AZ35" s="144"/>
      <c r="BA35" s="144"/>
      <c r="BD35" s="147"/>
      <c r="BE35" s="147"/>
      <c r="BH35" s="147"/>
      <c r="BI35" s="147"/>
      <c r="BL35" s="147"/>
      <c r="BM35" s="147"/>
      <c r="BP35" s="147"/>
      <c r="BQ35" s="147"/>
      <c r="BT35" s="147"/>
      <c r="BU35" s="147"/>
      <c r="BX35" s="147"/>
      <c r="BY35" s="147"/>
      <c r="CB35" s="147"/>
      <c r="CC35" s="147"/>
      <c r="CD35" s="147"/>
      <c r="CH35" s="147"/>
      <c r="CI35" s="147"/>
      <c r="CJ35" s="147"/>
      <c r="CN35" s="147"/>
      <c r="CO35" s="147"/>
      <c r="CP35" s="147"/>
      <c r="CT35" s="147"/>
      <c r="CU35" s="147"/>
      <c r="CV35" s="147"/>
      <c r="CZ35" s="147"/>
      <c r="DA35" s="147"/>
      <c r="DB35" s="147"/>
      <c r="DF35" s="147"/>
      <c r="DG35" s="147"/>
      <c r="DH35" s="147"/>
      <c r="DL35" s="147"/>
      <c r="DM35" s="147"/>
      <c r="DN35" s="147"/>
      <c r="DR35" s="147"/>
      <c r="DS35" s="147"/>
      <c r="DT35" s="147"/>
      <c r="DX35" s="147"/>
      <c r="DY35" s="147"/>
      <c r="DZ35" s="147"/>
      <c r="ED35" s="147"/>
      <c r="EE35" s="147"/>
      <c r="EF35" s="147"/>
      <c r="EJ35" s="147"/>
      <c r="EK35" s="147"/>
      <c r="EL35" s="147"/>
      <c r="EP35" s="147"/>
      <c r="EQ35" s="147"/>
      <c r="ER35" s="147"/>
      <c r="EV35" s="147"/>
      <c r="EW35" s="147"/>
      <c r="EX35" s="147"/>
    </row>
    <row r="36" s="67" customFormat="1" ht="145.75" customHeight="1" spans="1:157">
      <c r="A36" s="140">
        <v>32</v>
      </c>
      <c r="B36" s="140"/>
      <c r="C36" s="141" t="s">
        <v>1903</v>
      </c>
      <c r="D36" s="141" t="s">
        <v>97</v>
      </c>
      <c r="E36" s="141" t="s">
        <v>88</v>
      </c>
      <c r="F36" s="141" t="s">
        <v>1893</v>
      </c>
      <c r="G36" s="141" t="s">
        <v>1894</v>
      </c>
      <c r="H36" s="148" t="s">
        <v>1896</v>
      </c>
      <c r="I36" s="149">
        <v>15295076763</v>
      </c>
      <c r="J36" s="141" t="s">
        <v>1897</v>
      </c>
      <c r="K36" s="141" t="s">
        <v>674</v>
      </c>
      <c r="L36" s="141" t="s">
        <v>2404</v>
      </c>
      <c r="M36" s="141" t="s">
        <v>420</v>
      </c>
      <c r="N36" s="141" t="s">
        <v>420</v>
      </c>
      <c r="O36" s="141" t="s">
        <v>369</v>
      </c>
      <c r="P36" s="141" t="s">
        <v>146</v>
      </c>
      <c r="Q36" s="141" t="s">
        <v>85</v>
      </c>
      <c r="R36" s="143" t="s">
        <v>1184</v>
      </c>
      <c r="S36" s="150" t="s">
        <v>2405</v>
      </c>
      <c r="T36" s="151" t="s">
        <v>2406</v>
      </c>
      <c r="U36" s="144"/>
      <c r="V36" s="144"/>
      <c r="W36" s="144"/>
      <c r="X36" s="145"/>
      <c r="Y36" s="145"/>
      <c r="Z36" s="145"/>
      <c r="AA36" s="144"/>
      <c r="AB36" s="144"/>
      <c r="AC36" s="144"/>
      <c r="AD36" s="145"/>
      <c r="AE36" s="145"/>
      <c r="AF36" s="145"/>
      <c r="AG36" s="144"/>
      <c r="AH36" s="144"/>
      <c r="AI36" s="144"/>
      <c r="AJ36" s="140"/>
      <c r="AK36" s="145"/>
      <c r="AL36" s="145"/>
      <c r="AM36" s="144"/>
      <c r="AN36" s="144"/>
      <c r="AO36" s="144"/>
      <c r="AP36" s="140"/>
      <c r="AQ36" s="145"/>
      <c r="AR36" s="146"/>
      <c r="AS36" s="144"/>
      <c r="AT36" s="140"/>
      <c r="AU36" s="145"/>
      <c r="AV36" s="152" t="s">
        <v>1903</v>
      </c>
      <c r="AW36" s="153" t="s">
        <v>2406</v>
      </c>
      <c r="AX36" s="145"/>
      <c r="AY36" s="145"/>
      <c r="AZ36" s="144"/>
      <c r="BA36" s="144"/>
      <c r="BD36" s="147"/>
      <c r="BE36" s="147"/>
      <c r="BH36" s="147"/>
      <c r="BI36" s="147"/>
      <c r="BL36" s="147"/>
      <c r="BM36" s="147"/>
      <c r="BP36" s="147"/>
      <c r="BQ36" s="147"/>
      <c r="BT36" s="147"/>
      <c r="BU36" s="147"/>
      <c r="BX36" s="147"/>
      <c r="BY36" s="147"/>
      <c r="CB36" s="147"/>
      <c r="CC36" s="147"/>
      <c r="CD36" s="147"/>
      <c r="CH36" s="147"/>
      <c r="CI36" s="147"/>
      <c r="CJ36" s="147"/>
      <c r="CN36" s="147"/>
      <c r="CO36" s="147"/>
      <c r="CP36" s="147"/>
      <c r="CT36" s="147"/>
      <c r="CU36" s="147"/>
      <c r="CV36" s="147"/>
      <c r="CZ36" s="147"/>
      <c r="DA36" s="147"/>
      <c r="DB36" s="147"/>
      <c r="DF36" s="147"/>
      <c r="DG36" s="147"/>
      <c r="DH36" s="147"/>
      <c r="DL36" s="147"/>
      <c r="DM36" s="147"/>
      <c r="DN36" s="147"/>
      <c r="DR36" s="147"/>
      <c r="DS36" s="147"/>
      <c r="DT36" s="147"/>
      <c r="DX36" s="147"/>
      <c r="DY36" s="147"/>
      <c r="DZ36" s="147"/>
      <c r="ED36" s="147"/>
      <c r="EE36" s="147"/>
      <c r="EF36" s="147"/>
      <c r="EJ36" s="147"/>
      <c r="EK36" s="147"/>
      <c r="EL36" s="147"/>
      <c r="EP36" s="147"/>
      <c r="EQ36" s="147"/>
      <c r="ER36" s="147"/>
      <c r="EV36" s="147"/>
      <c r="EW36" s="147"/>
      <c r="EX36" s="147"/>
    </row>
    <row r="37" s="67" customFormat="1" ht="101.75" customHeight="1" spans="1:157">
      <c r="A37" s="140">
        <v>33</v>
      </c>
      <c r="B37" s="140"/>
      <c r="C37" s="141" t="s">
        <v>2407</v>
      </c>
      <c r="D37" s="141" t="s">
        <v>85</v>
      </c>
      <c r="E37" s="141" t="s">
        <v>88</v>
      </c>
      <c r="F37" s="140" t="s">
        <v>1986</v>
      </c>
      <c r="G37" s="140" t="s">
        <v>2408</v>
      </c>
      <c r="H37" s="141" t="s">
        <v>1989</v>
      </c>
      <c r="I37" s="145">
        <v>15261161179</v>
      </c>
      <c r="J37" s="141" t="s">
        <v>1895</v>
      </c>
      <c r="K37" s="141" t="s">
        <v>674</v>
      </c>
      <c r="L37" s="141" t="s">
        <v>2409</v>
      </c>
      <c r="M37" s="141" t="s">
        <v>1988</v>
      </c>
      <c r="N37" s="141" t="s">
        <v>1988</v>
      </c>
      <c r="O37" s="141" t="s">
        <v>369</v>
      </c>
      <c r="P37" s="141" t="s">
        <v>2174</v>
      </c>
      <c r="Q37" s="141" t="s">
        <v>85</v>
      </c>
      <c r="R37" s="154" t="s">
        <v>1184</v>
      </c>
      <c r="S37" s="150" t="s">
        <v>787</v>
      </c>
      <c r="T37" s="155" t="s">
        <v>2410</v>
      </c>
      <c r="U37" s="144"/>
      <c r="V37" s="144"/>
      <c r="W37" s="144"/>
      <c r="X37" s="145"/>
      <c r="Y37" s="145"/>
      <c r="Z37" s="145"/>
      <c r="AA37" s="144"/>
      <c r="AB37" s="144"/>
      <c r="AC37" s="144"/>
      <c r="AD37" s="145"/>
      <c r="AE37" s="145"/>
      <c r="AF37" s="145"/>
      <c r="AG37" s="144"/>
      <c r="AH37" s="144"/>
      <c r="AI37" s="144"/>
      <c r="AJ37" s="140"/>
      <c r="AK37" s="145"/>
      <c r="AL37" s="145"/>
      <c r="AM37" s="144"/>
      <c r="AN37" s="144"/>
      <c r="AO37" s="144"/>
      <c r="AP37" s="140"/>
      <c r="AQ37" s="145"/>
      <c r="AR37" s="146"/>
      <c r="AS37" s="144"/>
      <c r="AT37" s="140"/>
      <c r="AU37" s="145"/>
      <c r="AV37" s="152" t="s">
        <v>2411</v>
      </c>
      <c r="AW37" s="153" t="s">
        <v>2412</v>
      </c>
      <c r="AX37" s="145"/>
      <c r="AY37" s="145"/>
      <c r="AZ37" s="144"/>
      <c r="BA37" s="144"/>
      <c r="BD37" s="147"/>
      <c r="BE37" s="147"/>
      <c r="BH37" s="147"/>
      <c r="BI37" s="147"/>
      <c r="BL37" s="147"/>
      <c r="BM37" s="147"/>
      <c r="BP37" s="147"/>
      <c r="BQ37" s="147"/>
      <c r="BT37" s="147"/>
      <c r="BU37" s="147"/>
      <c r="BX37" s="147"/>
      <c r="BY37" s="147"/>
      <c r="CB37" s="147"/>
      <c r="CC37" s="147"/>
      <c r="CD37" s="147"/>
      <c r="CH37" s="147"/>
      <c r="CI37" s="147"/>
      <c r="CJ37" s="147"/>
      <c r="CN37" s="147"/>
      <c r="CO37" s="147"/>
      <c r="CP37" s="147"/>
      <c r="CT37" s="147"/>
      <c r="CU37" s="147"/>
      <c r="CV37" s="147"/>
      <c r="CZ37" s="147"/>
      <c r="DA37" s="147"/>
      <c r="DB37" s="147"/>
      <c r="DF37" s="147"/>
      <c r="DG37" s="147"/>
      <c r="DH37" s="147"/>
      <c r="DL37" s="147"/>
      <c r="DM37" s="147"/>
      <c r="DN37" s="147"/>
      <c r="DR37" s="147"/>
      <c r="DS37" s="147"/>
      <c r="DT37" s="147"/>
      <c r="DX37" s="147"/>
      <c r="DY37" s="147"/>
      <c r="DZ37" s="147"/>
      <c r="ED37" s="147"/>
      <c r="EE37" s="147"/>
      <c r="EF37" s="147"/>
      <c r="EJ37" s="147"/>
      <c r="EK37" s="147"/>
      <c r="EL37" s="147"/>
      <c r="EP37" s="147"/>
      <c r="EQ37" s="147"/>
      <c r="ER37" s="147"/>
      <c r="EV37" s="147"/>
      <c r="EW37" s="147"/>
      <c r="EX37" s="147"/>
    </row>
    <row r="38" s="67" customFormat="1" ht="92.25" customHeight="1" spans="1:157">
      <c r="A38" s="140">
        <v>34</v>
      </c>
      <c r="B38" s="140"/>
      <c r="C38" s="141" t="s">
        <v>2407</v>
      </c>
      <c r="D38" s="141" t="s">
        <v>97</v>
      </c>
      <c r="E38" s="141" t="s">
        <v>88</v>
      </c>
      <c r="F38" s="141" t="s">
        <v>1994</v>
      </c>
      <c r="G38" s="141" t="s">
        <v>1995</v>
      </c>
      <c r="H38" s="141" t="s">
        <v>1996</v>
      </c>
      <c r="I38" s="145">
        <v>15861190670</v>
      </c>
      <c r="J38" s="141" t="s">
        <v>520</v>
      </c>
      <c r="K38" s="141" t="s">
        <v>310</v>
      </c>
      <c r="L38" s="141" t="s">
        <v>2413</v>
      </c>
      <c r="M38" s="141" t="s">
        <v>945</v>
      </c>
      <c r="N38" s="141" t="s">
        <v>1506</v>
      </c>
      <c r="O38" s="141" t="s">
        <v>2163</v>
      </c>
      <c r="P38" s="141" t="s">
        <v>2414</v>
      </c>
      <c r="Q38" s="141" t="s">
        <v>85</v>
      </c>
      <c r="R38" s="154" t="s">
        <v>87</v>
      </c>
      <c r="S38" s="150" t="s">
        <v>2213</v>
      </c>
      <c r="T38" s="155" t="s">
        <v>2415</v>
      </c>
      <c r="U38" s="144"/>
      <c r="V38" s="144"/>
      <c r="W38" s="144"/>
      <c r="X38" s="145"/>
      <c r="Y38" s="145"/>
      <c r="Z38" s="145"/>
      <c r="AA38" s="144"/>
      <c r="AB38" s="144"/>
      <c r="AC38" s="144"/>
      <c r="AD38" s="145"/>
      <c r="AE38" s="145"/>
      <c r="AF38" s="145"/>
      <c r="AG38" s="144"/>
      <c r="AH38" s="144"/>
      <c r="AI38" s="144"/>
      <c r="AJ38" s="140"/>
      <c r="AK38" s="145"/>
      <c r="AL38" s="145"/>
      <c r="AM38" s="144"/>
      <c r="AN38" s="144"/>
      <c r="AO38" s="144"/>
      <c r="AP38" s="140"/>
      <c r="AQ38" s="145"/>
      <c r="AR38" s="146"/>
      <c r="AS38" s="144"/>
      <c r="AT38" s="140"/>
      <c r="AU38" s="145"/>
      <c r="AV38" s="152" t="s">
        <v>2407</v>
      </c>
      <c r="AW38" s="153" t="s">
        <v>2416</v>
      </c>
      <c r="AX38" s="145"/>
      <c r="AY38" s="145"/>
      <c r="AZ38" s="144"/>
      <c r="BA38" s="144"/>
      <c r="BD38" s="147"/>
      <c r="BE38" s="147"/>
      <c r="BH38" s="147"/>
      <c r="BI38" s="147"/>
      <c r="BL38" s="147"/>
      <c r="BM38" s="147"/>
      <c r="BP38" s="147"/>
      <c r="BQ38" s="147"/>
      <c r="BT38" s="147"/>
      <c r="BU38" s="147"/>
      <c r="BX38" s="147"/>
      <c r="BY38" s="147"/>
      <c r="CB38" s="147"/>
      <c r="CC38" s="147"/>
      <c r="CD38" s="147"/>
      <c r="CH38" s="147"/>
      <c r="CI38" s="147"/>
      <c r="CJ38" s="147"/>
      <c r="CN38" s="147"/>
      <c r="CO38" s="147"/>
      <c r="CP38" s="147"/>
      <c r="CT38" s="147"/>
      <c r="CU38" s="147"/>
      <c r="CV38" s="147"/>
      <c r="CZ38" s="147"/>
      <c r="DA38" s="147"/>
      <c r="DB38" s="147"/>
      <c r="DF38" s="147"/>
      <c r="DG38" s="147"/>
      <c r="DH38" s="147"/>
      <c r="DL38" s="147"/>
      <c r="DM38" s="147"/>
      <c r="DN38" s="147"/>
      <c r="DR38" s="147"/>
      <c r="DS38" s="147"/>
      <c r="DT38" s="147"/>
      <c r="DX38" s="147"/>
      <c r="DY38" s="147"/>
      <c r="DZ38" s="147"/>
      <c r="ED38" s="147"/>
      <c r="EE38" s="147"/>
      <c r="EF38" s="147"/>
      <c r="EJ38" s="147"/>
      <c r="EK38" s="147"/>
      <c r="EL38" s="147"/>
      <c r="EP38" s="147"/>
      <c r="EQ38" s="147"/>
      <c r="ER38" s="147"/>
      <c r="EV38" s="147"/>
      <c r="EW38" s="147"/>
      <c r="EX38" s="147"/>
    </row>
    <row r="39" s="67" customFormat="1" ht="126.5" customHeight="1" spans="1:157">
      <c r="A39" s="140">
        <v>35</v>
      </c>
      <c r="B39" s="140"/>
      <c r="C39" s="141" t="s">
        <v>2399</v>
      </c>
      <c r="D39" s="141" t="s">
        <v>85</v>
      </c>
      <c r="E39" s="141" t="s">
        <v>88</v>
      </c>
      <c r="F39" s="141" t="s">
        <v>1978</v>
      </c>
      <c r="G39" s="141" t="s">
        <v>1979</v>
      </c>
      <c r="H39" s="156" t="s">
        <v>1981</v>
      </c>
      <c r="I39" s="157">
        <v>13092546666</v>
      </c>
      <c r="J39" s="141" t="s">
        <v>1895</v>
      </c>
      <c r="K39" s="141" t="s">
        <v>674</v>
      </c>
      <c r="L39" s="141" t="s">
        <v>81</v>
      </c>
      <c r="M39" s="141" t="s">
        <v>1980</v>
      </c>
      <c r="N39" s="141" t="s">
        <v>1980</v>
      </c>
      <c r="O39" s="141" t="s">
        <v>369</v>
      </c>
      <c r="P39" s="141" t="s">
        <v>146</v>
      </c>
      <c r="Q39" s="141" t="s">
        <v>85</v>
      </c>
      <c r="R39" s="154" t="s">
        <v>1184</v>
      </c>
      <c r="S39" s="150" t="s">
        <v>2417</v>
      </c>
      <c r="T39" s="155" t="s">
        <v>2418</v>
      </c>
      <c r="U39" s="144"/>
      <c r="V39" s="144"/>
      <c r="W39" s="144"/>
      <c r="X39" s="145"/>
      <c r="Y39" s="145"/>
      <c r="Z39" s="145"/>
      <c r="AA39" s="144"/>
      <c r="AB39" s="144"/>
      <c r="AC39" s="144"/>
      <c r="AD39" s="145"/>
      <c r="AE39" s="145"/>
      <c r="AF39" s="145"/>
      <c r="AG39" s="144"/>
      <c r="AH39" s="144"/>
      <c r="AI39" s="144"/>
      <c r="AJ39" s="140"/>
      <c r="AK39" s="145"/>
      <c r="AL39" s="145"/>
      <c r="AM39" s="144"/>
      <c r="AN39" s="144"/>
      <c r="AO39" s="144"/>
      <c r="AP39" s="140"/>
      <c r="AQ39" s="145"/>
      <c r="AR39" s="146"/>
      <c r="AS39" s="144"/>
      <c r="AT39" s="140"/>
      <c r="AU39" s="145"/>
      <c r="AV39" s="152" t="s">
        <v>2407</v>
      </c>
      <c r="AW39" s="153" t="s">
        <v>1983</v>
      </c>
      <c r="AX39" s="145"/>
      <c r="AY39" s="145"/>
      <c r="AZ39" s="144"/>
      <c r="BA39" s="144"/>
      <c r="BD39" s="147"/>
      <c r="BE39" s="147"/>
      <c r="BH39" s="147"/>
      <c r="BI39" s="147"/>
      <c r="BL39" s="147"/>
      <c r="BM39" s="147"/>
      <c r="BP39" s="147"/>
      <c r="BQ39" s="147"/>
      <c r="BT39" s="147"/>
      <c r="BU39" s="147"/>
      <c r="BX39" s="147"/>
      <c r="BY39" s="147"/>
      <c r="CB39" s="147"/>
      <c r="CC39" s="147"/>
      <c r="CD39" s="147"/>
      <c r="CH39" s="147"/>
      <c r="CI39" s="147"/>
      <c r="CJ39" s="147"/>
      <c r="CN39" s="147"/>
      <c r="CO39" s="147"/>
      <c r="CP39" s="147"/>
      <c r="CT39" s="147"/>
      <c r="CU39" s="147"/>
      <c r="CV39" s="147"/>
      <c r="CZ39" s="147"/>
      <c r="DA39" s="147"/>
      <c r="DB39" s="147"/>
      <c r="DF39" s="147"/>
      <c r="DG39" s="147"/>
      <c r="DH39" s="147"/>
      <c r="DL39" s="147"/>
      <c r="DM39" s="147"/>
      <c r="DN39" s="147"/>
      <c r="DR39" s="147"/>
      <c r="DS39" s="147"/>
      <c r="DT39" s="147"/>
      <c r="DX39" s="147"/>
      <c r="DY39" s="147"/>
      <c r="DZ39" s="147"/>
      <c r="ED39" s="147"/>
      <c r="EE39" s="147"/>
      <c r="EF39" s="147"/>
      <c r="EJ39" s="147"/>
      <c r="EK39" s="147"/>
      <c r="EL39" s="147"/>
      <c r="EP39" s="147"/>
      <c r="EQ39" s="147"/>
      <c r="ER39" s="147"/>
      <c r="EV39" s="147"/>
      <c r="EW39" s="147"/>
      <c r="EX39" s="147"/>
    </row>
    <row r="40" s="67" customFormat="1" ht="89" customHeight="1" spans="1:157">
      <c r="A40" s="140">
        <v>36</v>
      </c>
      <c r="B40" s="140"/>
      <c r="C40" s="141" t="s">
        <v>2419</v>
      </c>
      <c r="D40" s="141" t="s">
        <v>97</v>
      </c>
      <c r="E40" s="141" t="s">
        <v>88</v>
      </c>
      <c r="F40" s="141" t="s">
        <v>2000</v>
      </c>
      <c r="G40" s="141" t="s">
        <v>2420</v>
      </c>
      <c r="H40" s="141" t="s">
        <v>2421</v>
      </c>
      <c r="I40" s="145"/>
      <c r="J40" s="141" t="s">
        <v>1895</v>
      </c>
      <c r="K40" s="141" t="s">
        <v>674</v>
      </c>
      <c r="L40" s="141" t="s">
        <v>2422</v>
      </c>
      <c r="M40" s="141" t="s">
        <v>2261</v>
      </c>
      <c r="N40" s="141" t="s">
        <v>2261</v>
      </c>
      <c r="O40" s="141" t="s">
        <v>369</v>
      </c>
      <c r="P40" s="141" t="s">
        <v>2423</v>
      </c>
      <c r="Q40" s="141" t="s">
        <v>85</v>
      </c>
      <c r="R40" s="154" t="s">
        <v>2424</v>
      </c>
      <c r="S40" s="150" t="s">
        <v>2417</v>
      </c>
      <c r="T40" s="155" t="s">
        <v>2425</v>
      </c>
      <c r="U40" s="144"/>
      <c r="V40" s="144"/>
      <c r="W40" s="144"/>
      <c r="X40" s="145"/>
      <c r="Y40" s="145"/>
      <c r="Z40" s="145"/>
      <c r="AA40" s="144"/>
      <c r="AB40" s="144"/>
      <c r="AC40" s="144"/>
      <c r="AD40" s="145"/>
      <c r="AE40" s="145"/>
      <c r="AF40" s="145"/>
      <c r="AG40" s="144"/>
      <c r="AH40" s="144"/>
      <c r="AI40" s="144"/>
      <c r="AJ40" s="140"/>
      <c r="AK40" s="145"/>
      <c r="AL40" s="145"/>
      <c r="AM40" s="144"/>
      <c r="AN40" s="144"/>
      <c r="AO40" s="144"/>
      <c r="AP40" s="140"/>
      <c r="AQ40" s="145"/>
      <c r="AR40" s="146"/>
      <c r="AS40" s="144"/>
      <c r="AT40" s="140"/>
      <c r="AU40" s="145"/>
      <c r="AV40" s="144"/>
      <c r="AW40" s="144"/>
      <c r="AX40" s="158">
        <v>46105</v>
      </c>
      <c r="AY40" s="151" t="s">
        <v>2426</v>
      </c>
      <c r="AZ40" s="144"/>
      <c r="BA40" s="144"/>
      <c r="BD40" s="147"/>
      <c r="BE40" s="147"/>
      <c r="BH40" s="147"/>
      <c r="BI40" s="147"/>
      <c r="BL40" s="147"/>
      <c r="BM40" s="147"/>
      <c r="BP40" s="147"/>
      <c r="BQ40" s="147"/>
      <c r="BT40" s="147"/>
      <c r="BU40" s="147"/>
      <c r="BX40" s="147"/>
      <c r="BY40" s="147"/>
      <c r="CB40" s="147"/>
      <c r="CC40" s="147"/>
      <c r="CD40" s="147"/>
      <c r="CH40" s="147"/>
      <c r="CI40" s="147"/>
      <c r="CJ40" s="147"/>
      <c r="CN40" s="147"/>
      <c r="CO40" s="147"/>
      <c r="CP40" s="147"/>
      <c r="CT40" s="147"/>
      <c r="CU40" s="147"/>
      <c r="CV40" s="147"/>
      <c r="CZ40" s="147"/>
      <c r="DA40" s="147"/>
      <c r="DB40" s="147"/>
      <c r="DF40" s="147"/>
      <c r="DG40" s="147"/>
      <c r="DH40" s="147"/>
      <c r="DL40" s="147"/>
      <c r="DM40" s="147"/>
      <c r="DN40" s="147"/>
      <c r="DR40" s="147"/>
      <c r="DS40" s="147"/>
      <c r="DT40" s="147"/>
      <c r="DX40" s="147"/>
      <c r="DY40" s="147"/>
      <c r="DZ40" s="147"/>
      <c r="ED40" s="147"/>
      <c r="EE40" s="147"/>
      <c r="EF40" s="147"/>
      <c r="EJ40" s="147"/>
      <c r="EK40" s="147"/>
      <c r="EL40" s="147"/>
      <c r="EP40" s="147"/>
      <c r="EQ40" s="147"/>
      <c r="ER40" s="147"/>
      <c r="EV40" s="147"/>
      <c r="EW40" s="147"/>
      <c r="EX40" s="147"/>
    </row>
    <row r="41" s="67" customFormat="1" ht="170.25" customHeight="1" spans="1:157">
      <c r="A41" s="140">
        <v>37</v>
      </c>
      <c r="B41" s="140"/>
      <c r="C41" s="141" t="s">
        <v>2419</v>
      </c>
      <c r="D41" s="141" t="s">
        <v>97</v>
      </c>
      <c r="E41" s="141" t="s">
        <v>88</v>
      </c>
      <c r="F41" s="141" t="s">
        <v>2011</v>
      </c>
      <c r="G41" s="141" t="s">
        <v>2427</v>
      </c>
      <c r="H41" s="141" t="s">
        <v>2428</v>
      </c>
      <c r="I41" s="145"/>
      <c r="J41" s="141" t="s">
        <v>1895</v>
      </c>
      <c r="K41" s="141" t="s">
        <v>310</v>
      </c>
      <c r="L41" s="141" t="s">
        <v>81</v>
      </c>
      <c r="M41" s="141" t="s">
        <v>2013</v>
      </c>
      <c r="N41" s="141" t="s">
        <v>2013</v>
      </c>
      <c r="O41" s="141" t="s">
        <v>369</v>
      </c>
      <c r="P41" s="141" t="s">
        <v>146</v>
      </c>
      <c r="Q41" s="141" t="s">
        <v>85</v>
      </c>
      <c r="R41" s="154" t="s">
        <v>1184</v>
      </c>
      <c r="S41" s="150" t="s">
        <v>2279</v>
      </c>
      <c r="T41" s="155" t="s">
        <v>2429</v>
      </c>
      <c r="U41" s="144"/>
      <c r="V41" s="144"/>
      <c r="W41" s="144"/>
      <c r="X41" s="145"/>
      <c r="Y41" s="145"/>
      <c r="Z41" s="145"/>
      <c r="AA41" s="144"/>
      <c r="AB41" s="144"/>
      <c r="AC41" s="144"/>
      <c r="AD41" s="145"/>
      <c r="AE41" s="145"/>
      <c r="AF41" s="145"/>
      <c r="AG41" s="144"/>
      <c r="AH41" s="144"/>
      <c r="AI41" s="144"/>
      <c r="AJ41" s="140"/>
      <c r="AK41" s="145"/>
      <c r="AL41" s="145"/>
      <c r="AM41" s="144"/>
      <c r="AN41" s="144"/>
      <c r="AO41" s="144"/>
      <c r="AP41" s="140"/>
      <c r="AQ41" s="145"/>
      <c r="AR41" s="146"/>
      <c r="AS41" s="144"/>
      <c r="AT41" s="140"/>
      <c r="AU41" s="145"/>
      <c r="AV41" s="144"/>
      <c r="AW41" s="144"/>
      <c r="AX41" s="158">
        <v>46105</v>
      </c>
      <c r="AY41" s="151" t="s">
        <v>2430</v>
      </c>
      <c r="AZ41" s="144"/>
      <c r="BA41" s="144"/>
      <c r="BD41" s="147"/>
      <c r="BE41" s="147"/>
      <c r="BH41" s="147"/>
      <c r="BI41" s="147"/>
      <c r="BL41" s="147"/>
      <c r="BM41" s="147"/>
      <c r="BP41" s="147"/>
      <c r="BQ41" s="147"/>
      <c r="BT41" s="147"/>
      <c r="BU41" s="147"/>
      <c r="BX41" s="147"/>
      <c r="BY41" s="147"/>
      <c r="CB41" s="147"/>
      <c r="CC41" s="147"/>
      <c r="CD41" s="147"/>
      <c r="CH41" s="147"/>
      <c r="CI41" s="147"/>
      <c r="CJ41" s="147"/>
      <c r="CN41" s="147"/>
      <c r="CO41" s="147"/>
      <c r="CP41" s="147"/>
      <c r="CT41" s="147"/>
      <c r="CU41" s="147"/>
      <c r="CV41" s="147"/>
      <c r="CZ41" s="147"/>
      <c r="DA41" s="147"/>
      <c r="DB41" s="147"/>
      <c r="DF41" s="147"/>
      <c r="DG41" s="147"/>
      <c r="DH41" s="147"/>
      <c r="DL41" s="147"/>
      <c r="DM41" s="147"/>
      <c r="DN41" s="147"/>
      <c r="DR41" s="147"/>
      <c r="DS41" s="147"/>
      <c r="DT41" s="147"/>
      <c r="DX41" s="147"/>
      <c r="DY41" s="147"/>
      <c r="DZ41" s="147"/>
      <c r="ED41" s="147"/>
      <c r="EE41" s="147"/>
      <c r="EF41" s="147"/>
      <c r="EJ41" s="147"/>
      <c r="EK41" s="147"/>
      <c r="EL41" s="147"/>
      <c r="EP41" s="147"/>
      <c r="EQ41" s="147"/>
      <c r="ER41" s="147"/>
      <c r="EV41" s="147"/>
      <c r="EW41" s="147"/>
      <c r="EX41" s="147"/>
    </row>
    <row r="42" s="67" customFormat="1" ht="79.25" customHeight="1" spans="1:157">
      <c r="A42" s="140">
        <v>38</v>
      </c>
      <c r="B42" s="140"/>
      <c r="C42" s="141" t="s">
        <v>2431</v>
      </c>
      <c r="D42" s="141" t="s">
        <v>97</v>
      </c>
      <c r="E42" s="141" t="s">
        <v>88</v>
      </c>
      <c r="F42" s="141" t="s">
        <v>2047</v>
      </c>
      <c r="G42" s="141" t="s">
        <v>2432</v>
      </c>
      <c r="H42" s="141" t="s">
        <v>2050</v>
      </c>
      <c r="I42" s="145">
        <v>18961168118</v>
      </c>
      <c r="J42" s="141" t="s">
        <v>520</v>
      </c>
      <c r="K42" s="141" t="s">
        <v>2295</v>
      </c>
      <c r="L42" s="141" t="s">
        <v>2433</v>
      </c>
      <c r="M42" s="140"/>
      <c r="N42" s="141" t="s">
        <v>2434</v>
      </c>
      <c r="O42" s="140"/>
      <c r="P42" s="141" t="s">
        <v>2435</v>
      </c>
      <c r="Q42" s="141" t="s">
        <v>97</v>
      </c>
      <c r="R42" s="154" t="s">
        <v>369</v>
      </c>
      <c r="S42" s="150"/>
      <c r="T42" s="155" t="s">
        <v>2436</v>
      </c>
      <c r="U42" s="144"/>
      <c r="V42" s="144"/>
      <c r="W42" s="144"/>
      <c r="X42" s="145"/>
      <c r="Y42" s="145"/>
      <c r="Z42" s="145"/>
      <c r="AA42" s="144"/>
      <c r="AB42" s="144"/>
      <c r="AC42" s="144"/>
      <c r="AD42" s="145"/>
      <c r="AE42" s="145"/>
      <c r="AF42" s="145"/>
      <c r="AG42" s="144"/>
      <c r="AH42" s="144"/>
      <c r="AI42" s="144"/>
      <c r="AJ42" s="140"/>
      <c r="AK42" s="145"/>
      <c r="AL42" s="145"/>
      <c r="AM42" s="144"/>
      <c r="AN42" s="144"/>
      <c r="AO42" s="144"/>
      <c r="AP42" s="140"/>
      <c r="AQ42" s="145"/>
      <c r="AR42" s="146"/>
      <c r="AS42" s="144"/>
      <c r="AT42" s="140"/>
      <c r="AU42" s="145"/>
      <c r="AV42" s="144"/>
      <c r="AW42" s="144"/>
      <c r="AX42" s="158">
        <v>46107</v>
      </c>
      <c r="AY42" s="151" t="s">
        <v>2436</v>
      </c>
      <c r="AZ42" s="144"/>
      <c r="BA42" s="144"/>
      <c r="BD42" s="147"/>
      <c r="BE42" s="147"/>
      <c r="BH42" s="147"/>
      <c r="BI42" s="147"/>
      <c r="BL42" s="147"/>
      <c r="BM42" s="147"/>
      <c r="BP42" s="147"/>
      <c r="BQ42" s="147"/>
      <c r="BT42" s="147"/>
      <c r="BU42" s="147"/>
      <c r="BX42" s="147"/>
      <c r="BY42" s="147"/>
      <c r="CB42" s="147"/>
      <c r="CC42" s="147"/>
      <c r="CD42" s="147"/>
      <c r="CH42" s="147"/>
      <c r="CI42" s="147"/>
      <c r="CJ42" s="147"/>
      <c r="CN42" s="147"/>
      <c r="CO42" s="147"/>
      <c r="CP42" s="147"/>
      <c r="CT42" s="147"/>
      <c r="CU42" s="147"/>
      <c r="CV42" s="147"/>
      <c r="CZ42" s="147"/>
      <c r="DA42" s="147"/>
      <c r="DB42" s="147"/>
      <c r="DF42" s="147"/>
      <c r="DG42" s="147"/>
      <c r="DH42" s="147"/>
      <c r="DL42" s="147"/>
      <c r="DM42" s="147"/>
      <c r="DN42" s="147"/>
      <c r="DR42" s="147"/>
      <c r="DS42" s="147"/>
      <c r="DT42" s="147"/>
      <c r="DX42" s="147"/>
      <c r="DY42" s="147"/>
      <c r="DZ42" s="147"/>
      <c r="ED42" s="147"/>
      <c r="EE42" s="147"/>
      <c r="EF42" s="147"/>
      <c r="EJ42" s="147"/>
      <c r="EK42" s="147"/>
      <c r="EL42" s="147"/>
      <c r="EP42" s="147"/>
      <c r="EQ42" s="147"/>
      <c r="ER42" s="147"/>
      <c r="EV42" s="147"/>
      <c r="EW42" s="147"/>
      <c r="EX42" s="147"/>
    </row>
    <row r="43" s="67" customFormat="1" ht="121" customHeight="1" spans="1:157">
      <c r="A43" s="140">
        <v>39</v>
      </c>
      <c r="B43" s="140"/>
      <c r="C43" s="141" t="s">
        <v>2431</v>
      </c>
      <c r="D43" s="141" t="s">
        <v>97</v>
      </c>
      <c r="E43" s="141" t="s">
        <v>88</v>
      </c>
      <c r="F43" s="141" t="s">
        <v>2039</v>
      </c>
      <c r="G43" s="141" t="s">
        <v>2437</v>
      </c>
      <c r="H43" s="141" t="s">
        <v>2041</v>
      </c>
      <c r="I43" s="145">
        <v>15195033367</v>
      </c>
      <c r="J43" s="141" t="s">
        <v>1895</v>
      </c>
      <c r="K43" s="141" t="s">
        <v>674</v>
      </c>
      <c r="L43" s="141" t="s">
        <v>586</v>
      </c>
      <c r="M43" s="141" t="s">
        <v>2438</v>
      </c>
      <c r="N43" s="141" t="s">
        <v>2438</v>
      </c>
      <c r="O43" s="141" t="s">
        <v>369</v>
      </c>
      <c r="P43" s="141" t="s">
        <v>146</v>
      </c>
      <c r="Q43" s="141" t="s">
        <v>85</v>
      </c>
      <c r="R43" s="154" t="s">
        <v>1184</v>
      </c>
      <c r="S43" s="150" t="s">
        <v>2417</v>
      </c>
      <c r="T43" s="155" t="s">
        <v>2439</v>
      </c>
      <c r="U43" s="144"/>
      <c r="V43" s="144"/>
      <c r="W43" s="144"/>
      <c r="X43" s="145"/>
      <c r="Y43" s="145"/>
      <c r="Z43" s="145"/>
      <c r="AA43" s="144"/>
      <c r="AB43" s="144"/>
      <c r="AC43" s="144"/>
      <c r="AD43" s="145"/>
      <c r="AE43" s="145"/>
      <c r="AF43" s="145"/>
      <c r="AG43" s="144"/>
      <c r="AH43" s="144"/>
      <c r="AI43" s="144"/>
      <c r="AJ43" s="140"/>
      <c r="AK43" s="145"/>
      <c r="AL43" s="145"/>
      <c r="AM43" s="144"/>
      <c r="AN43" s="144"/>
      <c r="AO43" s="144"/>
      <c r="AP43" s="140"/>
      <c r="AQ43" s="145"/>
      <c r="AR43" s="146"/>
      <c r="AS43" s="144"/>
      <c r="AT43" s="140"/>
      <c r="AU43" s="145"/>
      <c r="AV43" s="144"/>
      <c r="AW43" s="144"/>
      <c r="AX43" s="158">
        <v>46107</v>
      </c>
      <c r="AY43" s="151" t="s">
        <v>2440</v>
      </c>
      <c r="AZ43" s="144"/>
      <c r="BA43" s="144"/>
      <c r="BD43" s="147"/>
      <c r="BE43" s="147"/>
      <c r="BH43" s="147"/>
      <c r="BI43" s="147"/>
      <c r="BL43" s="147"/>
      <c r="BM43" s="147"/>
      <c r="BP43" s="147"/>
      <c r="BQ43" s="147"/>
      <c r="BT43" s="147"/>
      <c r="BU43" s="147"/>
      <c r="BX43" s="147"/>
      <c r="BY43" s="147"/>
      <c r="CB43" s="147"/>
      <c r="CC43" s="147"/>
      <c r="CD43" s="147"/>
      <c r="CH43" s="147"/>
      <c r="CI43" s="147"/>
      <c r="CJ43" s="147"/>
      <c r="CN43" s="147"/>
      <c r="CO43" s="147"/>
      <c r="CP43" s="147"/>
      <c r="CT43" s="147"/>
      <c r="CU43" s="147"/>
      <c r="CV43" s="147"/>
      <c r="CZ43" s="147"/>
      <c r="DA43" s="147"/>
      <c r="DB43" s="147"/>
      <c r="DF43" s="147"/>
      <c r="DG43" s="147"/>
      <c r="DH43" s="147"/>
      <c r="DL43" s="147"/>
      <c r="DM43" s="147"/>
      <c r="DN43" s="147"/>
      <c r="DR43" s="147"/>
      <c r="DS43" s="147"/>
      <c r="DT43" s="147"/>
      <c r="DX43" s="147"/>
      <c r="DY43" s="147"/>
      <c r="DZ43" s="147"/>
      <c r="ED43" s="147"/>
      <c r="EE43" s="147"/>
      <c r="EF43" s="147"/>
      <c r="EJ43" s="147"/>
      <c r="EK43" s="147"/>
      <c r="EL43" s="147"/>
      <c r="EP43" s="147"/>
      <c r="EQ43" s="147"/>
      <c r="ER43" s="147"/>
      <c r="EV43" s="147"/>
      <c r="EW43" s="147"/>
      <c r="EX43" s="147"/>
    </row>
    <row r="44" s="67" customFormat="1" ht="159.75" customHeight="1" spans="1:157">
      <c r="A44" s="140">
        <v>40</v>
      </c>
      <c r="B44" s="140"/>
      <c r="C44" s="141" t="s">
        <v>2441</v>
      </c>
      <c r="D44" s="141" t="s">
        <v>85</v>
      </c>
      <c r="E44" s="141" t="s">
        <v>88</v>
      </c>
      <c r="F44" s="141" t="s">
        <v>2020</v>
      </c>
      <c r="G44" s="140" t="s">
        <v>2021</v>
      </c>
      <c r="H44" s="141" t="s">
        <v>2024</v>
      </c>
      <c r="I44" s="145">
        <v>13358185881</v>
      </c>
      <c r="J44" s="141" t="s">
        <v>1895</v>
      </c>
      <c r="K44" s="141" t="s">
        <v>674</v>
      </c>
      <c r="L44" s="141" t="s">
        <v>2026</v>
      </c>
      <c r="M44" s="141" t="s">
        <v>2442</v>
      </c>
      <c r="N44" s="141" t="s">
        <v>2442</v>
      </c>
      <c r="O44" s="141" t="s">
        <v>369</v>
      </c>
      <c r="P44" s="141" t="s">
        <v>146</v>
      </c>
      <c r="Q44" s="141" t="s">
        <v>85</v>
      </c>
      <c r="R44" s="154" t="s">
        <v>1184</v>
      </c>
      <c r="S44" s="150" t="s">
        <v>2417</v>
      </c>
      <c r="T44" s="155" t="s">
        <v>2439</v>
      </c>
      <c r="U44" s="144"/>
      <c r="V44" s="144"/>
      <c r="W44" s="144"/>
      <c r="X44" s="145"/>
      <c r="Y44" s="145"/>
      <c r="Z44" s="145"/>
      <c r="AA44" s="144"/>
      <c r="AB44" s="144"/>
      <c r="AC44" s="144"/>
      <c r="AD44" s="145"/>
      <c r="AE44" s="145"/>
      <c r="AF44" s="145"/>
      <c r="AG44" s="144"/>
      <c r="AH44" s="144"/>
      <c r="AI44" s="144"/>
      <c r="AJ44" s="140"/>
      <c r="AK44" s="145"/>
      <c r="AL44" s="145"/>
      <c r="AM44" s="144"/>
      <c r="AN44" s="144"/>
      <c r="AO44" s="144"/>
      <c r="AP44" s="140"/>
      <c r="AQ44" s="145"/>
      <c r="AR44" s="146"/>
      <c r="AS44" s="144"/>
      <c r="AT44" s="140"/>
      <c r="AU44" s="145"/>
      <c r="AV44" s="144"/>
      <c r="AW44" s="144"/>
      <c r="AX44" s="158">
        <v>46108</v>
      </c>
      <c r="AY44" s="151" t="s">
        <v>2027</v>
      </c>
      <c r="AZ44" s="144"/>
      <c r="BA44" s="144"/>
      <c r="BD44" s="147"/>
      <c r="BE44" s="147"/>
      <c r="BH44" s="147"/>
      <c r="BI44" s="147"/>
      <c r="BL44" s="147"/>
      <c r="BM44" s="147"/>
      <c r="BP44" s="147"/>
      <c r="BQ44" s="147"/>
      <c r="BT44" s="147"/>
      <c r="BU44" s="147"/>
      <c r="BX44" s="147"/>
      <c r="BY44" s="147"/>
      <c r="CB44" s="147"/>
      <c r="CC44" s="147"/>
      <c r="CD44" s="147"/>
      <c r="CH44" s="147"/>
      <c r="CI44" s="147"/>
      <c r="CJ44" s="147"/>
      <c r="CN44" s="147"/>
      <c r="CO44" s="147"/>
      <c r="CP44" s="147"/>
      <c r="CT44" s="147"/>
      <c r="CU44" s="147"/>
      <c r="CV44" s="147"/>
      <c r="CZ44" s="147"/>
      <c r="DA44" s="147"/>
      <c r="DB44" s="147"/>
      <c r="DF44" s="147"/>
      <c r="DG44" s="147"/>
      <c r="DH44" s="147"/>
      <c r="DL44" s="147"/>
      <c r="DM44" s="147"/>
      <c r="DN44" s="147"/>
      <c r="DR44" s="147"/>
      <c r="DS44" s="147"/>
      <c r="DT44" s="147"/>
      <c r="DX44" s="147"/>
      <c r="DY44" s="147"/>
      <c r="DZ44" s="147"/>
      <c r="ED44" s="147"/>
      <c r="EE44" s="147"/>
      <c r="EF44" s="147"/>
      <c r="EJ44" s="147"/>
      <c r="EK44" s="147"/>
      <c r="EL44" s="147"/>
      <c r="EP44" s="147"/>
      <c r="EQ44" s="147"/>
      <c r="ER44" s="147"/>
      <c r="EV44" s="147"/>
      <c r="EW44" s="147"/>
      <c r="EX44" s="147"/>
    </row>
    <row r="45" s="67" customFormat="1" ht="179" customHeight="1" spans="1:157">
      <c r="A45" s="140">
        <v>41</v>
      </c>
      <c r="B45" s="140"/>
      <c r="C45" s="141" t="s">
        <v>2443</v>
      </c>
      <c r="D45" s="141" t="s">
        <v>97</v>
      </c>
      <c r="E45" s="141" t="s">
        <v>88</v>
      </c>
      <c r="F45" s="141" t="s">
        <v>2060</v>
      </c>
      <c r="G45" s="141" t="s">
        <v>2444</v>
      </c>
      <c r="H45" s="141" t="s">
        <v>2062</v>
      </c>
      <c r="I45" s="145">
        <v>17305198325</v>
      </c>
      <c r="J45" s="141" t="s">
        <v>1895</v>
      </c>
      <c r="K45" s="141" t="s">
        <v>674</v>
      </c>
      <c r="L45" s="141" t="s">
        <v>2445</v>
      </c>
      <c r="M45" s="141" t="s">
        <v>2446</v>
      </c>
      <c r="N45" s="141" t="s">
        <v>2446</v>
      </c>
      <c r="O45" s="141" t="s">
        <v>369</v>
      </c>
      <c r="P45" s="141" t="s">
        <v>2423</v>
      </c>
      <c r="Q45" s="141" t="s">
        <v>85</v>
      </c>
      <c r="R45" s="154" t="s">
        <v>2447</v>
      </c>
      <c r="S45" s="150" t="s">
        <v>2417</v>
      </c>
      <c r="T45" s="155" t="s">
        <v>2448</v>
      </c>
      <c r="U45" s="144"/>
      <c r="V45" s="144"/>
      <c r="W45" s="144"/>
      <c r="X45" s="145"/>
      <c r="Y45" s="145"/>
      <c r="Z45" s="145"/>
      <c r="AA45" s="144"/>
      <c r="AB45" s="144"/>
      <c r="AC45" s="144"/>
      <c r="AD45" s="145"/>
      <c r="AE45" s="145"/>
      <c r="AF45" s="145"/>
      <c r="AG45" s="144"/>
      <c r="AH45" s="144"/>
      <c r="AI45" s="144"/>
      <c r="AJ45" s="140"/>
      <c r="AK45" s="145"/>
      <c r="AL45" s="145"/>
      <c r="AM45" s="144"/>
      <c r="AN45" s="144"/>
      <c r="AO45" s="144"/>
      <c r="AP45" s="140"/>
      <c r="AQ45" s="145"/>
      <c r="AR45" s="146"/>
      <c r="AS45" s="144"/>
      <c r="AT45" s="140"/>
      <c r="AU45" s="145"/>
      <c r="AV45" s="144"/>
      <c r="AW45" s="144"/>
      <c r="AX45" s="145"/>
      <c r="AY45" s="145"/>
      <c r="AZ45" s="159">
        <v>46113</v>
      </c>
      <c r="BA45" s="153" t="s">
        <v>2449</v>
      </c>
      <c r="BD45" s="147"/>
      <c r="BE45" s="147"/>
      <c r="BH45" s="147"/>
      <c r="BI45" s="147"/>
      <c r="BL45" s="147"/>
      <c r="BM45" s="147"/>
      <c r="BP45" s="147"/>
      <c r="BQ45" s="147"/>
      <c r="BT45" s="147"/>
      <c r="BU45" s="147"/>
      <c r="BX45" s="147"/>
      <c r="BY45" s="147"/>
      <c r="CB45" s="147"/>
      <c r="CC45" s="147"/>
      <c r="CD45" s="147"/>
      <c r="CH45" s="147"/>
      <c r="CI45" s="147"/>
      <c r="CJ45" s="147"/>
      <c r="CN45" s="147"/>
      <c r="CO45" s="147"/>
      <c r="CP45" s="147"/>
      <c r="CT45" s="147"/>
      <c r="CU45" s="147"/>
      <c r="CV45" s="147"/>
      <c r="CZ45" s="147"/>
      <c r="DA45" s="147"/>
      <c r="DB45" s="147"/>
      <c r="DF45" s="147"/>
      <c r="DG45" s="147"/>
      <c r="DH45" s="147"/>
      <c r="DL45" s="147"/>
      <c r="DM45" s="147"/>
      <c r="DN45" s="147"/>
      <c r="DR45" s="147"/>
      <c r="DS45" s="147"/>
      <c r="DT45" s="147"/>
      <c r="DX45" s="147"/>
      <c r="DY45" s="147"/>
      <c r="DZ45" s="147"/>
      <c r="ED45" s="147"/>
      <c r="EE45" s="147"/>
      <c r="EF45" s="147"/>
      <c r="EJ45" s="147"/>
      <c r="EK45" s="147"/>
      <c r="EL45" s="147"/>
      <c r="EP45" s="147"/>
      <c r="EQ45" s="147"/>
      <c r="ER45" s="147"/>
      <c r="EV45" s="147"/>
      <c r="EW45" s="147"/>
      <c r="EX45" s="147"/>
    </row>
    <row r="46" s="67" customFormat="1" ht="48" customHeight="1" spans="1:157">
      <c r="A46" s="140">
        <v>42</v>
      </c>
      <c r="B46" s="140"/>
      <c r="C46" s="141" t="s">
        <v>2399</v>
      </c>
      <c r="D46" s="141" t="s">
        <v>97</v>
      </c>
      <c r="E46" s="141" t="s">
        <v>88</v>
      </c>
      <c r="F46" s="141" t="s">
        <v>2450</v>
      </c>
      <c r="G46" s="141" t="s">
        <v>2451</v>
      </c>
      <c r="H46" s="141" t="s">
        <v>2452</v>
      </c>
      <c r="I46" s="145">
        <v>13775007830</v>
      </c>
      <c r="J46" s="141" t="s">
        <v>1895</v>
      </c>
      <c r="K46" s="141" t="s">
        <v>674</v>
      </c>
      <c r="L46" s="140"/>
      <c r="M46" s="140"/>
      <c r="N46" s="140"/>
      <c r="O46" s="140"/>
      <c r="P46" s="140"/>
      <c r="Q46" s="140"/>
      <c r="R46" s="150"/>
      <c r="S46" s="150"/>
      <c r="T46" s="145"/>
      <c r="U46" s="144"/>
      <c r="V46" s="144"/>
      <c r="W46" s="144"/>
      <c r="X46" s="145"/>
      <c r="Y46" s="145"/>
      <c r="Z46" s="145"/>
      <c r="AA46" s="144"/>
      <c r="AB46" s="144"/>
      <c r="AC46" s="144"/>
      <c r="AD46" s="145"/>
      <c r="AE46" s="145"/>
      <c r="AF46" s="145"/>
      <c r="AG46" s="144"/>
      <c r="AH46" s="144"/>
      <c r="AI46" s="144"/>
      <c r="AJ46" s="140"/>
      <c r="AK46" s="145"/>
      <c r="AL46" s="145"/>
      <c r="AM46" s="144"/>
      <c r="AN46" s="144"/>
      <c r="AO46" s="144"/>
      <c r="AP46" s="140"/>
      <c r="AQ46" s="145"/>
      <c r="AR46" s="146"/>
      <c r="AS46" s="144"/>
      <c r="AT46" s="140"/>
      <c r="AU46" s="145"/>
      <c r="AV46" s="144"/>
      <c r="AW46" s="144"/>
      <c r="AX46" s="145"/>
      <c r="AY46" s="145"/>
      <c r="AZ46" s="144"/>
      <c r="BA46" s="144"/>
      <c r="BD46" s="147"/>
      <c r="BE46" s="147"/>
      <c r="BH46" s="147"/>
      <c r="BI46" s="147"/>
      <c r="BL46" s="147"/>
      <c r="BM46" s="147"/>
      <c r="BP46" s="147"/>
      <c r="BQ46" s="147"/>
      <c r="BT46" s="147"/>
      <c r="BU46" s="147"/>
      <c r="BX46" s="147"/>
      <c r="BY46" s="147"/>
      <c r="CB46" s="147"/>
      <c r="CC46" s="147"/>
      <c r="CD46" s="147"/>
      <c r="CH46" s="147"/>
      <c r="CI46" s="147"/>
      <c r="CJ46" s="147"/>
      <c r="CN46" s="147"/>
      <c r="CO46" s="147"/>
      <c r="CP46" s="147"/>
      <c r="CT46" s="147"/>
      <c r="CU46" s="147"/>
      <c r="CV46" s="147"/>
      <c r="CZ46" s="147"/>
      <c r="DA46" s="147"/>
      <c r="DB46" s="147"/>
      <c r="DF46" s="147"/>
      <c r="DG46" s="147"/>
      <c r="DH46" s="147"/>
      <c r="DL46" s="147"/>
      <c r="DM46" s="147"/>
      <c r="DN46" s="147"/>
      <c r="DR46" s="147"/>
      <c r="DS46" s="147"/>
      <c r="DT46" s="147"/>
      <c r="DX46" s="147"/>
      <c r="DY46" s="147"/>
      <c r="DZ46" s="147"/>
      <c r="ED46" s="147"/>
      <c r="EE46" s="147"/>
      <c r="EF46" s="147"/>
      <c r="EJ46" s="147"/>
      <c r="EK46" s="147"/>
      <c r="EL46" s="147"/>
      <c r="EP46" s="147"/>
      <c r="EQ46" s="147"/>
      <c r="ER46" s="147"/>
      <c r="EV46" s="147"/>
      <c r="EW46" s="147"/>
      <c r="EX46" s="147"/>
    </row>
    <row r="47" s="67" customFormat="1" ht="48" customHeight="1" spans="1:157">
      <c r="A47" s="140"/>
      <c r="B47" s="140"/>
      <c r="C47" s="140"/>
      <c r="D47" s="140"/>
      <c r="E47" s="140"/>
      <c r="F47" s="140"/>
      <c r="G47" s="140"/>
      <c r="H47" s="140"/>
      <c r="I47" s="145"/>
      <c r="J47" s="140"/>
      <c r="K47" s="140"/>
      <c r="L47" s="140"/>
      <c r="M47" s="140"/>
      <c r="N47" s="140"/>
      <c r="O47" s="140"/>
      <c r="P47" s="140"/>
      <c r="Q47" s="140"/>
      <c r="R47" s="150"/>
      <c r="S47" s="150"/>
      <c r="T47" s="145"/>
      <c r="U47" s="144"/>
      <c r="V47" s="144"/>
      <c r="W47" s="144"/>
      <c r="X47" s="145"/>
      <c r="Y47" s="145"/>
      <c r="Z47" s="145"/>
      <c r="AA47" s="144"/>
      <c r="AB47" s="144"/>
      <c r="AC47" s="144"/>
      <c r="AD47" s="145"/>
      <c r="AE47" s="145"/>
      <c r="AF47" s="145"/>
      <c r="AG47" s="144"/>
      <c r="AH47" s="144"/>
      <c r="AI47" s="144"/>
      <c r="AJ47" s="140"/>
      <c r="AK47" s="145"/>
      <c r="AL47" s="145"/>
      <c r="AM47" s="144"/>
      <c r="AN47" s="144"/>
      <c r="AO47" s="144"/>
      <c r="AP47" s="140"/>
      <c r="AQ47" s="145"/>
      <c r="AR47" s="146"/>
      <c r="AS47" s="144"/>
      <c r="AT47" s="140"/>
      <c r="AU47" s="145"/>
      <c r="AV47" s="144"/>
      <c r="AW47" s="144"/>
      <c r="AX47" s="145"/>
      <c r="AY47" s="145"/>
      <c r="AZ47" s="144"/>
      <c r="BA47" s="144"/>
      <c r="BD47" s="147"/>
      <c r="BE47" s="147"/>
      <c r="BH47" s="147"/>
      <c r="BI47" s="147"/>
      <c r="BL47" s="147"/>
      <c r="BM47" s="147"/>
      <c r="BP47" s="147"/>
      <c r="BQ47" s="147"/>
      <c r="BT47" s="147"/>
      <c r="BU47" s="147"/>
      <c r="BX47" s="147"/>
      <c r="BY47" s="147"/>
      <c r="CB47" s="147"/>
      <c r="CC47" s="147"/>
      <c r="CD47" s="147"/>
      <c r="CH47" s="147"/>
      <c r="CI47" s="147"/>
      <c r="CJ47" s="147"/>
      <c r="CN47" s="147"/>
      <c r="CO47" s="147"/>
      <c r="CP47" s="147"/>
      <c r="CT47" s="147"/>
      <c r="CU47" s="147"/>
      <c r="CV47" s="147"/>
      <c r="CZ47" s="147"/>
      <c r="DA47" s="147"/>
      <c r="DB47" s="147"/>
      <c r="DF47" s="147"/>
      <c r="DG47" s="147"/>
      <c r="DH47" s="147"/>
      <c r="DL47" s="147"/>
      <c r="DM47" s="147"/>
      <c r="DN47" s="147"/>
      <c r="DR47" s="147"/>
      <c r="DS47" s="147"/>
      <c r="DT47" s="147"/>
      <c r="DX47" s="147"/>
      <c r="DY47" s="147"/>
      <c r="DZ47" s="147"/>
      <c r="ED47" s="147"/>
      <c r="EE47" s="147"/>
      <c r="EF47" s="147"/>
      <c r="EJ47" s="147"/>
      <c r="EK47" s="147"/>
      <c r="EL47" s="147"/>
      <c r="EP47" s="147"/>
      <c r="EQ47" s="147"/>
      <c r="ER47" s="147"/>
      <c r="EV47" s="147"/>
      <c r="EW47" s="147"/>
      <c r="EX47" s="147"/>
    </row>
    <row r="48" s="67" customFormat="1" ht="48" customHeight="1" spans="1:157">
      <c r="A48" s="140"/>
      <c r="B48" s="140"/>
      <c r="C48" s="140"/>
      <c r="D48" s="140"/>
      <c r="E48" s="140"/>
      <c r="F48" s="140"/>
      <c r="G48" s="140"/>
      <c r="H48" s="140"/>
      <c r="I48" s="145"/>
      <c r="J48" s="140"/>
      <c r="K48" s="140"/>
      <c r="L48" s="140"/>
      <c r="M48" s="140"/>
      <c r="N48" s="140"/>
      <c r="O48" s="140"/>
      <c r="P48" s="140"/>
      <c r="Q48" s="140"/>
      <c r="R48" s="150"/>
      <c r="S48" s="150"/>
      <c r="T48" s="145"/>
      <c r="U48" s="144"/>
      <c r="V48" s="144"/>
      <c r="W48" s="144"/>
      <c r="X48" s="145"/>
      <c r="Y48" s="145"/>
      <c r="Z48" s="145"/>
      <c r="AA48" s="144"/>
      <c r="AB48" s="144"/>
      <c r="AC48" s="144"/>
      <c r="AD48" s="145"/>
      <c r="AE48" s="145"/>
      <c r="AF48" s="145"/>
      <c r="AG48" s="144"/>
      <c r="AH48" s="144"/>
      <c r="AI48" s="144"/>
      <c r="AJ48" s="140"/>
      <c r="AK48" s="145"/>
      <c r="AL48" s="145"/>
      <c r="AM48" s="144"/>
      <c r="AN48" s="144"/>
      <c r="AO48" s="144"/>
      <c r="AP48" s="140"/>
      <c r="AQ48" s="145"/>
      <c r="AR48" s="146"/>
      <c r="AS48" s="144"/>
      <c r="AT48" s="140"/>
      <c r="AU48" s="145"/>
      <c r="AV48" s="144"/>
      <c r="AW48" s="144"/>
      <c r="AX48" s="145"/>
      <c r="AY48" s="145"/>
      <c r="AZ48" s="144"/>
      <c r="BA48" s="144"/>
      <c r="BD48" s="147"/>
      <c r="BE48" s="147"/>
      <c r="BH48" s="147"/>
      <c r="BI48" s="147"/>
      <c r="BL48" s="147"/>
      <c r="BM48" s="147"/>
      <c r="BP48" s="147"/>
      <c r="BQ48" s="147"/>
      <c r="BT48" s="147"/>
      <c r="BU48" s="147"/>
      <c r="BX48" s="147"/>
      <c r="BY48" s="147"/>
      <c r="CB48" s="147"/>
      <c r="CC48" s="147"/>
      <c r="CD48" s="147"/>
      <c r="CH48" s="147"/>
      <c r="CI48" s="147"/>
      <c r="CJ48" s="147"/>
      <c r="CN48" s="147"/>
      <c r="CO48" s="147"/>
      <c r="CP48" s="147"/>
      <c r="CT48" s="147"/>
      <c r="CU48" s="147"/>
      <c r="CV48" s="147"/>
      <c r="CZ48" s="147"/>
      <c r="DA48" s="147"/>
      <c r="DB48" s="147"/>
      <c r="DF48" s="147"/>
      <c r="DG48" s="147"/>
      <c r="DH48" s="147"/>
      <c r="DL48" s="147"/>
      <c r="DM48" s="147"/>
      <c r="DN48" s="147"/>
      <c r="DR48" s="147"/>
      <c r="DS48" s="147"/>
      <c r="DT48" s="147"/>
      <c r="DX48" s="147"/>
      <c r="DY48" s="147"/>
      <c r="DZ48" s="147"/>
      <c r="ED48" s="147"/>
      <c r="EE48" s="147"/>
      <c r="EF48" s="147"/>
      <c r="EJ48" s="147"/>
      <c r="EK48" s="147"/>
      <c r="EL48" s="147"/>
      <c r="EP48" s="147"/>
      <c r="EQ48" s="147"/>
      <c r="ER48" s="147"/>
      <c r="EV48" s="147"/>
      <c r="EW48" s="147"/>
      <c r="EX48" s="147"/>
    </row>
    <row r="49" s="67" customFormat="1" ht="48" customHeight="1" spans="1:154">
      <c r="A49" s="140"/>
      <c r="B49" s="140"/>
      <c r="C49" s="140"/>
      <c r="D49" s="140"/>
      <c r="E49" s="140"/>
      <c r="F49" s="140"/>
      <c r="G49" s="140"/>
      <c r="H49" s="140"/>
      <c r="I49" s="145"/>
      <c r="J49" s="140"/>
      <c r="K49" s="140"/>
      <c r="L49" s="140"/>
      <c r="M49" s="140"/>
      <c r="N49" s="140"/>
      <c r="O49" s="140"/>
      <c r="P49" s="140"/>
      <c r="Q49" s="140"/>
      <c r="R49" s="150"/>
      <c r="S49" s="150"/>
      <c r="T49" s="145"/>
      <c r="U49" s="144"/>
      <c r="V49" s="144"/>
      <c r="W49" s="144"/>
      <c r="X49" s="145"/>
      <c r="Y49" s="145"/>
      <c r="Z49" s="145"/>
      <c r="AA49" s="144"/>
      <c r="AB49" s="144"/>
      <c r="AC49" s="144"/>
      <c r="AD49" s="145"/>
      <c r="AE49" s="145"/>
      <c r="AF49" s="145"/>
      <c r="AG49" s="144"/>
      <c r="AH49" s="144"/>
      <c r="AI49" s="144"/>
      <c r="AJ49" s="140"/>
      <c r="AK49" s="145"/>
      <c r="AL49" s="145"/>
      <c r="AM49" s="144"/>
      <c r="AN49" s="144"/>
      <c r="AO49" s="144"/>
      <c r="AP49" s="140"/>
      <c r="AQ49" s="145"/>
      <c r="AR49" s="146"/>
      <c r="AS49" s="144"/>
      <c r="AT49" s="140"/>
      <c r="AU49" s="145"/>
      <c r="AV49" s="144"/>
      <c r="AW49" s="144"/>
      <c r="AX49" s="145"/>
      <c r="AY49" s="145"/>
      <c r="AZ49" s="144"/>
      <c r="BA49" s="144"/>
      <c r="BD49" s="147"/>
      <c r="BE49" s="147"/>
      <c r="BH49" s="147"/>
      <c r="BI49" s="147"/>
      <c r="BL49" s="147"/>
      <c r="BM49" s="147"/>
      <c r="BP49" s="147"/>
      <c r="BQ49" s="147"/>
      <c r="BT49" s="147"/>
      <c r="BU49" s="147"/>
      <c r="BX49" s="147"/>
      <c r="BY49" s="147"/>
      <c r="CB49" s="147"/>
      <c r="CC49" s="147"/>
      <c r="CD49" s="147"/>
      <c r="CH49" s="147"/>
      <c r="CI49" s="147"/>
      <c r="CJ49" s="147"/>
      <c r="CN49" s="147"/>
      <c r="CO49" s="147"/>
      <c r="CP49" s="147"/>
      <c r="CT49" s="147"/>
      <c r="CU49" s="147"/>
      <c r="CV49" s="147"/>
      <c r="CZ49" s="147"/>
      <c r="DA49" s="147"/>
      <c r="DB49" s="147"/>
      <c r="DF49" s="147"/>
      <c r="DG49" s="147"/>
      <c r="DH49" s="147"/>
      <c r="DL49" s="147"/>
      <c r="DM49" s="147"/>
      <c r="DN49" s="147"/>
      <c r="DR49" s="147"/>
      <c r="DS49" s="147"/>
      <c r="DT49" s="147"/>
      <c r="DX49" s="147"/>
      <c r="DY49" s="147"/>
      <c r="DZ49" s="147"/>
      <c r="ED49" s="147"/>
      <c r="EE49" s="147"/>
      <c r="EF49" s="147"/>
      <c r="EJ49" s="147"/>
      <c r="EK49" s="147"/>
      <c r="EL49" s="147"/>
      <c r="EP49" s="147"/>
      <c r="EQ49" s="147"/>
      <c r="ER49" s="147"/>
      <c r="EV49" s="147"/>
      <c r="EW49" s="147"/>
      <c r="EX49" s="147"/>
    </row>
    <row r="50" s="67" customFormat="1" ht="48" customHeight="1" spans="1:154">
      <c r="A50" s="140"/>
      <c r="B50" s="140"/>
      <c r="C50" s="140"/>
      <c r="D50" s="140"/>
      <c r="E50" s="140"/>
      <c r="F50" s="140"/>
      <c r="G50" s="140"/>
      <c r="H50" s="140"/>
      <c r="I50" s="145"/>
      <c r="J50" s="140"/>
      <c r="K50" s="140"/>
      <c r="L50" s="140"/>
      <c r="M50" s="140"/>
      <c r="N50" s="140"/>
      <c r="O50" s="140"/>
      <c r="P50" s="140"/>
      <c r="Q50" s="140"/>
      <c r="R50" s="150"/>
      <c r="S50" s="150"/>
      <c r="T50" s="145"/>
      <c r="U50" s="144"/>
      <c r="V50" s="144"/>
      <c r="W50" s="144"/>
      <c r="X50" s="145"/>
      <c r="Y50" s="145"/>
      <c r="Z50" s="145"/>
      <c r="AA50" s="144"/>
      <c r="AB50" s="144"/>
      <c r="AC50" s="144"/>
      <c r="AD50" s="145"/>
      <c r="AE50" s="145"/>
      <c r="AF50" s="145"/>
      <c r="AG50" s="144"/>
      <c r="AH50" s="144"/>
      <c r="AI50" s="144"/>
      <c r="AJ50" s="140"/>
      <c r="AK50" s="145"/>
      <c r="AL50" s="145"/>
      <c r="AM50" s="144"/>
      <c r="AN50" s="144"/>
      <c r="AO50" s="144"/>
      <c r="AP50" s="140"/>
      <c r="AQ50" s="145"/>
      <c r="AR50" s="146"/>
      <c r="AS50" s="144"/>
      <c r="AT50" s="140"/>
      <c r="AU50" s="145"/>
      <c r="AV50" s="144"/>
      <c r="AW50" s="144"/>
      <c r="AX50" s="145"/>
      <c r="AY50" s="145"/>
      <c r="AZ50" s="144"/>
      <c r="BA50" s="144"/>
      <c r="BD50" s="147"/>
      <c r="BE50" s="147"/>
      <c r="BH50" s="147"/>
      <c r="BI50" s="147"/>
      <c r="BL50" s="147"/>
      <c r="BM50" s="147"/>
      <c r="BP50" s="147"/>
      <c r="BQ50" s="147"/>
      <c r="BT50" s="147"/>
      <c r="BU50" s="147"/>
      <c r="BX50" s="147"/>
      <c r="BY50" s="147"/>
      <c r="CB50" s="147"/>
      <c r="CC50" s="147"/>
      <c r="CD50" s="147"/>
      <c r="CH50" s="147"/>
      <c r="CI50" s="147"/>
      <c r="CJ50" s="147"/>
      <c r="CN50" s="147"/>
      <c r="CO50" s="147"/>
      <c r="CP50" s="147"/>
      <c r="CT50" s="147"/>
      <c r="CU50" s="147"/>
      <c r="CV50" s="147"/>
      <c r="CZ50" s="147"/>
      <c r="DA50" s="147"/>
      <c r="DB50" s="147"/>
      <c r="DF50" s="147"/>
      <c r="DG50" s="147"/>
      <c r="DH50" s="147"/>
      <c r="DL50" s="147"/>
      <c r="DM50" s="147"/>
      <c r="DN50" s="147"/>
      <c r="DR50" s="147"/>
      <c r="DS50" s="147"/>
      <c r="DT50" s="147"/>
      <c r="DX50" s="147"/>
      <c r="DY50" s="147"/>
      <c r="DZ50" s="147"/>
      <c r="ED50" s="147"/>
      <c r="EE50" s="147"/>
      <c r="EF50" s="147"/>
      <c r="EJ50" s="147"/>
      <c r="EK50" s="147"/>
      <c r="EL50" s="147"/>
      <c r="EP50" s="147"/>
      <c r="EQ50" s="147"/>
      <c r="ER50" s="147"/>
      <c r="EV50" s="147"/>
      <c r="EW50" s="147"/>
      <c r="EX50" s="147"/>
    </row>
    <row r="51" s="67" customFormat="1" ht="48" customHeight="1" spans="1:154">
      <c r="A51" s="160"/>
      <c r="B51" s="160"/>
      <c r="C51" s="160"/>
      <c r="D51" s="160"/>
      <c r="E51" s="160"/>
      <c r="F51" s="160"/>
      <c r="G51" s="160"/>
      <c r="H51" s="160"/>
      <c r="J51" s="160"/>
      <c r="K51" s="160"/>
      <c r="L51" s="160"/>
      <c r="M51" s="160"/>
      <c r="N51" s="160"/>
      <c r="O51" s="160"/>
      <c r="P51" s="160"/>
      <c r="Q51" s="160"/>
      <c r="R51" s="161"/>
      <c r="S51" s="162"/>
      <c r="U51" s="147"/>
      <c r="V51" s="147"/>
      <c r="W51" s="147"/>
      <c r="AA51" s="147"/>
      <c r="AB51" s="147"/>
      <c r="AC51" s="147"/>
      <c r="AG51" s="147"/>
      <c r="AH51" s="147"/>
      <c r="AI51" s="147"/>
      <c r="AJ51" s="160"/>
      <c r="AM51" s="147"/>
      <c r="AN51" s="147"/>
      <c r="AO51" s="147"/>
      <c r="AP51" s="160"/>
      <c r="AR51" s="163"/>
      <c r="AS51" s="147"/>
      <c r="AT51" s="160"/>
      <c r="AV51" s="147"/>
      <c r="AW51" s="147"/>
      <c r="AZ51" s="147"/>
      <c r="BA51" s="147"/>
      <c r="BD51" s="147"/>
      <c r="BE51" s="147"/>
      <c r="BH51" s="147"/>
      <c r="BI51" s="147"/>
      <c r="BL51" s="147"/>
      <c r="BM51" s="147"/>
      <c r="BP51" s="147"/>
      <c r="BQ51" s="147"/>
      <c r="BT51" s="147"/>
      <c r="BU51" s="147"/>
      <c r="BX51" s="147"/>
      <c r="BY51" s="147"/>
      <c r="CB51" s="147"/>
      <c r="CC51" s="147"/>
      <c r="CD51" s="147"/>
      <c r="CH51" s="147"/>
      <c r="CI51" s="147"/>
      <c r="CJ51" s="147"/>
      <c r="CN51" s="147"/>
      <c r="CO51" s="147"/>
      <c r="CP51" s="147"/>
      <c r="CT51" s="147"/>
      <c r="CU51" s="147"/>
      <c r="CV51" s="147"/>
      <c r="CZ51" s="147"/>
      <c r="DA51" s="147"/>
      <c r="DB51" s="147"/>
      <c r="DF51" s="147"/>
      <c r="DG51" s="147"/>
      <c r="DH51" s="147"/>
      <c r="DL51" s="147"/>
      <c r="DM51" s="147"/>
      <c r="DN51" s="147"/>
      <c r="DR51" s="147"/>
      <c r="DS51" s="147"/>
      <c r="DT51" s="147"/>
      <c r="DX51" s="147"/>
      <c r="DY51" s="147"/>
      <c r="DZ51" s="147"/>
      <c r="ED51" s="147"/>
      <c r="EE51" s="147"/>
      <c r="EF51" s="147"/>
      <c r="EJ51" s="147"/>
      <c r="EK51" s="147"/>
      <c r="EL51" s="147"/>
      <c r="EP51" s="147"/>
      <c r="EQ51" s="147"/>
      <c r="ER51" s="147"/>
      <c r="EV51" s="147"/>
      <c r="EW51" s="147"/>
      <c r="EX51" s="147"/>
    </row>
    <row r="52" s="67" customFormat="1" ht="48" customHeight="1" spans="1:154">
      <c r="A52" s="160"/>
      <c r="B52" s="160"/>
      <c r="C52" s="160"/>
      <c r="D52" s="160"/>
      <c r="E52" s="160"/>
      <c r="F52" s="160"/>
      <c r="G52" s="160"/>
      <c r="H52" s="160"/>
      <c r="J52" s="160"/>
      <c r="K52" s="160"/>
      <c r="L52" s="160"/>
      <c r="M52" s="160"/>
      <c r="N52" s="160"/>
      <c r="O52" s="160"/>
      <c r="P52" s="160"/>
      <c r="Q52" s="160"/>
      <c r="R52" s="161"/>
      <c r="S52" s="162"/>
      <c r="U52" s="147"/>
      <c r="V52" s="147"/>
      <c r="W52" s="147"/>
      <c r="AA52" s="147"/>
      <c r="AB52" s="147"/>
      <c r="AC52" s="147"/>
      <c r="AG52" s="147"/>
      <c r="AH52" s="147"/>
      <c r="AI52" s="147"/>
      <c r="AJ52" s="160"/>
      <c r="AM52" s="147"/>
      <c r="AN52" s="147"/>
      <c r="AO52" s="147"/>
      <c r="AP52" s="160"/>
      <c r="AR52" s="163"/>
      <c r="AS52" s="147"/>
      <c r="AT52" s="160"/>
      <c r="AV52" s="147"/>
      <c r="AW52" s="147"/>
      <c r="AZ52" s="147"/>
      <c r="BA52" s="147"/>
      <c r="BD52" s="147"/>
      <c r="BE52" s="147"/>
      <c r="BH52" s="147"/>
      <c r="BI52" s="147"/>
      <c r="BL52" s="147"/>
      <c r="BM52" s="147"/>
      <c r="BP52" s="147"/>
      <c r="BQ52" s="147"/>
      <c r="BT52" s="147"/>
      <c r="BU52" s="147"/>
      <c r="BX52" s="147"/>
      <c r="BY52" s="147"/>
      <c r="CB52" s="147"/>
      <c r="CC52" s="147"/>
      <c r="CD52" s="147"/>
      <c r="CH52" s="147"/>
      <c r="CI52" s="147"/>
      <c r="CJ52" s="147"/>
      <c r="CN52" s="147"/>
      <c r="CO52" s="147"/>
      <c r="CP52" s="147"/>
      <c r="CT52" s="147"/>
      <c r="CU52" s="147"/>
      <c r="CV52" s="147"/>
      <c r="CZ52" s="147"/>
      <c r="DA52" s="147"/>
      <c r="DB52" s="147"/>
      <c r="DF52" s="147"/>
      <c r="DG52" s="147"/>
      <c r="DH52" s="147"/>
      <c r="DL52" s="147"/>
      <c r="DM52" s="147"/>
      <c r="DN52" s="147"/>
      <c r="DR52" s="147"/>
      <c r="DS52" s="147"/>
      <c r="DT52" s="147"/>
      <c r="DX52" s="147"/>
      <c r="DY52" s="147"/>
      <c r="DZ52" s="147"/>
      <c r="ED52" s="147"/>
      <c r="EE52" s="147"/>
      <c r="EF52" s="147"/>
      <c r="EJ52" s="147"/>
      <c r="EK52" s="147"/>
      <c r="EL52" s="147"/>
      <c r="EP52" s="147"/>
      <c r="EQ52" s="147"/>
      <c r="ER52" s="147"/>
      <c r="EV52" s="147"/>
      <c r="EW52" s="147"/>
      <c r="EX52" s="147"/>
    </row>
    <row r="53" s="67" customFormat="1" ht="48" customHeight="1" spans="1:154">
      <c r="A53" s="160"/>
      <c r="B53" s="160"/>
      <c r="C53" s="160"/>
      <c r="D53" s="160"/>
      <c r="E53" s="160"/>
      <c r="F53" s="160"/>
      <c r="G53" s="160"/>
      <c r="H53" s="160"/>
      <c r="J53" s="160"/>
      <c r="K53" s="160"/>
      <c r="L53" s="160"/>
      <c r="M53" s="160"/>
      <c r="N53" s="160"/>
      <c r="O53" s="160"/>
      <c r="P53" s="160"/>
      <c r="Q53" s="160"/>
      <c r="R53" s="161"/>
      <c r="S53" s="162"/>
      <c r="U53" s="147"/>
      <c r="V53" s="147"/>
      <c r="W53" s="147"/>
      <c r="AA53" s="147"/>
      <c r="AB53" s="147"/>
      <c r="AC53" s="147"/>
      <c r="AG53" s="147"/>
      <c r="AH53" s="147"/>
      <c r="AI53" s="147"/>
      <c r="AJ53" s="160"/>
      <c r="AM53" s="147"/>
      <c r="AN53" s="147"/>
      <c r="AO53" s="147"/>
      <c r="AP53" s="160"/>
      <c r="AR53" s="163"/>
      <c r="AS53" s="147"/>
      <c r="AT53" s="160"/>
      <c r="AV53" s="147"/>
      <c r="AW53" s="147"/>
      <c r="AZ53" s="147"/>
      <c r="BA53" s="147"/>
      <c r="BD53" s="147"/>
      <c r="BE53" s="147"/>
      <c r="BH53" s="147"/>
      <c r="BI53" s="147"/>
      <c r="BL53" s="147"/>
      <c r="BM53" s="147"/>
      <c r="BP53" s="147"/>
      <c r="BQ53" s="147"/>
      <c r="BT53" s="147"/>
      <c r="BU53" s="147"/>
      <c r="BX53" s="147"/>
      <c r="BY53" s="147"/>
      <c r="CB53" s="147"/>
      <c r="CC53" s="147"/>
      <c r="CD53" s="147"/>
      <c r="CH53" s="147"/>
      <c r="CI53" s="147"/>
      <c r="CJ53" s="147"/>
      <c r="CN53" s="147"/>
      <c r="CO53" s="147"/>
      <c r="CP53" s="147"/>
      <c r="CT53" s="147"/>
      <c r="CU53" s="147"/>
      <c r="CV53" s="147"/>
      <c r="CZ53" s="147"/>
      <c r="DA53" s="147"/>
      <c r="DB53" s="147"/>
      <c r="DF53" s="147"/>
      <c r="DG53" s="147"/>
      <c r="DH53" s="147"/>
      <c r="DL53" s="147"/>
      <c r="DM53" s="147"/>
      <c r="DN53" s="147"/>
      <c r="DR53" s="147"/>
      <c r="DS53" s="147"/>
      <c r="DT53" s="147"/>
      <c r="DX53" s="147"/>
      <c r="DY53" s="147"/>
      <c r="DZ53" s="147"/>
      <c r="ED53" s="147"/>
      <c r="EE53" s="147"/>
      <c r="EF53" s="147"/>
      <c r="EJ53" s="147"/>
      <c r="EK53" s="147"/>
      <c r="EL53" s="147"/>
      <c r="EP53" s="147"/>
      <c r="EQ53" s="147"/>
      <c r="ER53" s="147"/>
      <c r="EV53" s="147"/>
      <c r="EW53" s="147"/>
      <c r="EX53" s="147"/>
    </row>
    <row r="54" s="67" customFormat="1" ht="48" customHeight="1" spans="1:154">
      <c r="A54" s="160"/>
      <c r="B54" s="160"/>
      <c r="C54" s="160"/>
      <c r="D54" s="160"/>
      <c r="E54" s="160"/>
      <c r="F54" s="160"/>
      <c r="G54" s="160"/>
      <c r="H54" s="160"/>
      <c r="J54" s="160"/>
      <c r="K54" s="160"/>
      <c r="L54" s="160"/>
      <c r="M54" s="160"/>
      <c r="N54" s="160"/>
      <c r="O54" s="160"/>
      <c r="P54" s="160"/>
      <c r="Q54" s="160"/>
      <c r="R54" s="161"/>
      <c r="S54" s="162"/>
      <c r="U54" s="147"/>
      <c r="V54" s="147"/>
      <c r="W54" s="147"/>
      <c r="AA54" s="147"/>
      <c r="AB54" s="147"/>
      <c r="AC54" s="147"/>
      <c r="AG54" s="147"/>
      <c r="AH54" s="147"/>
      <c r="AI54" s="147"/>
      <c r="AJ54" s="160"/>
      <c r="AM54" s="147"/>
      <c r="AN54" s="147"/>
      <c r="AO54" s="147"/>
      <c r="AP54" s="160"/>
      <c r="AR54" s="163"/>
      <c r="AS54" s="147"/>
      <c r="AT54" s="160"/>
      <c r="AV54" s="147"/>
      <c r="AW54" s="147"/>
      <c r="AZ54" s="147"/>
      <c r="BA54" s="147"/>
      <c r="BD54" s="147"/>
      <c r="BE54" s="147"/>
      <c r="BH54" s="147"/>
      <c r="BI54" s="147"/>
      <c r="BL54" s="147"/>
      <c r="BM54" s="147"/>
      <c r="BP54" s="147"/>
      <c r="BQ54" s="147"/>
      <c r="BT54" s="147"/>
      <c r="BU54" s="147"/>
      <c r="BX54" s="147"/>
      <c r="BY54" s="147"/>
      <c r="CB54" s="147"/>
      <c r="CC54" s="147"/>
      <c r="CD54" s="147"/>
      <c r="CH54" s="147"/>
      <c r="CI54" s="147"/>
      <c r="CJ54" s="147"/>
      <c r="CN54" s="147"/>
      <c r="CO54" s="147"/>
      <c r="CP54" s="147"/>
      <c r="CT54" s="147"/>
      <c r="CU54" s="147"/>
      <c r="CV54" s="147"/>
      <c r="CZ54" s="147"/>
      <c r="DA54" s="147"/>
      <c r="DB54" s="147"/>
      <c r="DF54" s="147"/>
      <c r="DG54" s="147"/>
      <c r="DH54" s="147"/>
      <c r="DL54" s="147"/>
      <c r="DM54" s="147"/>
      <c r="DN54" s="147"/>
      <c r="DR54" s="147"/>
      <c r="DS54" s="147"/>
      <c r="DT54" s="147"/>
      <c r="DX54" s="147"/>
      <c r="DY54" s="147"/>
      <c r="DZ54" s="147"/>
      <c r="ED54" s="147"/>
      <c r="EE54" s="147"/>
      <c r="EF54" s="147"/>
      <c r="EJ54" s="147"/>
      <c r="EK54" s="147"/>
      <c r="EL54" s="147"/>
      <c r="EP54" s="147"/>
      <c r="EQ54" s="147"/>
      <c r="ER54" s="147"/>
      <c r="EV54" s="147"/>
      <c r="EW54" s="147"/>
      <c r="EX54" s="147"/>
    </row>
    <row r="55" s="67" customFormat="1" ht="48" customHeight="1" spans="1:154">
      <c r="A55" s="160"/>
      <c r="B55" s="160"/>
      <c r="C55" s="160"/>
      <c r="D55" s="160"/>
      <c r="E55" s="160"/>
      <c r="F55" s="160"/>
      <c r="G55" s="160"/>
      <c r="H55" s="160"/>
      <c r="J55" s="160"/>
      <c r="K55" s="160"/>
      <c r="L55" s="160"/>
      <c r="M55" s="160"/>
      <c r="N55" s="160"/>
      <c r="O55" s="160"/>
      <c r="P55" s="160"/>
      <c r="Q55" s="160"/>
      <c r="R55" s="161"/>
      <c r="S55" s="162"/>
      <c r="U55" s="147"/>
      <c r="V55" s="147"/>
      <c r="W55" s="147"/>
      <c r="AA55" s="147"/>
      <c r="AB55" s="147"/>
      <c r="AC55" s="147"/>
      <c r="AG55" s="147"/>
      <c r="AH55" s="147"/>
      <c r="AI55" s="147"/>
      <c r="AJ55" s="160"/>
      <c r="AM55" s="147"/>
      <c r="AN55" s="147"/>
      <c r="AO55" s="147"/>
      <c r="AP55" s="160"/>
      <c r="AR55" s="163"/>
      <c r="AS55" s="147"/>
      <c r="AT55" s="160"/>
      <c r="AV55" s="147"/>
      <c r="AW55" s="147"/>
      <c r="AZ55" s="147"/>
      <c r="BA55" s="147"/>
      <c r="BD55" s="147"/>
      <c r="BE55" s="147"/>
      <c r="BH55" s="147"/>
      <c r="BI55" s="147"/>
      <c r="BL55" s="147"/>
      <c r="BM55" s="147"/>
      <c r="BP55" s="147"/>
      <c r="BQ55" s="147"/>
      <c r="BT55" s="147"/>
      <c r="BU55" s="147"/>
      <c r="BX55" s="147"/>
      <c r="BY55" s="147"/>
      <c r="CB55" s="147"/>
      <c r="CC55" s="147"/>
      <c r="CD55" s="147"/>
      <c r="CH55" s="147"/>
      <c r="CI55" s="147"/>
      <c r="CJ55" s="147"/>
      <c r="CN55" s="147"/>
      <c r="CO55" s="147"/>
      <c r="CP55" s="147"/>
      <c r="CT55" s="147"/>
      <c r="CU55" s="147"/>
      <c r="CV55" s="147"/>
      <c r="CZ55" s="147"/>
      <c r="DA55" s="147"/>
      <c r="DB55" s="147"/>
      <c r="DF55" s="147"/>
      <c r="DG55" s="147"/>
      <c r="DH55" s="147"/>
      <c r="DL55" s="147"/>
      <c r="DM55" s="147"/>
      <c r="DN55" s="147"/>
      <c r="DR55" s="147"/>
      <c r="DS55" s="147"/>
      <c r="DT55" s="147"/>
      <c r="DX55" s="147"/>
      <c r="DY55" s="147"/>
      <c r="DZ55" s="147"/>
      <c r="ED55" s="147"/>
      <c r="EE55" s="147"/>
      <c r="EF55" s="147"/>
      <c r="EJ55" s="147"/>
      <c r="EK55" s="147"/>
      <c r="EL55" s="147"/>
      <c r="EP55" s="147"/>
      <c r="EQ55" s="147"/>
      <c r="ER55" s="147"/>
      <c r="EV55" s="147"/>
      <c r="EW55" s="147"/>
      <c r="EX55" s="147"/>
    </row>
    <row r="56" s="67" customFormat="1" ht="48" customHeight="1" spans="1:154">
      <c r="A56" s="160"/>
      <c r="B56" s="160"/>
      <c r="C56" s="160"/>
      <c r="D56" s="160"/>
      <c r="E56" s="160"/>
      <c r="F56" s="160"/>
      <c r="G56" s="160"/>
      <c r="H56" s="160"/>
      <c r="J56" s="160"/>
      <c r="K56" s="160"/>
      <c r="L56" s="160"/>
      <c r="M56" s="160"/>
      <c r="N56" s="160"/>
      <c r="O56" s="160"/>
      <c r="P56" s="160"/>
      <c r="Q56" s="160"/>
      <c r="R56" s="161"/>
      <c r="S56" s="162"/>
      <c r="U56" s="147"/>
      <c r="V56" s="147"/>
      <c r="W56" s="147"/>
      <c r="AA56" s="147"/>
      <c r="AB56" s="147"/>
      <c r="AC56" s="147"/>
      <c r="AG56" s="147"/>
      <c r="AH56" s="147"/>
      <c r="AI56" s="147"/>
      <c r="AJ56" s="160"/>
      <c r="AM56" s="147"/>
      <c r="AN56" s="147"/>
      <c r="AO56" s="147"/>
      <c r="AP56" s="160"/>
      <c r="AR56" s="163"/>
      <c r="AS56" s="147"/>
      <c r="AT56" s="160"/>
      <c r="AV56" s="147"/>
      <c r="AW56" s="147"/>
      <c r="AZ56" s="147"/>
      <c r="BA56" s="147"/>
      <c r="BD56" s="147"/>
      <c r="BE56" s="147"/>
      <c r="BH56" s="147"/>
      <c r="BI56" s="147"/>
      <c r="BL56" s="147"/>
      <c r="BM56" s="147"/>
      <c r="BP56" s="147"/>
      <c r="BQ56" s="147"/>
      <c r="BT56" s="147"/>
      <c r="BU56" s="147"/>
      <c r="BX56" s="147"/>
      <c r="BY56" s="147"/>
      <c r="CB56" s="147"/>
      <c r="CC56" s="147"/>
      <c r="CD56" s="147"/>
      <c r="CH56" s="147"/>
      <c r="CI56" s="147"/>
      <c r="CJ56" s="147"/>
      <c r="CN56" s="147"/>
      <c r="CO56" s="147"/>
      <c r="CP56" s="147"/>
      <c r="CT56" s="147"/>
      <c r="CU56" s="147"/>
      <c r="CV56" s="147"/>
      <c r="CZ56" s="147"/>
      <c r="DA56" s="147"/>
      <c r="DB56" s="147"/>
      <c r="DF56" s="147"/>
      <c r="DG56" s="147"/>
      <c r="DH56" s="147"/>
      <c r="DL56" s="147"/>
      <c r="DM56" s="147"/>
      <c r="DN56" s="147"/>
      <c r="DR56" s="147"/>
      <c r="DS56" s="147"/>
      <c r="DT56" s="147"/>
      <c r="DX56" s="147"/>
      <c r="DY56" s="147"/>
      <c r="DZ56" s="147"/>
      <c r="ED56" s="147"/>
      <c r="EE56" s="147"/>
      <c r="EF56" s="147"/>
      <c r="EJ56" s="147"/>
      <c r="EK56" s="147"/>
      <c r="EL56" s="147"/>
      <c r="EP56" s="147"/>
      <c r="EQ56" s="147"/>
      <c r="ER56" s="147"/>
      <c r="EV56" s="147"/>
      <c r="EW56" s="147"/>
      <c r="EX56" s="147"/>
    </row>
    <row r="57" s="67" customFormat="1" ht="48" customHeight="1" spans="1:154">
      <c r="A57" s="160"/>
      <c r="B57" s="160"/>
      <c r="C57" s="160"/>
      <c r="D57" s="160"/>
      <c r="E57" s="160"/>
      <c r="F57" s="160"/>
      <c r="G57" s="160"/>
      <c r="H57" s="160"/>
      <c r="J57" s="160"/>
      <c r="K57" s="160"/>
      <c r="L57" s="160"/>
      <c r="M57" s="160"/>
      <c r="N57" s="160"/>
      <c r="O57" s="160"/>
      <c r="P57" s="160"/>
      <c r="Q57" s="160"/>
      <c r="R57" s="161"/>
      <c r="S57" s="162"/>
      <c r="U57" s="147"/>
      <c r="V57" s="147"/>
      <c r="W57" s="147"/>
      <c r="AA57" s="147"/>
      <c r="AB57" s="147"/>
      <c r="AC57" s="147"/>
      <c r="AG57" s="147"/>
      <c r="AH57" s="147"/>
      <c r="AI57" s="147"/>
      <c r="AJ57" s="160"/>
      <c r="AM57" s="147"/>
      <c r="AN57" s="147"/>
      <c r="AO57" s="147"/>
      <c r="AP57" s="160"/>
      <c r="AR57" s="163"/>
      <c r="AS57" s="147"/>
      <c r="AT57" s="160"/>
      <c r="AV57" s="147"/>
      <c r="AW57" s="147"/>
      <c r="AZ57" s="147"/>
      <c r="BA57" s="147"/>
      <c r="BD57" s="147"/>
      <c r="BE57" s="147"/>
      <c r="BH57" s="147"/>
      <c r="BI57" s="147"/>
      <c r="BL57" s="147"/>
      <c r="BM57" s="147"/>
      <c r="BP57" s="147"/>
      <c r="BQ57" s="147"/>
      <c r="BT57" s="147"/>
      <c r="BU57" s="147"/>
      <c r="BX57" s="147"/>
      <c r="BY57" s="147"/>
      <c r="CB57" s="147"/>
      <c r="CC57" s="147"/>
      <c r="CD57" s="147"/>
      <c r="CH57" s="147"/>
      <c r="CI57" s="147"/>
      <c r="CJ57" s="147"/>
      <c r="CN57" s="147"/>
      <c r="CO57" s="147"/>
      <c r="CP57" s="147"/>
      <c r="CT57" s="147"/>
      <c r="CU57" s="147"/>
      <c r="CV57" s="147"/>
      <c r="CZ57" s="147"/>
      <c r="DA57" s="147"/>
      <c r="DB57" s="147"/>
      <c r="DF57" s="147"/>
      <c r="DG57" s="147"/>
      <c r="DH57" s="147"/>
      <c r="DL57" s="147"/>
      <c r="DM57" s="147"/>
      <c r="DN57" s="147"/>
      <c r="DR57" s="147"/>
      <c r="DS57" s="147"/>
      <c r="DT57" s="147"/>
      <c r="DX57" s="147"/>
      <c r="DY57" s="147"/>
      <c r="DZ57" s="147"/>
      <c r="ED57" s="147"/>
      <c r="EE57" s="147"/>
      <c r="EF57" s="147"/>
      <c r="EJ57" s="147"/>
      <c r="EK57" s="147"/>
      <c r="EL57" s="147"/>
      <c r="EP57" s="147"/>
      <c r="EQ57" s="147"/>
      <c r="ER57" s="147"/>
      <c r="EV57" s="147"/>
      <c r="EW57" s="147"/>
      <c r="EX57" s="147"/>
    </row>
    <row r="58" s="67" customFormat="1" ht="48" customHeight="1" spans="1:154">
      <c r="A58" s="160"/>
      <c r="B58" s="160"/>
      <c r="C58" s="160"/>
      <c r="D58" s="160"/>
      <c r="E58" s="160"/>
      <c r="F58" s="160"/>
      <c r="G58" s="160"/>
      <c r="H58" s="160"/>
      <c r="J58" s="160"/>
      <c r="K58" s="160"/>
      <c r="L58" s="160"/>
      <c r="M58" s="160"/>
      <c r="N58" s="160"/>
      <c r="O58" s="160"/>
      <c r="P58" s="160"/>
      <c r="Q58" s="160"/>
      <c r="R58" s="161"/>
      <c r="S58" s="162"/>
      <c r="U58" s="147"/>
      <c r="V58" s="147"/>
      <c r="W58" s="147"/>
      <c r="AA58" s="147"/>
      <c r="AB58" s="147"/>
      <c r="AC58" s="147"/>
      <c r="AG58" s="147"/>
      <c r="AH58" s="147"/>
      <c r="AI58" s="147"/>
      <c r="AJ58" s="160"/>
      <c r="AM58" s="147"/>
      <c r="AN58" s="147"/>
      <c r="AO58" s="147"/>
      <c r="AP58" s="160"/>
      <c r="AR58" s="163"/>
      <c r="AS58" s="147"/>
      <c r="AT58" s="160"/>
      <c r="AV58" s="147"/>
      <c r="AW58" s="147"/>
      <c r="AZ58" s="147"/>
      <c r="BA58" s="147"/>
      <c r="BD58" s="147"/>
      <c r="BE58" s="147"/>
      <c r="BH58" s="147"/>
      <c r="BI58" s="147"/>
      <c r="BL58" s="147"/>
      <c r="BM58" s="147"/>
      <c r="BP58" s="147"/>
      <c r="BQ58" s="147"/>
      <c r="BT58" s="147"/>
      <c r="BU58" s="147"/>
      <c r="BX58" s="147"/>
      <c r="BY58" s="147"/>
      <c r="CB58" s="147"/>
      <c r="CC58" s="147"/>
      <c r="CD58" s="147"/>
      <c r="CH58" s="147"/>
      <c r="CI58" s="147"/>
      <c r="CJ58" s="147"/>
      <c r="CN58" s="147"/>
      <c r="CO58" s="147"/>
      <c r="CP58" s="147"/>
      <c r="CT58" s="147"/>
      <c r="CU58" s="147"/>
      <c r="CV58" s="147"/>
      <c r="CZ58" s="147"/>
      <c r="DA58" s="147"/>
      <c r="DB58" s="147"/>
      <c r="DF58" s="147"/>
      <c r="DG58" s="147"/>
      <c r="DH58" s="147"/>
      <c r="DL58" s="147"/>
      <c r="DM58" s="147"/>
      <c r="DN58" s="147"/>
      <c r="DR58" s="147"/>
      <c r="DS58" s="147"/>
      <c r="DT58" s="147"/>
      <c r="DX58" s="147"/>
      <c r="DY58" s="147"/>
      <c r="DZ58" s="147"/>
      <c r="ED58" s="147"/>
      <c r="EE58" s="147"/>
      <c r="EF58" s="147"/>
      <c r="EJ58" s="147"/>
      <c r="EK58" s="147"/>
      <c r="EL58" s="147"/>
      <c r="EP58" s="147"/>
      <c r="EQ58" s="147"/>
      <c r="ER58" s="147"/>
      <c r="EV58" s="147"/>
      <c r="EW58" s="147"/>
      <c r="EX58" s="147"/>
    </row>
    <row r="59" s="67" customFormat="1" ht="48" customHeight="1" spans="1:154">
      <c r="A59" s="160"/>
      <c r="B59" s="160"/>
      <c r="C59" s="160"/>
      <c r="D59" s="160"/>
      <c r="E59" s="160"/>
      <c r="F59" s="160"/>
      <c r="G59" s="160"/>
      <c r="H59" s="160"/>
      <c r="J59" s="160"/>
      <c r="K59" s="160"/>
      <c r="L59" s="160"/>
      <c r="M59" s="160"/>
      <c r="N59" s="160"/>
      <c r="O59" s="160"/>
      <c r="P59" s="160"/>
      <c r="Q59" s="160"/>
      <c r="R59" s="161"/>
      <c r="S59" s="162"/>
      <c r="U59" s="147"/>
      <c r="V59" s="147"/>
      <c r="W59" s="147"/>
      <c r="AA59" s="147"/>
      <c r="AB59" s="147"/>
      <c r="AC59" s="147"/>
      <c r="AG59" s="147"/>
      <c r="AH59" s="147"/>
      <c r="AI59" s="147"/>
      <c r="AJ59" s="160"/>
      <c r="AM59" s="147"/>
      <c r="AN59" s="147"/>
      <c r="AO59" s="147"/>
      <c r="AP59" s="160"/>
      <c r="AR59" s="163"/>
      <c r="AS59" s="147"/>
      <c r="AT59" s="160"/>
      <c r="AV59" s="147"/>
      <c r="AW59" s="147"/>
      <c r="AZ59" s="147"/>
      <c r="BA59" s="147"/>
      <c r="BD59" s="147"/>
      <c r="BE59" s="147"/>
      <c r="BH59" s="147"/>
      <c r="BI59" s="147"/>
      <c r="BL59" s="147"/>
      <c r="BM59" s="147"/>
      <c r="BP59" s="147"/>
      <c r="BQ59" s="147"/>
      <c r="BT59" s="147"/>
      <c r="BU59" s="147"/>
      <c r="BX59" s="147"/>
      <c r="BY59" s="147"/>
      <c r="CB59" s="147"/>
      <c r="CC59" s="147"/>
      <c r="CD59" s="147"/>
      <c r="CH59" s="147"/>
      <c r="CI59" s="147"/>
      <c r="CJ59" s="147"/>
      <c r="CN59" s="147"/>
      <c r="CO59" s="147"/>
      <c r="CP59" s="147"/>
      <c r="CT59" s="147"/>
      <c r="CU59" s="147"/>
      <c r="CV59" s="147"/>
      <c r="CZ59" s="147"/>
      <c r="DA59" s="147"/>
      <c r="DB59" s="147"/>
      <c r="DF59" s="147"/>
      <c r="DG59" s="147"/>
      <c r="DH59" s="147"/>
      <c r="DL59" s="147"/>
      <c r="DM59" s="147"/>
      <c r="DN59" s="147"/>
      <c r="DR59" s="147"/>
      <c r="DS59" s="147"/>
      <c r="DT59" s="147"/>
      <c r="DX59" s="147"/>
      <c r="DY59" s="147"/>
      <c r="DZ59" s="147"/>
      <c r="ED59" s="147"/>
      <c r="EE59" s="147"/>
      <c r="EF59" s="147"/>
      <c r="EJ59" s="147"/>
      <c r="EK59" s="147"/>
      <c r="EL59" s="147"/>
      <c r="EP59" s="147"/>
      <c r="EQ59" s="147"/>
      <c r="ER59" s="147"/>
      <c r="EV59" s="147"/>
      <c r="EW59" s="147"/>
      <c r="EX59" s="147"/>
    </row>
    <row r="60" s="67" customFormat="1" ht="48" customHeight="1" spans="1:154">
      <c r="A60" s="160"/>
      <c r="B60" s="160"/>
      <c r="C60" s="160"/>
      <c r="D60" s="160"/>
      <c r="E60" s="160"/>
      <c r="F60" s="160"/>
      <c r="G60" s="160"/>
      <c r="H60" s="160"/>
      <c r="J60" s="160"/>
      <c r="K60" s="160"/>
      <c r="L60" s="160"/>
      <c r="M60" s="160"/>
      <c r="N60" s="160"/>
      <c r="O60" s="160"/>
      <c r="P60" s="160"/>
      <c r="Q60" s="160"/>
      <c r="R60" s="161"/>
      <c r="S60" s="162"/>
      <c r="U60" s="147"/>
      <c r="V60" s="147"/>
      <c r="W60" s="147"/>
      <c r="AA60" s="147"/>
      <c r="AB60" s="147"/>
      <c r="AC60" s="147"/>
      <c r="AG60" s="147"/>
      <c r="AH60" s="147"/>
      <c r="AI60" s="147"/>
      <c r="AJ60" s="160"/>
      <c r="AM60" s="147"/>
      <c r="AN60" s="147"/>
      <c r="AO60" s="147"/>
      <c r="AP60" s="160"/>
      <c r="AR60" s="163"/>
      <c r="AS60" s="147"/>
      <c r="AT60" s="160"/>
      <c r="AV60" s="147"/>
      <c r="AW60" s="147"/>
      <c r="AZ60" s="147"/>
      <c r="BA60" s="147"/>
      <c r="BD60" s="147"/>
      <c r="BE60" s="147"/>
      <c r="BH60" s="147"/>
      <c r="BI60" s="147"/>
      <c r="BL60" s="147"/>
      <c r="BM60" s="147"/>
      <c r="BP60" s="147"/>
      <c r="BQ60" s="147"/>
      <c r="BT60" s="147"/>
      <c r="BU60" s="147"/>
      <c r="BX60" s="147"/>
      <c r="BY60" s="147"/>
      <c r="CB60" s="147"/>
      <c r="CC60" s="147"/>
      <c r="CD60" s="147"/>
      <c r="CH60" s="147"/>
      <c r="CI60" s="147"/>
      <c r="CJ60" s="147"/>
      <c r="CN60" s="147"/>
      <c r="CO60" s="147"/>
      <c r="CP60" s="147"/>
      <c r="CT60" s="147"/>
      <c r="CU60" s="147"/>
      <c r="CV60" s="147"/>
      <c r="CZ60" s="147"/>
      <c r="DA60" s="147"/>
      <c r="DB60" s="147"/>
      <c r="DF60" s="147"/>
      <c r="DG60" s="147"/>
      <c r="DH60" s="147"/>
      <c r="DL60" s="147"/>
      <c r="DM60" s="147"/>
      <c r="DN60" s="147"/>
      <c r="DR60" s="147"/>
      <c r="DS60" s="147"/>
      <c r="DT60" s="147"/>
      <c r="DX60" s="147"/>
      <c r="DY60" s="147"/>
      <c r="DZ60" s="147"/>
      <c r="ED60" s="147"/>
      <c r="EE60" s="147"/>
      <c r="EF60" s="147"/>
      <c r="EJ60" s="147"/>
      <c r="EK60" s="147"/>
      <c r="EL60" s="147"/>
      <c r="EP60" s="147"/>
      <c r="EQ60" s="147"/>
      <c r="ER60" s="147"/>
      <c r="EV60" s="147"/>
      <c r="EW60" s="147"/>
      <c r="EX60" s="147"/>
    </row>
    <row r="61" s="67" customFormat="1" ht="48" customHeight="1" spans="1:154">
      <c r="A61" s="160"/>
      <c r="B61" s="160"/>
      <c r="C61" s="160"/>
      <c r="D61" s="160"/>
      <c r="E61" s="160"/>
      <c r="F61" s="160"/>
      <c r="G61" s="160"/>
      <c r="H61" s="160"/>
      <c r="J61" s="160"/>
      <c r="K61" s="160"/>
      <c r="L61" s="160"/>
      <c r="M61" s="160"/>
      <c r="N61" s="160"/>
      <c r="O61" s="160"/>
      <c r="P61" s="160"/>
      <c r="Q61" s="160"/>
      <c r="R61" s="161"/>
      <c r="S61" s="162"/>
      <c r="U61" s="147"/>
      <c r="V61" s="147"/>
      <c r="W61" s="147"/>
      <c r="AA61" s="147"/>
      <c r="AB61" s="147"/>
      <c r="AC61" s="147"/>
      <c r="AG61" s="147"/>
      <c r="AH61" s="147"/>
      <c r="AI61" s="147"/>
      <c r="AJ61" s="160"/>
      <c r="AM61" s="147"/>
      <c r="AN61" s="147"/>
      <c r="AO61" s="147"/>
      <c r="AP61" s="160"/>
      <c r="AR61" s="163"/>
      <c r="AS61" s="147"/>
      <c r="AT61" s="160"/>
      <c r="AV61" s="147"/>
      <c r="AW61" s="147"/>
      <c r="AZ61" s="147"/>
      <c r="BA61" s="147"/>
      <c r="BD61" s="147"/>
      <c r="BE61" s="147"/>
      <c r="BH61" s="147"/>
      <c r="BI61" s="147"/>
      <c r="BL61" s="147"/>
      <c r="BM61" s="147"/>
      <c r="BP61" s="147"/>
      <c r="BQ61" s="147"/>
      <c r="BT61" s="147"/>
      <c r="BU61" s="147"/>
      <c r="BX61" s="147"/>
      <c r="BY61" s="147"/>
      <c r="CB61" s="147"/>
      <c r="CC61" s="147"/>
      <c r="CD61" s="147"/>
      <c r="CH61" s="147"/>
      <c r="CI61" s="147"/>
      <c r="CJ61" s="147"/>
      <c r="CN61" s="147"/>
      <c r="CO61" s="147"/>
      <c r="CP61" s="147"/>
      <c r="CT61" s="147"/>
      <c r="CU61" s="147"/>
      <c r="CV61" s="147"/>
      <c r="CZ61" s="147"/>
      <c r="DA61" s="147"/>
      <c r="DB61" s="147"/>
      <c r="DF61" s="147"/>
      <c r="DG61" s="147"/>
      <c r="DH61" s="147"/>
      <c r="DL61" s="147"/>
      <c r="DM61" s="147"/>
      <c r="DN61" s="147"/>
      <c r="DR61" s="147"/>
      <c r="DS61" s="147"/>
      <c r="DT61" s="147"/>
      <c r="DX61" s="147"/>
      <c r="DY61" s="147"/>
      <c r="DZ61" s="147"/>
      <c r="ED61" s="147"/>
      <c r="EE61" s="147"/>
      <c r="EF61" s="147"/>
      <c r="EJ61" s="147"/>
      <c r="EK61" s="147"/>
      <c r="EL61" s="147"/>
      <c r="EP61" s="147"/>
      <c r="EQ61" s="147"/>
      <c r="ER61" s="147"/>
      <c r="EV61" s="147"/>
      <c r="EW61" s="147"/>
      <c r="EX61" s="147"/>
    </row>
    <row r="62" s="67" customFormat="1" ht="48" customHeight="1" spans="1:154">
      <c r="A62" s="160"/>
      <c r="B62" s="160"/>
      <c r="C62" s="160"/>
      <c r="D62" s="160"/>
      <c r="E62" s="160"/>
      <c r="F62" s="160"/>
      <c r="G62" s="160"/>
      <c r="H62" s="160"/>
      <c r="J62" s="160"/>
      <c r="K62" s="160"/>
      <c r="L62" s="160"/>
      <c r="M62" s="160"/>
      <c r="N62" s="160"/>
      <c r="O62" s="160"/>
      <c r="P62" s="160"/>
      <c r="Q62" s="160"/>
      <c r="R62" s="161"/>
      <c r="S62" s="162"/>
      <c r="U62" s="147"/>
      <c r="V62" s="147"/>
      <c r="W62" s="147"/>
      <c r="AA62" s="147"/>
      <c r="AB62" s="147"/>
      <c r="AC62" s="147"/>
      <c r="AG62" s="147"/>
      <c r="AH62" s="147"/>
      <c r="AI62" s="147"/>
      <c r="AJ62" s="160"/>
      <c r="AM62" s="147"/>
      <c r="AN62" s="147"/>
      <c r="AO62" s="147"/>
      <c r="AP62" s="160"/>
      <c r="AR62" s="163"/>
      <c r="AS62" s="147"/>
      <c r="AT62" s="160"/>
      <c r="AV62" s="147"/>
      <c r="AW62" s="147"/>
      <c r="AZ62" s="147"/>
      <c r="BA62" s="147"/>
      <c r="BD62" s="147"/>
      <c r="BE62" s="147"/>
      <c r="BH62" s="147"/>
      <c r="BI62" s="147"/>
      <c r="BL62" s="147"/>
      <c r="BM62" s="147"/>
      <c r="BP62" s="147"/>
      <c r="BQ62" s="147"/>
      <c r="BT62" s="147"/>
      <c r="BU62" s="147"/>
      <c r="BX62" s="147"/>
      <c r="BY62" s="147"/>
      <c r="CB62" s="147"/>
      <c r="CC62" s="147"/>
      <c r="CD62" s="147"/>
      <c r="CH62" s="147"/>
      <c r="CI62" s="147"/>
      <c r="CJ62" s="147"/>
      <c r="CN62" s="147"/>
      <c r="CO62" s="147"/>
      <c r="CP62" s="147"/>
      <c r="CT62" s="147"/>
      <c r="CU62" s="147"/>
      <c r="CV62" s="147"/>
      <c r="CZ62" s="147"/>
      <c r="DA62" s="147"/>
      <c r="DB62" s="147"/>
      <c r="DF62" s="147"/>
      <c r="DG62" s="147"/>
      <c r="DH62" s="147"/>
      <c r="DL62" s="147"/>
      <c r="DM62" s="147"/>
      <c r="DN62" s="147"/>
      <c r="DR62" s="147"/>
      <c r="DS62" s="147"/>
      <c r="DT62" s="147"/>
      <c r="DX62" s="147"/>
      <c r="DY62" s="147"/>
      <c r="DZ62" s="147"/>
      <c r="ED62" s="147"/>
      <c r="EE62" s="147"/>
      <c r="EF62" s="147"/>
      <c r="EJ62" s="147"/>
      <c r="EK62" s="147"/>
      <c r="EL62" s="147"/>
      <c r="EP62" s="147"/>
      <c r="EQ62" s="147"/>
      <c r="ER62" s="147"/>
      <c r="EV62" s="147"/>
      <c r="EW62" s="147"/>
      <c r="EX62" s="147"/>
    </row>
    <row r="63" s="67" customFormat="1" ht="48" customHeight="1" spans="1:154">
      <c r="A63" s="160"/>
      <c r="B63" s="160"/>
      <c r="C63" s="160"/>
      <c r="D63" s="160"/>
      <c r="E63" s="160"/>
      <c r="F63" s="160"/>
      <c r="G63" s="160"/>
      <c r="H63" s="160"/>
      <c r="J63" s="160"/>
      <c r="K63" s="160"/>
      <c r="L63" s="160"/>
      <c r="M63" s="160"/>
      <c r="N63" s="160"/>
      <c r="O63" s="160"/>
      <c r="P63" s="160"/>
      <c r="Q63" s="160"/>
      <c r="R63" s="161"/>
      <c r="S63" s="162"/>
      <c r="U63" s="147"/>
      <c r="V63" s="147"/>
      <c r="W63" s="147"/>
      <c r="AA63" s="147"/>
      <c r="AB63" s="147"/>
      <c r="AC63" s="147"/>
      <c r="AG63" s="147"/>
      <c r="AH63" s="147"/>
      <c r="AI63" s="147"/>
      <c r="AJ63" s="160"/>
      <c r="AM63" s="147"/>
      <c r="AN63" s="147"/>
      <c r="AO63" s="147"/>
      <c r="AP63" s="160"/>
      <c r="AR63" s="163"/>
      <c r="AS63" s="147"/>
      <c r="AT63" s="160"/>
      <c r="AV63" s="147"/>
      <c r="AW63" s="147"/>
      <c r="AZ63" s="147"/>
      <c r="BA63" s="147"/>
      <c r="BD63" s="147"/>
      <c r="BE63" s="147"/>
      <c r="BH63" s="147"/>
      <c r="BI63" s="147"/>
      <c r="BL63" s="147"/>
      <c r="BM63" s="147"/>
      <c r="BP63" s="147"/>
      <c r="BQ63" s="147"/>
      <c r="BT63" s="147"/>
      <c r="BU63" s="147"/>
      <c r="BX63" s="147"/>
      <c r="BY63" s="147"/>
      <c r="CB63" s="147"/>
      <c r="CC63" s="147"/>
      <c r="CD63" s="147"/>
      <c r="CH63" s="147"/>
      <c r="CI63" s="147"/>
      <c r="CJ63" s="147"/>
      <c r="CN63" s="147"/>
      <c r="CO63" s="147"/>
      <c r="CP63" s="147"/>
      <c r="CT63" s="147"/>
      <c r="CU63" s="147"/>
      <c r="CV63" s="147"/>
      <c r="CZ63" s="147"/>
      <c r="DA63" s="147"/>
      <c r="DB63" s="147"/>
      <c r="DF63" s="147"/>
      <c r="DG63" s="147"/>
      <c r="DH63" s="147"/>
      <c r="DL63" s="147"/>
      <c r="DM63" s="147"/>
      <c r="DN63" s="147"/>
      <c r="DR63" s="147"/>
      <c r="DS63" s="147"/>
      <c r="DT63" s="147"/>
      <c r="DX63" s="147"/>
      <c r="DY63" s="147"/>
      <c r="DZ63" s="147"/>
      <c r="ED63" s="147"/>
      <c r="EE63" s="147"/>
      <c r="EF63" s="147"/>
      <c r="EJ63" s="147"/>
      <c r="EK63" s="147"/>
      <c r="EL63" s="147"/>
      <c r="EP63" s="147"/>
      <c r="EQ63" s="147"/>
      <c r="ER63" s="147"/>
      <c r="EV63" s="147"/>
      <c r="EW63" s="147"/>
      <c r="EX63" s="147"/>
    </row>
    <row r="64" s="67" customFormat="1" ht="48" customHeight="1" spans="1:154">
      <c r="A64" s="160"/>
      <c r="B64" s="160"/>
      <c r="C64" s="160"/>
      <c r="D64" s="160"/>
      <c r="E64" s="160"/>
      <c r="F64" s="160"/>
      <c r="G64" s="160"/>
      <c r="H64" s="160"/>
      <c r="J64" s="160"/>
      <c r="K64" s="160"/>
      <c r="L64" s="160"/>
      <c r="M64" s="160"/>
      <c r="N64" s="160"/>
      <c r="O64" s="160"/>
      <c r="P64" s="160"/>
      <c r="Q64" s="160"/>
      <c r="R64" s="161"/>
      <c r="S64" s="162"/>
      <c r="U64" s="147"/>
      <c r="V64" s="147"/>
      <c r="W64" s="147"/>
      <c r="AA64" s="147"/>
      <c r="AB64" s="147"/>
      <c r="AC64" s="147"/>
      <c r="AG64" s="147"/>
      <c r="AH64" s="147"/>
      <c r="AI64" s="147"/>
      <c r="AJ64" s="160"/>
      <c r="AM64" s="147"/>
      <c r="AN64" s="147"/>
      <c r="AO64" s="147"/>
      <c r="AP64" s="160"/>
      <c r="AR64" s="163"/>
      <c r="AS64" s="147"/>
      <c r="AT64" s="160"/>
      <c r="AV64" s="147"/>
      <c r="AW64" s="147"/>
      <c r="AZ64" s="147"/>
      <c r="BA64" s="147"/>
      <c r="BD64" s="147"/>
      <c r="BE64" s="147"/>
      <c r="BH64" s="147"/>
      <c r="BI64" s="147"/>
      <c r="BL64" s="147"/>
      <c r="BM64" s="147"/>
      <c r="BP64" s="147"/>
      <c r="BQ64" s="147"/>
      <c r="BT64" s="147"/>
      <c r="BU64" s="147"/>
      <c r="BX64" s="147"/>
      <c r="BY64" s="147"/>
      <c r="CB64" s="147"/>
      <c r="CC64" s="147"/>
      <c r="CD64" s="147"/>
      <c r="CH64" s="147"/>
      <c r="CI64" s="147"/>
      <c r="CJ64" s="147"/>
      <c r="CN64" s="147"/>
      <c r="CO64" s="147"/>
      <c r="CP64" s="147"/>
      <c r="CT64" s="147"/>
      <c r="CU64" s="147"/>
      <c r="CV64" s="147"/>
      <c r="CZ64" s="147"/>
      <c r="DA64" s="147"/>
      <c r="DB64" s="147"/>
      <c r="DF64" s="147"/>
      <c r="DG64" s="147"/>
      <c r="DH64" s="147"/>
      <c r="DL64" s="147"/>
      <c r="DM64" s="147"/>
      <c r="DN64" s="147"/>
      <c r="DR64" s="147"/>
      <c r="DS64" s="147"/>
      <c r="DT64" s="147"/>
      <c r="DX64" s="147"/>
      <c r="DY64" s="147"/>
      <c r="DZ64" s="147"/>
      <c r="ED64" s="147"/>
      <c r="EE64" s="147"/>
      <c r="EF64" s="147"/>
      <c r="EJ64" s="147"/>
      <c r="EK64" s="147"/>
      <c r="EL64" s="147"/>
      <c r="EP64" s="147"/>
      <c r="EQ64" s="147"/>
      <c r="ER64" s="147"/>
      <c r="EV64" s="147"/>
      <c r="EW64" s="147"/>
      <c r="EX64" s="147"/>
    </row>
    <row r="65" s="67" customFormat="1" ht="48" customHeight="1" spans="1:154">
      <c r="A65" s="160"/>
      <c r="B65" s="160"/>
      <c r="C65" s="160"/>
      <c r="D65" s="160"/>
      <c r="E65" s="160"/>
      <c r="F65" s="160"/>
      <c r="G65" s="160"/>
      <c r="H65" s="160"/>
      <c r="J65" s="160"/>
      <c r="K65" s="160"/>
      <c r="L65" s="160"/>
      <c r="M65" s="160"/>
      <c r="N65" s="160"/>
      <c r="O65" s="160"/>
      <c r="P65" s="160"/>
      <c r="Q65" s="160"/>
      <c r="R65" s="161"/>
      <c r="S65" s="162"/>
      <c r="U65" s="147"/>
      <c r="V65" s="147"/>
      <c r="W65" s="147"/>
      <c r="AA65" s="147"/>
      <c r="AB65" s="147"/>
      <c r="AC65" s="147"/>
      <c r="AG65" s="147"/>
      <c r="AH65" s="147"/>
      <c r="AI65" s="147"/>
      <c r="AJ65" s="160"/>
      <c r="AM65" s="147"/>
      <c r="AN65" s="147"/>
      <c r="AO65" s="147"/>
      <c r="AP65" s="160"/>
      <c r="AR65" s="163"/>
      <c r="AS65" s="147"/>
      <c r="AT65" s="160"/>
      <c r="AV65" s="147"/>
      <c r="AW65" s="147"/>
      <c r="AZ65" s="147"/>
      <c r="BA65" s="147"/>
      <c r="BD65" s="147"/>
      <c r="BE65" s="147"/>
      <c r="BH65" s="147"/>
      <c r="BI65" s="147"/>
      <c r="BL65" s="147"/>
      <c r="BM65" s="147"/>
      <c r="BP65" s="147"/>
      <c r="BQ65" s="147"/>
      <c r="BT65" s="147"/>
      <c r="BU65" s="147"/>
      <c r="BX65" s="147"/>
      <c r="BY65" s="147"/>
      <c r="CB65" s="147"/>
      <c r="CC65" s="147"/>
      <c r="CD65" s="147"/>
      <c r="CH65" s="147"/>
      <c r="CI65" s="147"/>
      <c r="CJ65" s="147"/>
      <c r="CN65" s="147"/>
      <c r="CO65" s="147"/>
      <c r="CP65" s="147"/>
      <c r="CT65" s="147"/>
      <c r="CU65" s="147"/>
      <c r="CV65" s="147"/>
      <c r="CZ65" s="147"/>
      <c r="DA65" s="147"/>
      <c r="DB65" s="147"/>
      <c r="DF65" s="147"/>
      <c r="DG65" s="147"/>
      <c r="DH65" s="147"/>
      <c r="DL65" s="147"/>
      <c r="DM65" s="147"/>
      <c r="DN65" s="147"/>
      <c r="DR65" s="147"/>
      <c r="DS65" s="147"/>
      <c r="DT65" s="147"/>
      <c r="DX65" s="147"/>
      <c r="DY65" s="147"/>
      <c r="DZ65" s="147"/>
      <c r="ED65" s="147"/>
      <c r="EE65" s="147"/>
      <c r="EF65" s="147"/>
      <c r="EJ65" s="147"/>
      <c r="EK65" s="147"/>
      <c r="EL65" s="147"/>
      <c r="EP65" s="147"/>
      <c r="EQ65" s="147"/>
      <c r="ER65" s="147"/>
      <c r="EV65" s="147"/>
      <c r="EW65" s="147"/>
      <c r="EX65" s="147"/>
    </row>
    <row r="66" s="67" customFormat="1" ht="48" customHeight="1" spans="1:154">
      <c r="A66" s="160"/>
      <c r="B66" s="160"/>
      <c r="C66" s="160"/>
      <c r="D66" s="160"/>
      <c r="E66" s="160"/>
      <c r="F66" s="160"/>
      <c r="G66" s="160"/>
      <c r="H66" s="160"/>
      <c r="J66" s="160"/>
      <c r="K66" s="160"/>
      <c r="L66" s="160"/>
      <c r="M66" s="160"/>
      <c r="N66" s="160"/>
      <c r="O66" s="160"/>
      <c r="P66" s="160"/>
      <c r="Q66" s="160"/>
      <c r="R66" s="161"/>
      <c r="S66" s="162"/>
      <c r="U66" s="147"/>
      <c r="V66" s="147"/>
      <c r="W66" s="147"/>
      <c r="AA66" s="147"/>
      <c r="AB66" s="147"/>
      <c r="AC66" s="147"/>
      <c r="AG66" s="147"/>
      <c r="AH66" s="147"/>
      <c r="AI66" s="147"/>
      <c r="AJ66" s="160"/>
      <c r="AM66" s="147"/>
      <c r="AN66" s="147"/>
      <c r="AO66" s="147"/>
      <c r="AP66" s="160"/>
      <c r="AR66" s="163"/>
      <c r="AS66" s="147"/>
      <c r="AT66" s="160"/>
      <c r="AV66" s="147"/>
      <c r="AW66" s="147"/>
      <c r="AZ66" s="147"/>
      <c r="BA66" s="147"/>
      <c r="BD66" s="147"/>
      <c r="BE66" s="147"/>
      <c r="BH66" s="147"/>
      <c r="BI66" s="147"/>
      <c r="BL66" s="147"/>
      <c r="BM66" s="147"/>
      <c r="BP66" s="147"/>
      <c r="BQ66" s="147"/>
      <c r="BT66" s="147"/>
      <c r="BU66" s="147"/>
      <c r="BX66" s="147"/>
      <c r="BY66" s="147"/>
      <c r="CB66" s="147"/>
      <c r="CC66" s="147"/>
      <c r="CD66" s="147"/>
      <c r="CH66" s="147"/>
      <c r="CI66" s="147"/>
      <c r="CJ66" s="147"/>
      <c r="CN66" s="147"/>
      <c r="CO66" s="147"/>
      <c r="CP66" s="147"/>
      <c r="CT66" s="147"/>
      <c r="CU66" s="147"/>
      <c r="CV66" s="147"/>
      <c r="CZ66" s="147"/>
      <c r="DA66" s="147"/>
      <c r="DB66" s="147"/>
      <c r="DF66" s="147"/>
      <c r="DG66" s="147"/>
      <c r="DH66" s="147"/>
      <c r="DL66" s="147"/>
      <c r="DM66" s="147"/>
      <c r="DN66" s="147"/>
      <c r="DR66" s="147"/>
      <c r="DS66" s="147"/>
      <c r="DT66" s="147"/>
      <c r="DX66" s="147"/>
      <c r="DY66" s="147"/>
      <c r="DZ66" s="147"/>
      <c r="ED66" s="147"/>
      <c r="EE66" s="147"/>
      <c r="EF66" s="147"/>
      <c r="EJ66" s="147"/>
      <c r="EK66" s="147"/>
      <c r="EL66" s="147"/>
      <c r="EP66" s="147"/>
      <c r="EQ66" s="147"/>
      <c r="ER66" s="147"/>
      <c r="EV66" s="147"/>
      <c r="EW66" s="147"/>
      <c r="EX66" s="147"/>
    </row>
    <row r="67" s="67" customFormat="1" ht="48" customHeight="1" spans="1:154">
      <c r="A67" s="160"/>
      <c r="B67" s="160"/>
      <c r="C67" s="160"/>
      <c r="D67" s="160"/>
      <c r="E67" s="160"/>
      <c r="F67" s="160"/>
      <c r="G67" s="160"/>
      <c r="H67" s="160"/>
      <c r="J67" s="160"/>
      <c r="K67" s="160"/>
      <c r="L67" s="160"/>
      <c r="M67" s="160"/>
      <c r="N67" s="160"/>
      <c r="O67" s="160"/>
      <c r="P67" s="160"/>
      <c r="Q67" s="160"/>
      <c r="R67" s="161"/>
      <c r="S67" s="162"/>
      <c r="U67" s="147"/>
      <c r="V67" s="147"/>
      <c r="W67" s="147"/>
      <c r="AA67" s="147"/>
      <c r="AB67" s="147"/>
      <c r="AC67" s="147"/>
      <c r="AG67" s="147"/>
      <c r="AH67" s="147"/>
      <c r="AI67" s="147"/>
      <c r="AJ67" s="160"/>
      <c r="AM67" s="147"/>
      <c r="AN67" s="147"/>
      <c r="AO67" s="147"/>
      <c r="AP67" s="160"/>
      <c r="AR67" s="163"/>
      <c r="AS67" s="147"/>
      <c r="AT67" s="160"/>
      <c r="AV67" s="147"/>
      <c r="AW67" s="147"/>
      <c r="AZ67" s="147"/>
      <c r="BA67" s="147"/>
      <c r="BD67" s="147"/>
      <c r="BE67" s="147"/>
      <c r="BH67" s="147"/>
      <c r="BI67" s="147"/>
      <c r="BL67" s="147"/>
      <c r="BM67" s="147"/>
      <c r="BP67" s="147"/>
      <c r="BQ67" s="147"/>
      <c r="BT67" s="147"/>
      <c r="BU67" s="147"/>
      <c r="BX67" s="147"/>
      <c r="BY67" s="147"/>
      <c r="CB67" s="147"/>
      <c r="CC67" s="147"/>
      <c r="CD67" s="147"/>
      <c r="CH67" s="147"/>
      <c r="CI67" s="147"/>
      <c r="CJ67" s="147"/>
      <c r="CN67" s="147"/>
      <c r="CO67" s="147"/>
      <c r="CP67" s="147"/>
      <c r="CT67" s="147"/>
      <c r="CU67" s="147"/>
      <c r="CV67" s="147"/>
      <c r="CZ67" s="147"/>
      <c r="DA67" s="147"/>
      <c r="DB67" s="147"/>
      <c r="DF67" s="147"/>
      <c r="DG67" s="147"/>
      <c r="DH67" s="147"/>
      <c r="DL67" s="147"/>
      <c r="DM67" s="147"/>
      <c r="DN67" s="147"/>
      <c r="DR67" s="147"/>
      <c r="DS67" s="147"/>
      <c r="DT67" s="147"/>
      <c r="DX67" s="147"/>
      <c r="DY67" s="147"/>
      <c r="DZ67" s="147"/>
      <c r="ED67" s="147"/>
      <c r="EE67" s="147"/>
      <c r="EF67" s="147"/>
      <c r="EJ67" s="147"/>
      <c r="EK67" s="147"/>
      <c r="EL67" s="147"/>
      <c r="EP67" s="147"/>
      <c r="EQ67" s="147"/>
      <c r="ER67" s="147"/>
      <c r="EV67" s="147"/>
      <c r="EW67" s="147"/>
      <c r="EX67" s="147"/>
    </row>
    <row r="68" ht="24" customHeight="1"/>
    <row r="69" ht="24" customHeight="1"/>
    <row r="70" ht="24" customHeight="1"/>
    <row r="71" ht="24" customHeight="1"/>
  </sheetData>
  <sheetProtection formatCells="0" formatColumns="0" formatRows="0" insertRows="0" insertColumns="0" insertHyperlinks="0" deleteColumns="0" deleteRows="0" sort="0" autoFilter="0" pivotTables="0"/>
  <autoFilter xmlns:etc="http://www.wps.cn/officeDocument/2017/etCustomData" ref="A2:FP67" etc:filterBottomFollowUsedRange="0">
    <extLst/>
  </autoFilter>
  <mergeCells count="86">
    <mergeCell ref="U1:W1"/>
    <mergeCell ref="X1:Z1"/>
    <mergeCell ref="AA1:AC1"/>
    <mergeCell ref="AD1:AF1"/>
    <mergeCell ref="AG1:AI1"/>
    <mergeCell ref="AJ1:AL1"/>
    <mergeCell ref="AM1:AO1"/>
    <mergeCell ref="AP1:AQ1"/>
    <mergeCell ref="AR1:AS1"/>
    <mergeCell ref="AT1:AU1"/>
    <mergeCell ref="AV1:AW1"/>
    <mergeCell ref="AX1:AY1"/>
    <mergeCell ref="AZ1:BA1"/>
    <mergeCell ref="BB1:BC1"/>
    <mergeCell ref="BD1:BE1"/>
    <mergeCell ref="BF1:BG1"/>
    <mergeCell ref="BH1:BI1"/>
    <mergeCell ref="BJ1:BK1"/>
    <mergeCell ref="BL1:BM1"/>
    <mergeCell ref="BN1:BO1"/>
    <mergeCell ref="BP1:BQ1"/>
    <mergeCell ref="BR1:BS1"/>
    <mergeCell ref="BT1:BU1"/>
    <mergeCell ref="BV1:BW1"/>
    <mergeCell ref="BX1:BY1"/>
    <mergeCell ref="BZ1:CA1"/>
    <mergeCell ref="CB1:CD1"/>
    <mergeCell ref="CE1:CG1"/>
    <mergeCell ref="CH1:CJ1"/>
    <mergeCell ref="CK1:CM1"/>
    <mergeCell ref="CN1:CP1"/>
    <mergeCell ref="CQ1:CS1"/>
    <mergeCell ref="CT1:CV1"/>
    <mergeCell ref="CW1:CY1"/>
    <mergeCell ref="CZ1:DB1"/>
    <mergeCell ref="DC1:DE1"/>
    <mergeCell ref="DF1:DH1"/>
    <mergeCell ref="DI1:DK1"/>
    <mergeCell ref="DL1:DN1"/>
    <mergeCell ref="DO1:DQ1"/>
    <mergeCell ref="DR1:DT1"/>
    <mergeCell ref="DU1:DW1"/>
    <mergeCell ref="DX1:DZ1"/>
    <mergeCell ref="EA1:EC1"/>
    <mergeCell ref="ED1:EF1"/>
    <mergeCell ref="EG1:EI1"/>
    <mergeCell ref="EJ1:EL1"/>
    <mergeCell ref="EM1:EO1"/>
    <mergeCell ref="EP1:ER1"/>
    <mergeCell ref="ES1:EU1"/>
    <mergeCell ref="EV1:EX1"/>
    <mergeCell ref="EY1:FA1"/>
    <mergeCell ref="A1:A2"/>
    <mergeCell ref="A26:A27"/>
    <mergeCell ref="A30:A31"/>
    <mergeCell ref="C1:C2"/>
    <mergeCell ref="C26:C27"/>
    <mergeCell ref="C30:C31"/>
    <mergeCell ref="D1:D2"/>
    <mergeCell ref="D26:D27"/>
    <mergeCell ref="D30:D31"/>
    <mergeCell ref="E1:E2"/>
    <mergeCell ref="E26:E27"/>
    <mergeCell ref="E30:E31"/>
    <mergeCell ref="F1:F2"/>
    <mergeCell ref="F26:F27"/>
    <mergeCell ref="F30:F31"/>
    <mergeCell ref="G1:G2"/>
    <mergeCell ref="G26:G27"/>
    <mergeCell ref="G30:G31"/>
    <mergeCell ref="H1:H2"/>
    <mergeCell ref="H30:H31"/>
    <mergeCell ref="I1:I2"/>
    <mergeCell ref="I30:I31"/>
    <mergeCell ref="J1:J2"/>
    <mergeCell ref="J30:J31"/>
    <mergeCell ref="K1:K2"/>
    <mergeCell ref="L1:L2"/>
    <mergeCell ref="M1:M2"/>
    <mergeCell ref="N1:N2"/>
    <mergeCell ref="O1:O2"/>
    <mergeCell ref="P1:P2"/>
    <mergeCell ref="Q1:Q2"/>
    <mergeCell ref="R1:R2"/>
    <mergeCell ref="S1:S2"/>
    <mergeCell ref="T1:T2"/>
  </mergeCells>
  <conditionalFormatting sqref="D4">
    <cfRule type="cellIs" dxfId="0" priority="3" operator="equal">
      <formula>$D$4</formula>
    </cfRule>
  </conditionalFormatting>
  <conditionalFormatting sqref="D3:D26 D28:D30 D32:D296">
    <cfRule type="cellIs" dxfId="1" priority="2" operator="equal">
      <formula>$D$3</formula>
    </cfRule>
  </conditionalFormatting>
  <conditionalFormatting sqref="D3:D26 D28:D30 D32:D1048576">
    <cfRule type="cellIs" dxfId="0" priority="1" operator="equal">
      <formula>$D$4</formula>
    </cfRule>
  </conditionalFormatting>
  <dataValidations count="2">
    <dataValidation type="list" allowBlank="1" showInputMessage="1" showErrorMessage="1" errorTitle="Error Message" error="Please enter a value from the Drop-Down List" sqref="S$1:S$1048576">
      <formula1>"代运营, 工位, 物流, 跨境培训, 跨境人才, 海外仓, 流量营销获客, 跨境电商保险服务, 企业出海规划方案, 欧洲品牌出海规划, 品牌孵化, 海外展会需求, 税务合规咨询, 海关监管咨询, 产品供应链需求, 跨境电商结算咨询"</formula1>
    </dataValidation>
    <dataValidation type="list" allowBlank="1" showInputMessage="1" showErrorMessage="1" sqref="AF$1:AF$1048576 AI$1:AI$1048576 AL$1:AL$1048576 AO$1:AO$1048576 CD$1:CD$1048576 CG$1:CG$1048576 CJ$1:CJ$1048576 CM$1:CM$1048576 CP$1:CP$1048576 CS$1:CS$1048576 CV$1:CV$1048576 CY$1:CY$1048576 DB$1:DB$1048576 DE$1:DE$1048576 DH$1:DH$1048576 DK$1:DK$1048576 DN$1:DN$1048576 DQ$1:DQ$1048576 DT$1:DT$1048576 DW$1:DW$1048576 DZ$1:DZ$1048576 EC$1:EC$1048576 EF$1:EF$1048576 EI$1:EI$1048576 EL$1:EL$1048576 EO$1:EO$1048576 ER$1:ER$1048576 EU$1:EU$1048576 EX$1:EX$1048576 FA$1:FA$1048576">
      <formula1>"代运营, 工位, 跨境培训, 跨境人才, 海外仓, 流量营销, 企业出海规划方案, 品牌孵化, 海外展会需求, 税务合规咨询, 海关监管咨询, 外汇兑换及结算咨询, 其他"</formula1>
    </dataValidation>
  </dataValidations>
  <hyperlinks>
    <hyperlink ref="F9" r:id="rId1" display="常州仪轩激光技术有限公司" tooltip="https://aiqicha.baidu.com/company_detail_26898093068179"/>
  </hyperlink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XFC34"/>
  <sheetViews>
    <sheetView workbookViewId="0">
      <selection activeCell="C3" sqref="C3:C5"/>
    </sheetView>
  </sheetViews>
  <sheetFormatPr defaultColWidth="11" defaultRowHeight="15.5"/>
  <cols>
    <col min="1" max="1" width="10.8307692307692" style="43"/>
    <col min="2" max="2" width="29.3307692307692" customWidth="1"/>
    <col min="3" max="3" width="23.5" style="23" customWidth="1"/>
    <col min="4" max="4" width="18.1615384615385" customWidth="1"/>
    <col min="5" max="5" width="15.6615384615385" customWidth="1"/>
    <col min="6" max="6" width="18.1615384615385" customWidth="1"/>
    <col min="7" max="9" width="15.6615384615385" customWidth="1"/>
    <col min="10" max="10" width="19" customWidth="1"/>
  </cols>
  <sheetData>
    <row r="1" s="42" customFormat="1" ht="27" customHeight="1" spans="1:11 16214:16383">
      <c r="A1" s="44" t="s">
        <v>2453</v>
      </c>
      <c r="B1" s="45"/>
      <c r="C1" s="46"/>
      <c r="D1" s="45">
        <v>3.1</v>
      </c>
      <c r="E1" s="46"/>
      <c r="F1" s="45">
        <v>3.8</v>
      </c>
      <c r="G1" s="46"/>
      <c r="H1" s="45">
        <v>3.16</v>
      </c>
      <c r="I1" s="46"/>
      <c r="J1" s="45">
        <v>3.27</v>
      </c>
      <c r="K1" s="46"/>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row>
    <row r="2" spans="1:11 16214:16383">
      <c r="A2" s="47" t="s">
        <v>0</v>
      </c>
      <c r="B2" s="48" t="s">
        <v>2161</v>
      </c>
      <c r="C2" s="47" t="s">
        <v>2454</v>
      </c>
      <c r="D2" s="48" t="s">
        <v>2161</v>
      </c>
      <c r="E2" s="47" t="s">
        <v>2454</v>
      </c>
      <c r="F2" s="48" t="s">
        <v>2161</v>
      </c>
      <c r="G2" s="47" t="s">
        <v>2454</v>
      </c>
      <c r="H2" s="48" t="s">
        <v>2161</v>
      </c>
      <c r="I2" s="47" t="s">
        <v>2454</v>
      </c>
      <c r="J2" s="48" t="s">
        <v>2161</v>
      </c>
      <c r="K2" s="47" t="s">
        <v>2454</v>
      </c>
    </row>
    <row r="3" spans="1:11 16214:16383">
      <c r="A3" s="49">
        <v>1</v>
      </c>
      <c r="B3" s="50" t="s">
        <v>2455</v>
      </c>
      <c r="C3" s="51">
        <v>35</v>
      </c>
      <c r="D3" s="50" t="s">
        <v>2455</v>
      </c>
      <c r="E3" s="51">
        <v>8</v>
      </c>
      <c r="F3" s="50" t="s">
        <v>2455</v>
      </c>
      <c r="G3" s="51">
        <v>2</v>
      </c>
      <c r="H3" s="50" t="s">
        <v>2455</v>
      </c>
      <c r="I3" s="51">
        <v>12</v>
      </c>
      <c r="J3" s="50" t="s">
        <v>2455</v>
      </c>
      <c r="K3" s="51">
        <v>11</v>
      </c>
    </row>
    <row r="4" spans="1:11 16214:16383">
      <c r="A4" s="49">
        <v>2</v>
      </c>
      <c r="B4" s="50" t="s">
        <v>2456</v>
      </c>
      <c r="C4" s="51">
        <v>34</v>
      </c>
      <c r="D4" s="50" t="s">
        <v>2456</v>
      </c>
      <c r="E4" s="51">
        <v>6</v>
      </c>
      <c r="F4" s="50" t="s">
        <v>2456</v>
      </c>
      <c r="G4" s="51">
        <v>3</v>
      </c>
      <c r="H4" s="50" t="s">
        <v>2456</v>
      </c>
      <c r="I4" s="51">
        <v>6</v>
      </c>
      <c r="J4" s="50" t="s">
        <v>2456</v>
      </c>
      <c r="K4" s="51">
        <v>4</v>
      </c>
    </row>
    <row r="5" spans="1:11 16214:16383">
      <c r="A5" s="49">
        <v>3</v>
      </c>
      <c r="B5" s="52" t="s">
        <v>2457</v>
      </c>
      <c r="C5" s="53">
        <f>COUNTIF('2.1 周度建联企业情况表'!D3:D1048576,"是")</f>
        <v>26</v>
      </c>
      <c r="D5" s="52" t="s">
        <v>2457</v>
      </c>
      <c r="E5" s="53">
        <v>4</v>
      </c>
      <c r="F5" s="52" t="s">
        <v>2457</v>
      </c>
      <c r="G5" s="53">
        <v>2</v>
      </c>
      <c r="H5" s="52" t="s">
        <v>2457</v>
      </c>
      <c r="I5" s="53">
        <v>2</v>
      </c>
      <c r="J5" s="52" t="s">
        <v>2457</v>
      </c>
      <c r="K5" s="53">
        <v>3</v>
      </c>
    </row>
    <row r="6" spans="1:11 16214:16383">
      <c r="A6" s="47"/>
      <c r="B6" s="54" t="s">
        <v>2458</v>
      </c>
      <c r="C6" s="55"/>
      <c r="D6" s="54" t="s">
        <v>2458</v>
      </c>
      <c r="E6" s="55"/>
      <c r="F6" s="54" t="s">
        <v>2458</v>
      </c>
      <c r="G6" s="55"/>
      <c r="H6" s="54" t="s">
        <v>2458</v>
      </c>
      <c r="I6" s="55"/>
      <c r="J6" s="54" t="s">
        <v>2458</v>
      </c>
      <c r="K6" s="55"/>
    </row>
    <row r="7" spans="1:11 16214:16383">
      <c r="A7" s="49">
        <v>1</v>
      </c>
      <c r="B7" s="56" t="s">
        <v>52</v>
      </c>
      <c r="C7" s="53">
        <f>COUNTIF('2.1 周度建联企业情况表'!$S$3:$S$1048576,"代运营")</f>
        <v>1</v>
      </c>
      <c r="D7" s="56" t="s">
        <v>52</v>
      </c>
      <c r="E7" s="53">
        <v>0</v>
      </c>
      <c r="F7" s="56" t="s">
        <v>52</v>
      </c>
      <c r="G7" s="53">
        <v>1</v>
      </c>
      <c r="H7" s="56" t="s">
        <v>52</v>
      </c>
      <c r="I7" s="53">
        <v>0</v>
      </c>
      <c r="J7" s="56" t="s">
        <v>52</v>
      </c>
      <c r="K7" s="53">
        <v>0</v>
      </c>
    </row>
    <row r="8" spans="1:11 16214:16383">
      <c r="A8" s="49">
        <v>2</v>
      </c>
      <c r="B8" s="56" t="s">
        <v>1684</v>
      </c>
      <c r="C8" s="53">
        <f>COUNTIF('2.1 周度建联企业情况表'!$S$3:$S$1048576,"工位")</f>
        <v>1</v>
      </c>
      <c r="D8" s="56" t="s">
        <v>1684</v>
      </c>
      <c r="E8" s="53">
        <v>0</v>
      </c>
      <c r="F8" s="56" t="s">
        <v>1684</v>
      </c>
      <c r="G8" s="53">
        <v>0</v>
      </c>
      <c r="H8" s="56" t="s">
        <v>1684</v>
      </c>
      <c r="I8" s="53">
        <v>0</v>
      </c>
      <c r="J8" s="56" t="s">
        <v>1684</v>
      </c>
      <c r="K8" s="53">
        <v>0</v>
      </c>
    </row>
    <row r="9" spans="1:11 16214:16383">
      <c r="A9" s="49">
        <v>3</v>
      </c>
      <c r="B9" s="56" t="s">
        <v>787</v>
      </c>
      <c r="C9" s="53">
        <f>COUNTIF('2.1 周度建联企业情况表'!$S$3:$S$1048576,"跨境培训")</f>
        <v>7</v>
      </c>
      <c r="D9" s="56" t="s">
        <v>787</v>
      </c>
      <c r="E9" s="53">
        <v>0</v>
      </c>
      <c r="F9" s="56" t="s">
        <v>787</v>
      </c>
      <c r="G9" s="53">
        <v>0</v>
      </c>
      <c r="H9" s="56" t="s">
        <v>787</v>
      </c>
      <c r="I9" s="53">
        <v>1</v>
      </c>
      <c r="J9" s="56" t="s">
        <v>787</v>
      </c>
      <c r="K9" s="53">
        <v>0</v>
      </c>
    </row>
    <row r="10" spans="1:11 16214:16383">
      <c r="A10" s="49">
        <v>4</v>
      </c>
      <c r="B10" s="56" t="s">
        <v>2279</v>
      </c>
      <c r="C10" s="53">
        <f>COUNTIF('2.1 周度建联企业情况表'!$S$3:$S$1048576,"跨境人才")</f>
        <v>2</v>
      </c>
      <c r="D10" s="56" t="s">
        <v>2279</v>
      </c>
      <c r="E10" s="53">
        <v>1</v>
      </c>
      <c r="F10" s="56" t="s">
        <v>2279</v>
      </c>
      <c r="G10" s="53">
        <v>0</v>
      </c>
      <c r="H10" s="56" t="s">
        <v>2279</v>
      </c>
      <c r="I10" s="53">
        <v>0</v>
      </c>
      <c r="J10" s="56" t="s">
        <v>2279</v>
      </c>
      <c r="K10" s="53">
        <v>1</v>
      </c>
    </row>
    <row r="11" spans="1:11 16214:16383">
      <c r="A11" s="49">
        <v>5</v>
      </c>
      <c r="B11" s="56" t="s">
        <v>2189</v>
      </c>
      <c r="C11" s="53">
        <f>COUNTIF('2.1 周度建联企业情况表'!$S$3:$S$1048576,"海外仓")</f>
        <v>1</v>
      </c>
      <c r="D11" s="56" t="s">
        <v>2189</v>
      </c>
      <c r="E11" s="53">
        <v>0</v>
      </c>
      <c r="F11" s="56" t="s">
        <v>2189</v>
      </c>
      <c r="G11" s="53">
        <v>0</v>
      </c>
      <c r="H11" s="56" t="s">
        <v>2189</v>
      </c>
      <c r="I11" s="53">
        <v>0</v>
      </c>
      <c r="J11" s="56" t="s">
        <v>2189</v>
      </c>
      <c r="K11" s="53">
        <v>0</v>
      </c>
    </row>
    <row r="12" spans="1:11 16214:16383">
      <c r="A12" s="49">
        <v>6</v>
      </c>
      <c r="B12" s="56" t="s">
        <v>2213</v>
      </c>
      <c r="C12" s="53">
        <f>COUNTIF('2.1 周度建联企业情况表'!$S$3:$S$1048576,"流量营销获客")</f>
        <v>4</v>
      </c>
      <c r="D12" s="56" t="s">
        <v>2213</v>
      </c>
      <c r="E12" s="53">
        <v>2</v>
      </c>
      <c r="F12" s="56" t="s">
        <v>2213</v>
      </c>
      <c r="G12" s="53">
        <v>0</v>
      </c>
      <c r="H12" s="56" t="s">
        <v>2213</v>
      </c>
      <c r="I12" s="53">
        <v>2</v>
      </c>
      <c r="J12" s="56" t="s">
        <v>2213</v>
      </c>
      <c r="K12" s="53">
        <v>1</v>
      </c>
    </row>
    <row r="13" spans="1:11 16214:16383">
      <c r="A13" s="49">
        <v>7</v>
      </c>
      <c r="B13" s="56" t="s">
        <v>2164</v>
      </c>
      <c r="C13" s="53">
        <f>COUNTIF('2.1 周度建联企业情况表'!$S$3:$S$1048576,"企业出海规划方案")</f>
        <v>8</v>
      </c>
      <c r="D13" s="56" t="s">
        <v>2164</v>
      </c>
      <c r="E13" s="53">
        <v>5</v>
      </c>
      <c r="F13" s="56" t="s">
        <v>2164</v>
      </c>
      <c r="G13" s="53">
        <v>0</v>
      </c>
      <c r="H13" s="56" t="s">
        <v>2164</v>
      </c>
      <c r="I13" s="53">
        <v>1</v>
      </c>
      <c r="J13" s="56" t="s">
        <v>2164</v>
      </c>
      <c r="K13" s="53">
        <v>0</v>
      </c>
    </row>
    <row r="14" spans="1:11 16214:16383">
      <c r="A14" s="49">
        <v>8</v>
      </c>
      <c r="B14" s="56" t="s">
        <v>55</v>
      </c>
      <c r="C14" s="53">
        <f>COUNTIF('2.1 周度建联企业情况表'!$S$3:$S$1048576,"品牌孵化")</f>
        <v>0</v>
      </c>
      <c r="D14" s="56" t="s">
        <v>55</v>
      </c>
      <c r="E14" s="53">
        <v>0</v>
      </c>
      <c r="F14" s="56" t="s">
        <v>55</v>
      </c>
      <c r="G14" s="53">
        <v>0</v>
      </c>
      <c r="H14" s="56" t="s">
        <v>55</v>
      </c>
      <c r="I14" s="53">
        <v>0</v>
      </c>
      <c r="J14" s="56" t="s">
        <v>55</v>
      </c>
      <c r="K14" s="53">
        <v>0</v>
      </c>
    </row>
    <row r="15" spans="1:11 16214:16383">
      <c r="A15" s="49">
        <v>9</v>
      </c>
      <c r="B15" s="56" t="s">
        <v>2396</v>
      </c>
      <c r="C15" s="53">
        <f>COUNTIF('2.1 周度建联企业情况表'!$S$3:$S$1048576,"海外展会需求")</f>
        <v>1</v>
      </c>
      <c r="D15" s="56" t="s">
        <v>2396</v>
      </c>
      <c r="E15" s="53">
        <v>0</v>
      </c>
      <c r="F15" s="56" t="s">
        <v>2396</v>
      </c>
      <c r="G15" s="53">
        <v>1</v>
      </c>
      <c r="H15" s="56" t="s">
        <v>2396</v>
      </c>
      <c r="I15" s="53">
        <v>0</v>
      </c>
      <c r="J15" s="56" t="s">
        <v>2396</v>
      </c>
      <c r="K15" s="53">
        <v>0</v>
      </c>
    </row>
    <row r="16" spans="1:11 16214:16383">
      <c r="A16" s="49">
        <v>10</v>
      </c>
      <c r="B16" s="56" t="s">
        <v>2417</v>
      </c>
      <c r="C16" s="53">
        <f>COUNTIF('2.1 周度建联企业情况表'!$S$3:$S$1048576,"税务合规咨询")</f>
        <v>5</v>
      </c>
      <c r="D16" s="56" t="s">
        <v>2417</v>
      </c>
      <c r="E16" s="53">
        <v>0</v>
      </c>
      <c r="F16" s="56" t="s">
        <v>2417</v>
      </c>
      <c r="G16" s="53">
        <v>0</v>
      </c>
      <c r="H16" s="56" t="s">
        <v>2417</v>
      </c>
      <c r="I16" s="53"/>
      <c r="J16" s="56" t="s">
        <v>2417</v>
      </c>
      <c r="K16" s="53">
        <v>2</v>
      </c>
    </row>
    <row r="17" spans="1:11">
      <c r="A17" s="49">
        <v>11</v>
      </c>
      <c r="B17" s="56" t="s">
        <v>2459</v>
      </c>
      <c r="C17" s="53">
        <f>COUNTIF('2.1 周度建联企业情况表'!$S$3:$S$1048576,"海关监管咨询")</f>
        <v>0</v>
      </c>
      <c r="D17" s="56" t="s">
        <v>2459</v>
      </c>
      <c r="E17" s="53">
        <v>0</v>
      </c>
      <c r="F17" s="56" t="s">
        <v>2459</v>
      </c>
      <c r="G17" s="53">
        <v>0</v>
      </c>
      <c r="H17" s="56" t="s">
        <v>2459</v>
      </c>
      <c r="I17" s="53">
        <v>0</v>
      </c>
      <c r="J17" s="56" t="s">
        <v>2459</v>
      </c>
      <c r="K17" s="53">
        <v>0</v>
      </c>
    </row>
    <row r="18" spans="1:11">
      <c r="A18" s="49">
        <v>12</v>
      </c>
      <c r="B18" s="56" t="s">
        <v>2245</v>
      </c>
      <c r="C18" s="53">
        <f>COUNTIF('2.1 周度建联企业情况表'!$S$3:$S$1048576,"物流")</f>
        <v>1</v>
      </c>
      <c r="D18" s="56" t="s">
        <v>2245</v>
      </c>
      <c r="E18" s="53">
        <v>0</v>
      </c>
      <c r="F18" s="56" t="s">
        <v>2245</v>
      </c>
      <c r="G18" s="53">
        <v>0</v>
      </c>
      <c r="H18" s="56" t="s">
        <v>2245</v>
      </c>
      <c r="I18" s="53">
        <v>0</v>
      </c>
      <c r="J18" s="56" t="s">
        <v>2245</v>
      </c>
      <c r="K18" s="53">
        <v>0</v>
      </c>
    </row>
    <row r="19" spans="1:11">
      <c r="A19" s="49">
        <v>13</v>
      </c>
      <c r="B19" s="56" t="s">
        <v>2240</v>
      </c>
      <c r="C19" s="53">
        <f>COUNTIF('2.1 周度建联企业情况表'!$S$3:$S$1048576,"欧洲品牌出海规划")</f>
        <v>4</v>
      </c>
      <c r="D19" s="56" t="s">
        <v>2240</v>
      </c>
      <c r="E19" s="53">
        <v>0</v>
      </c>
      <c r="F19" s="56" t="s">
        <v>2240</v>
      </c>
      <c r="G19" s="53">
        <v>0</v>
      </c>
      <c r="H19" s="56" t="s">
        <v>2240</v>
      </c>
      <c r="I19" s="53">
        <v>0</v>
      </c>
      <c r="J19" s="56" t="s">
        <v>2240</v>
      </c>
      <c r="K19" s="53">
        <v>0</v>
      </c>
    </row>
    <row r="20" spans="1:11">
      <c r="A20" s="49">
        <v>14</v>
      </c>
      <c r="B20" s="56" t="s">
        <v>2307</v>
      </c>
      <c r="C20" s="53">
        <f>COUNTIF('2.1 周度建联企业情况表'!$S$3:$S$1048576,"跨境电商保险服务")</f>
        <v>1</v>
      </c>
      <c r="D20" s="56" t="s">
        <v>2307</v>
      </c>
      <c r="E20" s="53">
        <v>0</v>
      </c>
      <c r="F20" s="56" t="s">
        <v>2307</v>
      </c>
      <c r="G20" s="53">
        <v>0</v>
      </c>
      <c r="H20" s="56" t="s">
        <v>2307</v>
      </c>
      <c r="I20" s="53">
        <v>1</v>
      </c>
      <c r="J20" s="56" t="s">
        <v>2307</v>
      </c>
      <c r="K20" s="53">
        <v>0</v>
      </c>
    </row>
    <row r="21" spans="1:11">
      <c r="A21" s="49">
        <v>15</v>
      </c>
      <c r="B21" s="57" t="s">
        <v>2460</v>
      </c>
      <c r="C21" s="53">
        <f>COUNTIF('2.1 周度建联企业情况表'!$S$3:$S$1048576,"产品供应链需求")</f>
        <v>0</v>
      </c>
      <c r="D21" s="57" t="s">
        <v>2460</v>
      </c>
      <c r="E21" s="53">
        <v>0</v>
      </c>
      <c r="F21" s="57" t="s">
        <v>2460</v>
      </c>
      <c r="G21" s="53">
        <v>0</v>
      </c>
      <c r="H21" s="57" t="s">
        <v>2460</v>
      </c>
      <c r="I21" s="53">
        <v>0</v>
      </c>
      <c r="J21" s="57" t="s">
        <v>2460</v>
      </c>
      <c r="K21" s="53">
        <v>1</v>
      </c>
    </row>
    <row r="22" ht="30" spans="1:11">
      <c r="A22" s="49">
        <v>16</v>
      </c>
      <c r="B22" s="58" t="s">
        <v>2461</v>
      </c>
      <c r="C22" s="53">
        <f>COUNTIF('2.1 周度建联企业情况表'!$S$3:$S$1048576,"跨境电商结算咨询")</f>
        <v>1</v>
      </c>
      <c r="D22" s="58" t="s">
        <v>2461</v>
      </c>
      <c r="E22" s="53">
        <v>0</v>
      </c>
      <c r="F22" s="59" t="s">
        <v>2461</v>
      </c>
      <c r="G22" s="53">
        <v>0</v>
      </c>
      <c r="H22" s="58" t="s">
        <v>2461</v>
      </c>
      <c r="I22" s="53">
        <v>1</v>
      </c>
      <c r="J22" s="58" t="s">
        <v>2461</v>
      </c>
      <c r="K22" s="53">
        <v>0</v>
      </c>
    </row>
    <row r="23" spans="1:11">
      <c r="B23" s="60"/>
    </row>
    <row r="24" spans="1:11">
      <c r="B24" s="60"/>
    </row>
    <row r="25" spans="1:11">
      <c r="B25" s="61"/>
    </row>
    <row r="26" spans="1:11">
      <c r="B26" s="62"/>
    </row>
    <row r="27" spans="1:11">
      <c r="B27" s="62"/>
    </row>
    <row r="28" spans="1:11">
      <c r="B28" s="62"/>
    </row>
    <row r="29" spans="1:11">
      <c r="B29" s="63"/>
    </row>
    <row r="30" spans="1:11">
      <c r="B30" s="62"/>
    </row>
    <row r="31" spans="1:11">
      <c r="B31" s="62"/>
    </row>
    <row r="32" spans="1:11">
      <c r="B32" s="63"/>
    </row>
    <row r="33" spans="2:2">
      <c r="B33" s="62"/>
    </row>
    <row r="34" spans="2:2">
      <c r="B34" s="62"/>
    </row>
  </sheetData>
  <sheetProtection formatCells="0" formatColumns="0" formatRows="0" insertRows="0" insertColumns="0" insertHyperlinks="0" deleteColumns="0" deleteRows="0" sort="0" autoFilter="0" pivotTables="0"/>
  <mergeCells count="5">
    <mergeCell ref="A1:C1"/>
    <mergeCell ref="D1:E1"/>
    <mergeCell ref="F1:G1"/>
    <mergeCell ref="H1:I1"/>
    <mergeCell ref="J1:K1"/>
  </mergeCells>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Y29"/>
  <sheetViews>
    <sheetView zoomScale="89" zoomScaleNormal="89" topLeftCell="R1" workbookViewId="0">
      <selection activeCell="C12" sqref="C12"/>
    </sheetView>
  </sheetViews>
  <sheetFormatPr defaultColWidth="11" defaultRowHeight="15.5"/>
  <cols>
    <col min="1" max="1" width="6.66153846153846" style="23" customWidth="1"/>
    <col min="2" max="2" width="36.1615384615385" customWidth="1"/>
    <col min="3" max="3" width="34.5" customWidth="1"/>
    <col min="4" max="4" width="16.1615384615385" style="23" customWidth="1"/>
    <col min="5" max="5" width="19.5" style="23" customWidth="1"/>
    <col min="6" max="6" width="25.6615384615385" style="23" customWidth="1"/>
    <col min="7" max="7" width="16.5" style="23" customWidth="1"/>
    <col min="8" max="8" width="33.8307692307692" style="23" customWidth="1"/>
    <col min="9" max="9" width="13.8307692307692" style="23" customWidth="1"/>
    <col min="10" max="10" width="12.3307692307692" style="23" customWidth="1"/>
    <col min="11" max="11" width="15.5" style="23" customWidth="1"/>
    <col min="12" max="12" width="12.6615384615385" style="23" customWidth="1"/>
    <col min="13" max="13" width="27.8307692307692" style="23" customWidth="1"/>
    <col min="14" max="14" width="25.3307692307692" customWidth="1"/>
    <col min="15" max="15" width="37.1615384615385" customWidth="1"/>
    <col min="16" max="16" width="37.6615384615385" customWidth="1"/>
    <col min="17" max="17" width="42" customWidth="1"/>
    <col min="18" max="29" width="37.8307692307692" customWidth="1"/>
  </cols>
  <sheetData>
    <row r="1" ht="68" customHeight="1" spans="1:25">
      <c r="A1" s="24" t="s">
        <v>2462</v>
      </c>
      <c r="B1" s="25"/>
      <c r="C1" s="25"/>
      <c r="D1" s="25"/>
      <c r="E1" s="25"/>
      <c r="F1" s="25"/>
      <c r="G1" s="25"/>
      <c r="H1" s="25"/>
      <c r="I1" s="25"/>
      <c r="J1" s="25"/>
      <c r="K1" s="25"/>
      <c r="L1" s="25"/>
      <c r="M1" s="25"/>
      <c r="N1" s="25"/>
      <c r="O1" s="25"/>
      <c r="P1" s="25"/>
      <c r="Q1" s="25"/>
      <c r="R1" s="25"/>
      <c r="S1" s="25"/>
      <c r="T1" s="25"/>
      <c r="U1" s="25"/>
      <c r="V1" s="25"/>
      <c r="W1" s="25"/>
      <c r="X1" s="25"/>
      <c r="Y1" s="26"/>
    </row>
    <row r="2" s="22" customFormat="1" ht="70" spans="1:25">
      <c r="A2" s="27" t="s">
        <v>0</v>
      </c>
      <c r="B2" s="28" t="s">
        <v>10</v>
      </c>
      <c r="C2" s="28" t="s">
        <v>12</v>
      </c>
      <c r="D2" s="27" t="s">
        <v>14</v>
      </c>
      <c r="E2" s="27" t="s">
        <v>15</v>
      </c>
      <c r="F2" s="27" t="s">
        <v>17</v>
      </c>
      <c r="G2" s="27" t="s">
        <v>18</v>
      </c>
      <c r="H2" s="29" t="s">
        <v>2463</v>
      </c>
      <c r="I2" s="27" t="s">
        <v>2464</v>
      </c>
      <c r="J2" s="27" t="s">
        <v>2465</v>
      </c>
      <c r="K2" s="27" t="s">
        <v>2466</v>
      </c>
      <c r="L2" s="27" t="s">
        <v>2467</v>
      </c>
      <c r="M2" s="27" t="s">
        <v>39</v>
      </c>
      <c r="N2" s="30" t="s">
        <v>40</v>
      </c>
      <c r="O2" s="31" t="s">
        <v>2468</v>
      </c>
      <c r="P2" s="32" t="s">
        <v>2113</v>
      </c>
      <c r="Q2" s="28" t="s">
        <v>2469</v>
      </c>
      <c r="R2" s="28" t="s">
        <v>2470</v>
      </c>
      <c r="S2" s="28" t="s">
        <v>2471</v>
      </c>
      <c r="T2" s="28" t="s">
        <v>2472</v>
      </c>
      <c r="U2" s="28">
        <v>1.16</v>
      </c>
      <c r="V2" s="28">
        <v>1.23</v>
      </c>
      <c r="W2" s="28">
        <v>1.26</v>
      </c>
      <c r="X2" s="28">
        <v>2.2</v>
      </c>
      <c r="Y2" s="28">
        <v>2.6</v>
      </c>
    </row>
    <row r="3" ht="168" customHeight="1" spans="1:25">
      <c r="A3" s="33">
        <v>1</v>
      </c>
      <c r="B3" s="34" t="s">
        <v>2473</v>
      </c>
      <c r="C3" s="34" t="s">
        <v>2474</v>
      </c>
      <c r="D3" s="33" t="s">
        <v>310</v>
      </c>
      <c r="E3" s="33" t="s">
        <v>1156</v>
      </c>
      <c r="F3" s="33" t="s">
        <v>2475</v>
      </c>
      <c r="G3" s="33" t="s">
        <v>1589</v>
      </c>
      <c r="H3" s="33" t="s">
        <v>2476</v>
      </c>
      <c r="I3" s="35" t="s">
        <v>84</v>
      </c>
      <c r="J3" s="33" t="s">
        <v>85</v>
      </c>
      <c r="K3" s="33" t="s">
        <v>2477</v>
      </c>
      <c r="L3" s="33" t="s">
        <v>2478</v>
      </c>
      <c r="M3" s="33" t="s">
        <v>97</v>
      </c>
      <c r="N3" s="34" t="s">
        <v>369</v>
      </c>
      <c r="O3" s="36" t="s">
        <v>2479</v>
      </c>
      <c r="P3" s="34" t="s">
        <v>2480</v>
      </c>
      <c r="Q3" s="34" t="s">
        <v>2481</v>
      </c>
      <c r="R3" s="34" t="s">
        <v>2482</v>
      </c>
      <c r="S3" s="34" t="s">
        <v>2483</v>
      </c>
      <c r="T3" s="34" t="s">
        <v>2484</v>
      </c>
      <c r="U3" s="34" t="s">
        <v>2485</v>
      </c>
      <c r="V3" s="34" t="s">
        <v>2486</v>
      </c>
      <c r="W3" s="34"/>
      <c r="X3" s="34"/>
      <c r="Y3" s="34"/>
    </row>
    <row r="4" ht="168" customHeight="1" spans="1:25">
      <c r="A4" s="33">
        <v>2</v>
      </c>
      <c r="B4" s="37" t="s">
        <v>2487</v>
      </c>
      <c r="C4" s="37" t="s">
        <v>2488</v>
      </c>
      <c r="D4" s="38" t="s">
        <v>310</v>
      </c>
      <c r="E4" s="38" t="s">
        <v>520</v>
      </c>
      <c r="F4" s="38" t="s">
        <v>2023</v>
      </c>
      <c r="G4" s="38" t="s">
        <v>2489</v>
      </c>
      <c r="H4" s="38" t="s">
        <v>586</v>
      </c>
      <c r="I4" s="39" t="s">
        <v>84</v>
      </c>
      <c r="J4" s="38" t="s">
        <v>85</v>
      </c>
      <c r="K4" s="38" t="s">
        <v>2490</v>
      </c>
      <c r="L4" s="38" t="s">
        <v>2491</v>
      </c>
      <c r="M4" s="38" t="s">
        <v>97</v>
      </c>
      <c r="N4" s="37" t="s">
        <v>97</v>
      </c>
      <c r="O4" s="37" t="s">
        <v>2492</v>
      </c>
      <c r="P4" s="37" t="s">
        <v>2493</v>
      </c>
      <c r="Q4" s="37" t="s">
        <v>2494</v>
      </c>
      <c r="R4" s="34" t="s">
        <v>2495</v>
      </c>
      <c r="S4" s="37" t="s">
        <v>2496</v>
      </c>
      <c r="T4" s="34" t="s">
        <v>2497</v>
      </c>
      <c r="U4" s="37" t="s">
        <v>2498</v>
      </c>
      <c r="V4" s="37"/>
      <c r="W4" s="37"/>
      <c r="X4" s="37"/>
      <c r="Y4" s="37"/>
    </row>
    <row r="5" ht="168" customHeight="1" spans="1:25">
      <c r="A5" s="33">
        <v>3</v>
      </c>
      <c r="B5" s="37" t="s">
        <v>2499</v>
      </c>
      <c r="C5" s="37" t="s">
        <v>2500</v>
      </c>
      <c r="D5" s="38" t="s">
        <v>1352</v>
      </c>
      <c r="E5" s="38" t="s">
        <v>1895</v>
      </c>
      <c r="F5" s="38" t="s">
        <v>2023</v>
      </c>
      <c r="G5" s="38" t="s">
        <v>2501</v>
      </c>
      <c r="H5" s="38" t="s">
        <v>81</v>
      </c>
      <c r="I5" s="39" t="s">
        <v>84</v>
      </c>
      <c r="J5" s="38" t="s">
        <v>85</v>
      </c>
      <c r="K5" s="38" t="s">
        <v>2502</v>
      </c>
      <c r="L5" s="38" t="s">
        <v>146</v>
      </c>
      <c r="M5" s="38" t="s">
        <v>85</v>
      </c>
      <c r="N5" s="37" t="s">
        <v>1184</v>
      </c>
      <c r="O5" s="37" t="s">
        <v>2503</v>
      </c>
      <c r="P5" s="37" t="s">
        <v>2504</v>
      </c>
      <c r="Q5" s="37" t="s">
        <v>2505</v>
      </c>
      <c r="R5" s="34" t="s">
        <v>2506</v>
      </c>
      <c r="S5" s="37" t="s">
        <v>2507</v>
      </c>
      <c r="T5" s="34" t="s">
        <v>2508</v>
      </c>
      <c r="U5" s="37" t="s">
        <v>2509</v>
      </c>
      <c r="V5" s="37"/>
      <c r="W5" s="37" t="s">
        <v>2510</v>
      </c>
      <c r="X5" s="37"/>
      <c r="Y5" s="37"/>
    </row>
    <row r="6" ht="168" customHeight="1" spans="1:25">
      <c r="A6" s="33">
        <v>4</v>
      </c>
      <c r="B6" s="37" t="s">
        <v>1179</v>
      </c>
      <c r="C6" s="37" t="s">
        <v>1180</v>
      </c>
      <c r="D6" s="38" t="s">
        <v>310</v>
      </c>
      <c r="E6" s="38" t="s">
        <v>1895</v>
      </c>
      <c r="F6" s="38" t="s">
        <v>2313</v>
      </c>
      <c r="G6" s="38" t="s">
        <v>2237</v>
      </c>
      <c r="H6" s="38" t="s">
        <v>2511</v>
      </c>
      <c r="I6" s="39" t="s">
        <v>84</v>
      </c>
      <c r="J6" s="38" t="s">
        <v>85</v>
      </c>
      <c r="K6" s="38" t="s">
        <v>2502</v>
      </c>
      <c r="L6" s="38" t="s">
        <v>146</v>
      </c>
      <c r="M6" s="38" t="s">
        <v>85</v>
      </c>
      <c r="N6" s="37" t="s">
        <v>2239</v>
      </c>
      <c r="O6" s="37" t="s">
        <v>2512</v>
      </c>
      <c r="P6" s="37" t="s">
        <v>2513</v>
      </c>
      <c r="Q6" s="37" t="s">
        <v>2514</v>
      </c>
      <c r="R6" s="34" t="s">
        <v>2515</v>
      </c>
      <c r="S6" s="37" t="s">
        <v>2516</v>
      </c>
      <c r="T6" s="34" t="s">
        <v>2517</v>
      </c>
      <c r="U6" s="37" t="s">
        <v>2518</v>
      </c>
      <c r="V6" s="37" t="s">
        <v>2519</v>
      </c>
      <c r="W6" s="37" t="s">
        <v>2242</v>
      </c>
      <c r="X6" s="37"/>
      <c r="Y6" s="37" t="s">
        <v>2520</v>
      </c>
    </row>
    <row r="7" ht="168" customHeight="1" spans="1:25">
      <c r="A7" s="33">
        <v>5</v>
      </c>
      <c r="B7" s="37" t="s">
        <v>2521</v>
      </c>
      <c r="C7" s="37" t="s">
        <v>2522</v>
      </c>
      <c r="D7" s="38" t="s">
        <v>310</v>
      </c>
      <c r="E7" s="38" t="s">
        <v>1895</v>
      </c>
      <c r="F7" s="38" t="s">
        <v>1506</v>
      </c>
      <c r="G7" s="38" t="s">
        <v>2363</v>
      </c>
      <c r="H7" s="38" t="s">
        <v>2365</v>
      </c>
      <c r="I7" s="39" t="s">
        <v>84</v>
      </c>
      <c r="J7" s="38" t="s">
        <v>85</v>
      </c>
      <c r="K7" s="38" t="s">
        <v>2502</v>
      </c>
      <c r="L7" s="38" t="s">
        <v>146</v>
      </c>
      <c r="M7" s="38" t="s">
        <v>85</v>
      </c>
      <c r="N7" s="37" t="s">
        <v>2523</v>
      </c>
      <c r="O7" s="37" t="s">
        <v>2524</v>
      </c>
      <c r="P7" s="37" t="s">
        <v>2525</v>
      </c>
      <c r="Q7" s="37" t="s">
        <v>2526</v>
      </c>
      <c r="R7" s="34" t="s">
        <v>2515</v>
      </c>
      <c r="S7" s="37" t="s">
        <v>2527</v>
      </c>
      <c r="T7" s="34" t="s">
        <v>2528</v>
      </c>
      <c r="U7" s="37" t="s">
        <v>2529</v>
      </c>
      <c r="V7" s="37"/>
      <c r="W7" s="37"/>
      <c r="X7" s="37"/>
      <c r="Y7" s="37" t="s">
        <v>2530</v>
      </c>
    </row>
    <row r="8" ht="168" customHeight="1" spans="1:25">
      <c r="A8" s="33">
        <v>6</v>
      </c>
      <c r="B8" s="37" t="s">
        <v>2531</v>
      </c>
      <c r="C8" s="37" t="s">
        <v>2532</v>
      </c>
      <c r="D8" s="38" t="s">
        <v>310</v>
      </c>
      <c r="E8" s="38" t="s">
        <v>2533</v>
      </c>
      <c r="F8" s="38" t="s">
        <v>2534</v>
      </c>
      <c r="G8" s="38" t="s">
        <v>2535</v>
      </c>
      <c r="H8" s="38" t="s">
        <v>2536</v>
      </c>
      <c r="I8" s="39" t="s">
        <v>84</v>
      </c>
      <c r="J8" s="38" t="s">
        <v>85</v>
      </c>
      <c r="K8" s="38" t="s">
        <v>2502</v>
      </c>
      <c r="L8" s="38" t="s">
        <v>146</v>
      </c>
      <c r="M8" s="38" t="s">
        <v>85</v>
      </c>
      <c r="N8" s="37" t="s">
        <v>2537</v>
      </c>
      <c r="O8" s="37" t="s">
        <v>2538</v>
      </c>
      <c r="P8" s="37" t="s">
        <v>2539</v>
      </c>
      <c r="Q8" s="37" t="s">
        <v>2540</v>
      </c>
      <c r="R8" s="34" t="s">
        <v>2541</v>
      </c>
      <c r="S8" s="37" t="s">
        <v>2542</v>
      </c>
      <c r="T8" s="34" t="s">
        <v>2543</v>
      </c>
      <c r="U8" s="37" t="s">
        <v>2544</v>
      </c>
      <c r="V8" s="37"/>
      <c r="W8" s="37"/>
      <c r="X8" s="37"/>
      <c r="Y8" s="37"/>
    </row>
    <row r="9" ht="168" customHeight="1" spans="1:25">
      <c r="A9" s="33">
        <v>7</v>
      </c>
      <c r="B9" s="37" t="s">
        <v>2545</v>
      </c>
      <c r="C9" s="37" t="s">
        <v>2546</v>
      </c>
      <c r="D9" s="38" t="s">
        <v>879</v>
      </c>
      <c r="E9" s="38" t="s">
        <v>674</v>
      </c>
      <c r="F9" s="38" t="s">
        <v>2023</v>
      </c>
      <c r="G9" s="38" t="s">
        <v>1700</v>
      </c>
      <c r="H9" s="38" t="s">
        <v>2547</v>
      </c>
      <c r="I9" s="39" t="s">
        <v>84</v>
      </c>
      <c r="J9" s="38" t="s">
        <v>85</v>
      </c>
      <c r="K9" s="38" t="s">
        <v>2502</v>
      </c>
      <c r="L9" s="38" t="s">
        <v>146</v>
      </c>
      <c r="M9" s="38" t="s">
        <v>85</v>
      </c>
      <c r="N9" s="37" t="s">
        <v>1184</v>
      </c>
      <c r="O9" s="37" t="s">
        <v>2548</v>
      </c>
      <c r="P9" s="37" t="s">
        <v>2548</v>
      </c>
      <c r="Q9" s="37" t="s">
        <v>2549</v>
      </c>
      <c r="R9" s="34" t="s">
        <v>2506</v>
      </c>
      <c r="S9" s="37" t="s">
        <v>2550</v>
      </c>
      <c r="T9" s="34" t="s">
        <v>2551</v>
      </c>
      <c r="U9" s="37" t="s">
        <v>2552</v>
      </c>
      <c r="V9" s="37"/>
      <c r="W9" s="37"/>
      <c r="X9" s="37"/>
      <c r="Y9" s="37"/>
    </row>
    <row r="10" ht="168" customHeight="1" spans="1:25">
      <c r="A10" s="33">
        <v>8</v>
      </c>
      <c r="B10" s="37" t="s">
        <v>2553</v>
      </c>
      <c r="C10" s="37" t="s">
        <v>2554</v>
      </c>
      <c r="D10" s="38" t="s">
        <v>310</v>
      </c>
      <c r="E10" s="38" t="s">
        <v>520</v>
      </c>
      <c r="F10" s="38" t="s">
        <v>2305</v>
      </c>
      <c r="G10" s="38" t="s">
        <v>2555</v>
      </c>
      <c r="H10" s="38" t="s">
        <v>81</v>
      </c>
      <c r="I10" s="39" t="s">
        <v>84</v>
      </c>
      <c r="J10" s="38" t="s">
        <v>85</v>
      </c>
      <c r="K10" s="38" t="s">
        <v>2502</v>
      </c>
      <c r="L10" s="38" t="s">
        <v>146</v>
      </c>
      <c r="M10" s="38" t="s">
        <v>97</v>
      </c>
      <c r="N10" s="37" t="s">
        <v>1819</v>
      </c>
      <c r="O10" s="37" t="s">
        <v>2556</v>
      </c>
      <c r="P10" s="37" t="s">
        <v>2557</v>
      </c>
      <c r="Q10" s="37" t="s">
        <v>2558</v>
      </c>
      <c r="R10" s="37" t="s">
        <v>2559</v>
      </c>
      <c r="S10" s="37" t="s">
        <v>2560</v>
      </c>
      <c r="T10" s="34" t="s">
        <v>2561</v>
      </c>
      <c r="U10" s="37" t="s">
        <v>2562</v>
      </c>
      <c r="V10" s="37"/>
      <c r="W10" s="37"/>
      <c r="X10" s="37"/>
      <c r="Y10" s="37" t="s">
        <v>2563</v>
      </c>
    </row>
    <row r="11" ht="168" customHeight="1" spans="1:25">
      <c r="A11" s="33">
        <v>9</v>
      </c>
      <c r="B11" s="37" t="s">
        <v>747</v>
      </c>
      <c r="C11" s="37" t="s">
        <v>2564</v>
      </c>
      <c r="D11" s="38" t="s">
        <v>879</v>
      </c>
      <c r="E11" s="38" t="s">
        <v>674</v>
      </c>
      <c r="F11" s="38" t="s">
        <v>2002</v>
      </c>
      <c r="G11" s="38" t="s">
        <v>2565</v>
      </c>
      <c r="H11" s="38" t="s">
        <v>81</v>
      </c>
      <c r="I11" s="39" t="s">
        <v>84</v>
      </c>
      <c r="J11" s="38" t="s">
        <v>85</v>
      </c>
      <c r="K11" s="38" t="s">
        <v>2502</v>
      </c>
      <c r="L11" s="38" t="s">
        <v>146</v>
      </c>
      <c r="M11" s="38" t="s">
        <v>85</v>
      </c>
      <c r="N11" s="37" t="s">
        <v>1184</v>
      </c>
      <c r="O11" s="37" t="s">
        <v>2548</v>
      </c>
      <c r="P11" s="37" t="s">
        <v>2548</v>
      </c>
      <c r="Q11" s="37" t="s">
        <v>2566</v>
      </c>
      <c r="R11" s="34" t="s">
        <v>2506</v>
      </c>
      <c r="S11" s="37" t="s">
        <v>2567</v>
      </c>
      <c r="T11" s="34" t="s">
        <v>2568</v>
      </c>
      <c r="U11" s="37" t="s">
        <v>2569</v>
      </c>
      <c r="V11" s="37"/>
      <c r="W11" s="37"/>
      <c r="X11" s="37"/>
      <c r="Y11" s="37"/>
    </row>
    <row r="12" ht="168" customHeight="1" spans="1:25">
      <c r="A12" s="33">
        <v>10</v>
      </c>
      <c r="B12" s="37" t="s">
        <v>1468</v>
      </c>
      <c r="C12" s="37" t="s">
        <v>2570</v>
      </c>
      <c r="D12" s="38" t="s">
        <v>879</v>
      </c>
      <c r="E12" s="38" t="s">
        <v>674</v>
      </c>
      <c r="F12" s="38" t="s">
        <v>2571</v>
      </c>
      <c r="G12" s="38" t="s">
        <v>2572</v>
      </c>
      <c r="H12" s="38" t="s">
        <v>2573</v>
      </c>
      <c r="I12" s="38" t="s">
        <v>84</v>
      </c>
      <c r="J12" s="38" t="s">
        <v>97</v>
      </c>
      <c r="K12" s="38" t="s">
        <v>2502</v>
      </c>
      <c r="L12" s="38" t="s">
        <v>146</v>
      </c>
      <c r="M12" s="38" t="s">
        <v>85</v>
      </c>
      <c r="N12" s="37" t="s">
        <v>1184</v>
      </c>
      <c r="O12" s="37" t="s">
        <v>2574</v>
      </c>
      <c r="P12" s="37" t="s">
        <v>2575</v>
      </c>
      <c r="Q12" s="37" t="s">
        <v>2576</v>
      </c>
      <c r="R12" s="34" t="s">
        <v>2506</v>
      </c>
      <c r="S12" s="37" t="s">
        <v>2577</v>
      </c>
      <c r="T12" s="37" t="s">
        <v>2578</v>
      </c>
      <c r="U12" s="37" t="s">
        <v>2579</v>
      </c>
      <c r="V12" s="37" t="s">
        <v>2580</v>
      </c>
      <c r="W12" s="37"/>
      <c r="X12" s="37"/>
      <c r="Y12" s="37"/>
    </row>
    <row r="13" ht="168" customHeight="1" spans="1:25">
      <c r="A13" s="33">
        <v>11</v>
      </c>
      <c r="B13" s="37" t="s">
        <v>1716</v>
      </c>
      <c r="C13" s="37" t="s">
        <v>1717</v>
      </c>
      <c r="D13" s="38" t="s">
        <v>310</v>
      </c>
      <c r="E13" s="38" t="s">
        <v>520</v>
      </c>
      <c r="F13" s="38" t="s">
        <v>2571</v>
      </c>
      <c r="G13" s="38" t="s">
        <v>1720</v>
      </c>
      <c r="H13" s="38" t="s">
        <v>2581</v>
      </c>
      <c r="I13" s="38" t="s">
        <v>2582</v>
      </c>
      <c r="J13" s="38" t="s">
        <v>369</v>
      </c>
      <c r="K13" s="38" t="s">
        <v>2583</v>
      </c>
      <c r="L13" s="38" t="s">
        <v>1810</v>
      </c>
      <c r="M13" s="38" t="s">
        <v>97</v>
      </c>
      <c r="N13" s="37" t="s">
        <v>369</v>
      </c>
      <c r="O13" s="37" t="s">
        <v>2584</v>
      </c>
      <c r="P13" s="37" t="s">
        <v>2585</v>
      </c>
      <c r="Q13" s="37" t="s">
        <v>2586</v>
      </c>
      <c r="R13" s="34" t="s">
        <v>2495</v>
      </c>
      <c r="S13" s="37" t="s">
        <v>2587</v>
      </c>
      <c r="T13" s="37" t="s">
        <v>2588</v>
      </c>
      <c r="U13" s="37" t="s">
        <v>2589</v>
      </c>
      <c r="V13" s="37"/>
      <c r="W13" s="37"/>
      <c r="X13" s="37"/>
      <c r="Y13" s="37"/>
    </row>
    <row r="14" ht="168" customHeight="1" spans="1:25">
      <c r="A14" s="33">
        <v>12</v>
      </c>
      <c r="B14" s="37" t="s">
        <v>783</v>
      </c>
      <c r="C14" s="37" t="s">
        <v>780</v>
      </c>
      <c r="D14" s="38" t="s">
        <v>879</v>
      </c>
      <c r="E14" s="38" t="s">
        <v>2590</v>
      </c>
      <c r="F14" s="38" t="s">
        <v>2591</v>
      </c>
      <c r="G14" s="38" t="s">
        <v>784</v>
      </c>
      <c r="H14" s="38" t="s">
        <v>785</v>
      </c>
      <c r="I14" s="38" t="s">
        <v>84</v>
      </c>
      <c r="J14" s="38" t="s">
        <v>1001</v>
      </c>
      <c r="K14" s="38" t="s">
        <v>2583</v>
      </c>
      <c r="L14" s="38" t="s">
        <v>2339</v>
      </c>
      <c r="M14" s="38" t="s">
        <v>97</v>
      </c>
      <c r="N14" s="37" t="s">
        <v>2592</v>
      </c>
      <c r="O14" s="37" t="s">
        <v>2593</v>
      </c>
      <c r="P14" s="37" t="s">
        <v>2594</v>
      </c>
      <c r="Q14" s="37" t="s">
        <v>2595</v>
      </c>
      <c r="R14" s="34" t="s">
        <v>2541</v>
      </c>
      <c r="S14" s="37" t="s">
        <v>2596</v>
      </c>
      <c r="T14" s="37" t="s">
        <v>2597</v>
      </c>
      <c r="U14" s="37" t="s">
        <v>2598</v>
      </c>
      <c r="V14" s="37" t="s">
        <v>2599</v>
      </c>
      <c r="W14" s="37"/>
      <c r="X14" s="37"/>
      <c r="Y14" s="37" t="s">
        <v>2600</v>
      </c>
    </row>
    <row r="15" ht="168" customHeight="1" spans="1:25">
      <c r="A15" s="33">
        <v>13</v>
      </c>
      <c r="B15" s="37" t="s">
        <v>2601</v>
      </c>
      <c r="C15" s="37" t="s">
        <v>388</v>
      </c>
      <c r="D15" s="38" t="s">
        <v>310</v>
      </c>
      <c r="E15" s="38" t="s">
        <v>2602</v>
      </c>
      <c r="F15" s="38" t="s">
        <v>2603</v>
      </c>
      <c r="G15" s="38" t="s">
        <v>2604</v>
      </c>
      <c r="H15" s="38" t="s">
        <v>2605</v>
      </c>
      <c r="I15" s="38" t="s">
        <v>84</v>
      </c>
      <c r="J15" s="38" t="s">
        <v>1001</v>
      </c>
      <c r="K15" s="38" t="s">
        <v>2583</v>
      </c>
      <c r="L15" s="38" t="s">
        <v>146</v>
      </c>
      <c r="M15" s="38" t="s">
        <v>85</v>
      </c>
      <c r="N15" s="37" t="s">
        <v>1184</v>
      </c>
      <c r="O15" s="37" t="s">
        <v>2606</v>
      </c>
      <c r="P15" s="37" t="s">
        <v>2607</v>
      </c>
      <c r="Q15" s="37" t="s">
        <v>2608</v>
      </c>
      <c r="R15" s="34" t="s">
        <v>2609</v>
      </c>
      <c r="S15" s="37" t="s">
        <v>2610</v>
      </c>
      <c r="T15" s="37" t="s">
        <v>2611</v>
      </c>
      <c r="U15" s="37"/>
      <c r="V15" s="37"/>
      <c r="W15" s="37"/>
      <c r="X15" s="37"/>
      <c r="Y15" s="37"/>
    </row>
    <row r="16" ht="168" customHeight="1" spans="1:25">
      <c r="A16" s="33">
        <v>14</v>
      </c>
      <c r="B16" s="37" t="s">
        <v>2352</v>
      </c>
      <c r="C16" s="37" t="s">
        <v>1635</v>
      </c>
      <c r="D16" s="38" t="s">
        <v>310</v>
      </c>
      <c r="E16" s="38" t="s">
        <v>1639</v>
      </c>
      <c r="F16" s="38" t="s">
        <v>2261</v>
      </c>
      <c r="G16" s="38" t="s">
        <v>1638</v>
      </c>
      <c r="H16" s="38" t="s">
        <v>1639</v>
      </c>
      <c r="I16" s="38" t="s">
        <v>84</v>
      </c>
      <c r="J16" s="38" t="s">
        <v>1001</v>
      </c>
      <c r="K16" s="38" t="s">
        <v>2583</v>
      </c>
      <c r="L16" s="38" t="s">
        <v>2612</v>
      </c>
      <c r="M16" s="38" t="s">
        <v>97</v>
      </c>
      <c r="N16" s="37" t="s">
        <v>369</v>
      </c>
      <c r="O16" s="37" t="s">
        <v>2613</v>
      </c>
      <c r="P16" s="37" t="s">
        <v>2614</v>
      </c>
      <c r="Q16" s="37" t="s">
        <v>2615</v>
      </c>
      <c r="R16" s="37" t="s">
        <v>2616</v>
      </c>
      <c r="S16" s="37" t="s">
        <v>2614</v>
      </c>
      <c r="T16" s="37" t="s">
        <v>2617</v>
      </c>
      <c r="U16" s="37" t="s">
        <v>2618</v>
      </c>
      <c r="V16" s="37" t="s">
        <v>2619</v>
      </c>
      <c r="W16" s="37" t="s">
        <v>2620</v>
      </c>
      <c r="X16" s="37"/>
      <c r="Y16" s="37"/>
    </row>
    <row r="17" ht="168" customHeight="1" spans="1:25">
      <c r="A17" s="33">
        <v>15</v>
      </c>
      <c r="B17" s="37" t="s">
        <v>2621</v>
      </c>
      <c r="C17" s="37" t="s">
        <v>1680</v>
      </c>
      <c r="D17" s="38" t="s">
        <v>310</v>
      </c>
      <c r="E17" s="38" t="s">
        <v>2183</v>
      </c>
      <c r="F17" s="38" t="s">
        <v>2622</v>
      </c>
      <c r="G17" s="38" t="s">
        <v>2182</v>
      </c>
      <c r="H17" s="38" t="s">
        <v>2623</v>
      </c>
      <c r="I17" s="38" t="s">
        <v>84</v>
      </c>
      <c r="J17" s="38" t="s">
        <v>1001</v>
      </c>
      <c r="K17" s="38" t="s">
        <v>2583</v>
      </c>
      <c r="L17" s="38" t="s">
        <v>206</v>
      </c>
      <c r="M17" s="38" t="s">
        <v>85</v>
      </c>
      <c r="N17" s="37" t="s">
        <v>1184</v>
      </c>
      <c r="O17" s="37" t="s">
        <v>2624</v>
      </c>
      <c r="P17" s="37" t="s">
        <v>2625</v>
      </c>
      <c r="Q17" s="37" t="s">
        <v>2626</v>
      </c>
      <c r="R17" s="34" t="s">
        <v>2627</v>
      </c>
      <c r="S17" s="37" t="s">
        <v>2628</v>
      </c>
      <c r="T17" s="37" t="s">
        <v>2629</v>
      </c>
      <c r="U17" s="37"/>
      <c r="V17" s="37" t="s">
        <v>2630</v>
      </c>
      <c r="W17" s="37" t="s">
        <v>2631</v>
      </c>
      <c r="X17" s="37" t="s">
        <v>2632</v>
      </c>
      <c r="Y17" s="37" t="s">
        <v>2633</v>
      </c>
    </row>
    <row r="18" ht="17.5" spans="1:25">
      <c r="A18" s="33">
        <v>16</v>
      </c>
      <c r="B18" s="40"/>
      <c r="C18" s="40"/>
      <c r="D18" s="41"/>
      <c r="E18" s="41"/>
      <c r="F18" s="41"/>
      <c r="G18" s="41"/>
      <c r="H18" s="41"/>
      <c r="I18" s="41"/>
      <c r="J18" s="41"/>
      <c r="K18" s="41"/>
      <c r="L18" s="41"/>
      <c r="M18" s="41"/>
      <c r="N18" s="40"/>
      <c r="O18" s="40"/>
      <c r="P18" s="40"/>
      <c r="Q18" s="40"/>
      <c r="R18" s="40"/>
      <c r="S18" s="40"/>
      <c r="T18" s="40"/>
      <c r="U18" s="40"/>
      <c r="V18" s="40"/>
      <c r="W18" s="40"/>
      <c r="X18" s="40"/>
      <c r="Y18" s="40"/>
    </row>
    <row r="19" ht="17.5" spans="1:25">
      <c r="A19" s="33">
        <v>17</v>
      </c>
      <c r="B19" s="40"/>
      <c r="C19" s="40"/>
      <c r="D19" s="41"/>
      <c r="E19" s="41"/>
      <c r="F19" s="41"/>
      <c r="G19" s="41"/>
      <c r="H19" s="41"/>
      <c r="I19" s="41"/>
      <c r="J19" s="41"/>
      <c r="K19" s="41"/>
      <c r="L19" s="41"/>
      <c r="M19" s="41"/>
      <c r="N19" s="40"/>
      <c r="O19" s="40"/>
      <c r="P19" s="40"/>
      <c r="Q19" s="40"/>
      <c r="R19" s="40"/>
      <c r="S19" s="40"/>
      <c r="T19" s="40"/>
      <c r="U19" s="40"/>
      <c r="V19" s="40"/>
      <c r="W19" s="40"/>
      <c r="X19" s="40"/>
      <c r="Y19" s="40"/>
    </row>
    <row r="20" ht="17.5" spans="1:25">
      <c r="A20" s="33">
        <v>18</v>
      </c>
      <c r="B20" s="40"/>
      <c r="C20" s="40"/>
      <c r="D20" s="41"/>
      <c r="E20" s="41"/>
      <c r="F20" s="41"/>
      <c r="G20" s="41"/>
      <c r="H20" s="41"/>
      <c r="I20" s="41"/>
      <c r="J20" s="41"/>
      <c r="K20" s="41"/>
      <c r="L20" s="41"/>
      <c r="M20" s="41"/>
      <c r="N20" s="40"/>
      <c r="O20" s="40"/>
      <c r="P20" s="40"/>
      <c r="Q20" s="40"/>
      <c r="R20" s="40"/>
      <c r="S20" s="40"/>
      <c r="T20" s="40"/>
      <c r="U20" s="40"/>
      <c r="V20" s="40"/>
      <c r="W20" s="40"/>
      <c r="X20" s="40"/>
      <c r="Y20" s="40"/>
    </row>
    <row r="21" ht="17.5" spans="1:25">
      <c r="A21" s="33">
        <v>19</v>
      </c>
      <c r="B21" s="40"/>
      <c r="C21" s="40"/>
      <c r="D21" s="41"/>
      <c r="E21" s="41"/>
      <c r="F21" s="41"/>
      <c r="G21" s="41"/>
      <c r="H21" s="41"/>
      <c r="I21" s="41"/>
      <c r="J21" s="41"/>
      <c r="K21" s="41"/>
      <c r="L21" s="41"/>
      <c r="M21" s="41"/>
      <c r="N21" s="40"/>
      <c r="O21" s="40"/>
      <c r="P21" s="40"/>
      <c r="Q21" s="40"/>
      <c r="R21" s="40"/>
      <c r="S21" s="40"/>
      <c r="T21" s="40"/>
      <c r="U21" s="40"/>
      <c r="V21" s="40"/>
      <c r="W21" s="40"/>
      <c r="X21" s="40"/>
      <c r="Y21" s="40"/>
    </row>
    <row r="22" ht="17.5" spans="1:25">
      <c r="A22" s="33">
        <v>20</v>
      </c>
      <c r="B22" s="40"/>
      <c r="C22" s="40"/>
      <c r="D22" s="41"/>
      <c r="E22" s="41"/>
      <c r="F22" s="41"/>
      <c r="G22" s="41"/>
      <c r="H22" s="41"/>
      <c r="I22" s="41"/>
      <c r="J22" s="41"/>
      <c r="K22" s="41"/>
      <c r="L22" s="41"/>
      <c r="M22" s="41"/>
      <c r="N22" s="40"/>
      <c r="O22" s="40"/>
      <c r="P22" s="40"/>
      <c r="Q22" s="40"/>
      <c r="R22" s="40"/>
      <c r="S22" s="40"/>
      <c r="T22" s="40"/>
      <c r="U22" s="40"/>
      <c r="V22" s="40"/>
      <c r="W22" s="40"/>
      <c r="X22" s="40"/>
      <c r="Y22" s="40"/>
    </row>
    <row r="23" ht="17.5" spans="1:25">
      <c r="A23" s="33">
        <v>21</v>
      </c>
      <c r="B23" s="40"/>
      <c r="C23" s="40"/>
      <c r="D23" s="41"/>
      <c r="E23" s="41"/>
      <c r="F23" s="41"/>
      <c r="G23" s="41"/>
      <c r="H23" s="41"/>
      <c r="I23" s="41"/>
      <c r="J23" s="41"/>
      <c r="K23" s="41"/>
      <c r="L23" s="41"/>
      <c r="M23" s="41"/>
      <c r="N23" s="40"/>
      <c r="O23" s="40"/>
      <c r="P23" s="40"/>
      <c r="Q23" s="40"/>
      <c r="R23" s="40"/>
      <c r="S23" s="40"/>
      <c r="T23" s="40"/>
      <c r="U23" s="40"/>
      <c r="V23" s="40"/>
      <c r="W23" s="40"/>
      <c r="X23" s="40"/>
      <c r="Y23" s="40"/>
    </row>
    <row r="24" ht="17.5" spans="1:25">
      <c r="A24" s="33">
        <v>22</v>
      </c>
      <c r="B24" s="40"/>
      <c r="C24" s="40"/>
      <c r="D24" s="41"/>
      <c r="E24" s="41"/>
      <c r="F24" s="41"/>
      <c r="G24" s="41"/>
      <c r="H24" s="41"/>
      <c r="I24" s="41"/>
      <c r="J24" s="41"/>
      <c r="K24" s="41"/>
      <c r="L24" s="41"/>
      <c r="M24" s="41"/>
      <c r="N24" s="40"/>
      <c r="O24" s="40"/>
      <c r="P24" s="40"/>
      <c r="Q24" s="40"/>
      <c r="R24" s="40"/>
      <c r="S24" s="40"/>
      <c r="T24" s="40"/>
      <c r="U24" s="40"/>
      <c r="V24" s="40"/>
      <c r="W24" s="40"/>
      <c r="X24" s="40"/>
      <c r="Y24" s="40"/>
    </row>
    <row r="25" ht="17.5" spans="1:25">
      <c r="A25" s="33">
        <v>23</v>
      </c>
      <c r="B25" s="40"/>
      <c r="C25" s="40"/>
      <c r="D25" s="41"/>
      <c r="E25" s="41"/>
      <c r="F25" s="41"/>
      <c r="G25" s="41"/>
      <c r="H25" s="41"/>
      <c r="I25" s="41"/>
      <c r="J25" s="41"/>
      <c r="K25" s="41"/>
      <c r="L25" s="41"/>
      <c r="M25" s="41"/>
      <c r="N25" s="40"/>
      <c r="O25" s="40"/>
      <c r="P25" s="40"/>
      <c r="Q25" s="40"/>
      <c r="R25" s="40"/>
      <c r="S25" s="40"/>
      <c r="T25" s="40"/>
      <c r="U25" s="40"/>
      <c r="V25" s="40"/>
      <c r="W25" s="40"/>
      <c r="X25" s="40"/>
      <c r="Y25" s="40"/>
    </row>
    <row r="26" ht="17.5" spans="1:25">
      <c r="A26" s="33">
        <v>24</v>
      </c>
      <c r="B26" s="40"/>
      <c r="C26" s="40"/>
      <c r="D26" s="41"/>
      <c r="E26" s="41"/>
      <c r="F26" s="41"/>
      <c r="G26" s="41"/>
      <c r="H26" s="41"/>
      <c r="I26" s="41"/>
      <c r="J26" s="41"/>
      <c r="K26" s="41"/>
      <c r="L26" s="41"/>
      <c r="M26" s="41"/>
      <c r="N26" s="40"/>
      <c r="O26" s="40"/>
      <c r="P26" s="40"/>
      <c r="Q26" s="40"/>
      <c r="R26" s="40"/>
      <c r="S26" s="40"/>
      <c r="T26" s="40"/>
      <c r="U26" s="40"/>
      <c r="V26" s="40"/>
      <c r="W26" s="40"/>
      <c r="X26" s="40"/>
      <c r="Y26" s="40"/>
    </row>
    <row r="27" ht="17.5" spans="1:25">
      <c r="A27" s="33">
        <v>25</v>
      </c>
      <c r="B27" s="40"/>
      <c r="C27" s="40"/>
      <c r="D27" s="41"/>
      <c r="E27" s="41"/>
      <c r="F27" s="41"/>
      <c r="G27" s="41"/>
      <c r="H27" s="41"/>
      <c r="I27" s="41"/>
      <c r="J27" s="41"/>
      <c r="K27" s="41"/>
      <c r="L27" s="41"/>
      <c r="M27" s="41"/>
      <c r="N27" s="40"/>
      <c r="O27" s="40"/>
      <c r="P27" s="40"/>
      <c r="Q27" s="40"/>
      <c r="R27" s="40"/>
      <c r="S27" s="40"/>
      <c r="T27" s="40"/>
      <c r="U27" s="40"/>
      <c r="V27" s="40"/>
      <c r="W27" s="40"/>
      <c r="X27" s="40"/>
      <c r="Y27" s="40"/>
    </row>
    <row r="28" ht="17.5" spans="1:25">
      <c r="A28" s="33">
        <v>26</v>
      </c>
      <c r="B28" s="40"/>
      <c r="C28" s="40"/>
      <c r="D28" s="41"/>
      <c r="E28" s="41"/>
      <c r="F28" s="41"/>
      <c r="G28" s="41"/>
      <c r="H28" s="41"/>
      <c r="I28" s="41"/>
      <c r="J28" s="41"/>
      <c r="K28" s="41"/>
      <c r="L28" s="41"/>
      <c r="M28" s="41"/>
      <c r="N28" s="40"/>
      <c r="O28" s="40"/>
      <c r="P28" s="40"/>
      <c r="Q28" s="40"/>
      <c r="R28" s="40"/>
      <c r="S28" s="40"/>
      <c r="T28" s="40"/>
      <c r="U28" s="40"/>
      <c r="V28" s="40"/>
      <c r="W28" s="40"/>
      <c r="X28" s="40"/>
      <c r="Y28" s="40"/>
    </row>
    <row r="29" ht="17.5" spans="1:25">
      <c r="A29" s="33">
        <v>27</v>
      </c>
      <c r="B29" s="40"/>
      <c r="C29" s="40"/>
      <c r="D29" s="41"/>
      <c r="E29" s="41"/>
      <c r="F29" s="41"/>
      <c r="G29" s="41"/>
      <c r="H29" s="41"/>
      <c r="I29" s="41"/>
      <c r="J29" s="41"/>
      <c r="K29" s="41"/>
      <c r="L29" s="41"/>
      <c r="M29" s="41"/>
      <c r="N29" s="40"/>
      <c r="O29" s="40"/>
      <c r="P29" s="40"/>
      <c r="Q29" s="40"/>
      <c r="R29" s="40"/>
      <c r="S29" s="40"/>
      <c r="T29" s="40"/>
      <c r="U29" s="40"/>
      <c r="V29" s="40"/>
      <c r="W29" s="40"/>
      <c r="X29" s="40"/>
      <c r="Y29" s="40"/>
    </row>
  </sheetData>
  <sheetProtection formatCells="0" formatColumns="0" formatRows="0" insertRows="0" insertColumns="0" insertHyperlinks="0" deleteColumns="0" deleteRows="0" sort="0" autoFilter="0" pivotTables="0"/>
  <mergeCells count="1">
    <mergeCell ref="A1:Y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M8"/>
  <sheetViews>
    <sheetView workbookViewId="0">
      <selection activeCell="J16" sqref="J16"/>
    </sheetView>
  </sheetViews>
  <sheetFormatPr defaultColWidth="11" defaultRowHeight="15.5" outlineLevelRow="7"/>
  <cols>
    <col min="1" max="1" width="6" customWidth="1"/>
    <col min="2" max="2" width="23.1615384615385" style="2" customWidth="1"/>
    <col min="3" max="3" width="18.6615384615385" customWidth="1"/>
    <col min="4" max="4" width="8" customWidth="1"/>
    <col min="5" max="5" width="13" customWidth="1"/>
    <col min="6" max="6" width="16.3307692307692" customWidth="1"/>
    <col min="7" max="7" width="14.1615384615385" customWidth="1"/>
    <col min="8" max="8" width="8" customWidth="1"/>
    <col min="9" max="9" width="10" customWidth="1"/>
    <col min="10" max="10" width="35.3307692307692" style="2" customWidth="1"/>
    <col min="11" max="11" width="39.3307692307692" style="2" customWidth="1"/>
    <col min="12" max="12" width="23.8307692307692" customWidth="1"/>
  </cols>
  <sheetData>
    <row r="1" ht="30" customHeight="1" spans="1:13">
      <c r="A1" s="3" t="s">
        <v>2634</v>
      </c>
      <c r="B1" s="4"/>
      <c r="C1" s="4"/>
      <c r="D1" s="4"/>
      <c r="E1" s="4"/>
      <c r="F1" s="4"/>
      <c r="G1" s="4"/>
      <c r="H1" s="4"/>
      <c r="I1" s="4"/>
      <c r="J1" s="4"/>
      <c r="K1" s="15"/>
    </row>
    <row r="2" ht="30" customHeight="1" spans="1:13">
      <c r="A2" s="16" t="s">
        <v>0</v>
      </c>
      <c r="B2" s="17" t="s">
        <v>10</v>
      </c>
      <c r="C2" s="16" t="s">
        <v>2112</v>
      </c>
      <c r="D2" s="16" t="s">
        <v>18</v>
      </c>
      <c r="E2" s="16" t="s">
        <v>19</v>
      </c>
      <c r="F2" s="16" t="s">
        <v>2635</v>
      </c>
      <c r="G2" s="16" t="s">
        <v>2636</v>
      </c>
      <c r="H2" s="16" t="s">
        <v>18</v>
      </c>
      <c r="I2" s="16" t="s">
        <v>2101</v>
      </c>
      <c r="J2" s="18" t="s">
        <v>2637</v>
      </c>
      <c r="K2" s="19"/>
      <c r="L2" s="18"/>
      <c r="M2" s="19"/>
    </row>
    <row r="3" ht="45" spans="1:13">
      <c r="A3" s="8">
        <v>1</v>
      </c>
      <c r="B3" s="14" t="s">
        <v>2638</v>
      </c>
      <c r="C3" s="10" t="s">
        <v>2639</v>
      </c>
      <c r="D3" s="8" t="s">
        <v>2640</v>
      </c>
      <c r="E3" s="8">
        <v>15151992496</v>
      </c>
      <c r="F3" s="20">
        <v>45940</v>
      </c>
      <c r="G3" s="8" t="s">
        <v>2641</v>
      </c>
      <c r="H3" s="8" t="s">
        <v>2642</v>
      </c>
      <c r="I3" s="8" t="s">
        <v>97</v>
      </c>
      <c r="J3" s="9" t="s">
        <v>2643</v>
      </c>
      <c r="K3" s="9" t="s">
        <v>2644</v>
      </c>
      <c r="L3" s="21" t="s">
        <v>2645</v>
      </c>
      <c r="M3" s="9"/>
    </row>
    <row r="4" ht="30" spans="1:13">
      <c r="A4" s="8">
        <v>2</v>
      </c>
      <c r="B4" s="9" t="s">
        <v>2646</v>
      </c>
      <c r="C4" s="8" t="s">
        <v>2647</v>
      </c>
      <c r="D4" s="8" t="s">
        <v>1622</v>
      </c>
      <c r="E4" s="8">
        <v>13809079787</v>
      </c>
      <c r="F4" s="20">
        <v>45929</v>
      </c>
      <c r="G4" s="8" t="s">
        <v>2648</v>
      </c>
      <c r="H4" s="8" t="s">
        <v>2649</v>
      </c>
      <c r="I4" s="8" t="s">
        <v>85</v>
      </c>
      <c r="J4" s="9" t="s">
        <v>2650</v>
      </c>
      <c r="K4" s="9" t="s">
        <v>2651</v>
      </c>
      <c r="L4" s="9"/>
      <c r="M4" s="9"/>
    </row>
    <row r="5" ht="30" spans="1:13">
      <c r="A5" s="8">
        <v>3</v>
      </c>
      <c r="B5" s="9" t="s">
        <v>2646</v>
      </c>
      <c r="C5" s="8" t="s">
        <v>2652</v>
      </c>
      <c r="D5" s="8" t="s">
        <v>1622</v>
      </c>
      <c r="E5" s="8">
        <v>13809079787</v>
      </c>
      <c r="F5" s="20">
        <v>45925</v>
      </c>
      <c r="G5" s="8" t="s">
        <v>2653</v>
      </c>
      <c r="H5" s="8" t="s">
        <v>2654</v>
      </c>
      <c r="I5" s="8" t="s">
        <v>97</v>
      </c>
      <c r="J5" s="9" t="s">
        <v>2655</v>
      </c>
      <c r="K5" s="9" t="s">
        <v>2656</v>
      </c>
      <c r="L5" s="9"/>
      <c r="M5" s="9"/>
    </row>
    <row r="6" ht="45" spans="1:13">
      <c r="A6" s="8">
        <v>4</v>
      </c>
      <c r="B6" s="14" t="s">
        <v>2657</v>
      </c>
      <c r="C6" s="8" t="s">
        <v>2658</v>
      </c>
      <c r="D6" s="8" t="s">
        <v>2659</v>
      </c>
      <c r="E6" s="8">
        <v>18661129722</v>
      </c>
      <c r="F6" s="20">
        <v>45860</v>
      </c>
      <c r="G6" s="8" t="s">
        <v>2660</v>
      </c>
      <c r="H6" s="8" t="s">
        <v>2661</v>
      </c>
      <c r="I6" s="8" t="s">
        <v>97</v>
      </c>
      <c r="J6" s="9" t="s">
        <v>2662</v>
      </c>
      <c r="K6" s="9" t="s">
        <v>2663</v>
      </c>
      <c r="L6" s="9"/>
      <c r="M6" s="9"/>
    </row>
    <row r="7" ht="60" spans="1:13">
      <c r="A7" s="8">
        <v>5</v>
      </c>
      <c r="B7" s="14" t="s">
        <v>2657</v>
      </c>
      <c r="C7" s="8" t="s">
        <v>2664</v>
      </c>
      <c r="D7" s="8" t="s">
        <v>2659</v>
      </c>
      <c r="E7" s="8">
        <v>18661129722</v>
      </c>
      <c r="F7" s="20">
        <v>45895</v>
      </c>
      <c r="G7" s="8" t="s">
        <v>2665</v>
      </c>
      <c r="H7" s="8" t="s">
        <v>2666</v>
      </c>
      <c r="I7" s="8" t="s">
        <v>97</v>
      </c>
      <c r="J7" s="9" t="s">
        <v>2667</v>
      </c>
      <c r="K7" s="14" t="s">
        <v>2668</v>
      </c>
      <c r="L7" s="9"/>
      <c r="M7" s="9"/>
    </row>
    <row r="8" ht="45" spans="1:13">
      <c r="A8" s="8">
        <v>6</v>
      </c>
      <c r="B8" s="9" t="s">
        <v>2646</v>
      </c>
      <c r="C8" s="8" t="s">
        <v>2669</v>
      </c>
      <c r="D8" s="8" t="s">
        <v>1622</v>
      </c>
      <c r="E8" s="8">
        <v>13809079787</v>
      </c>
      <c r="F8" s="20">
        <v>45950</v>
      </c>
      <c r="G8" s="8" t="s">
        <v>2670</v>
      </c>
      <c r="H8" s="8" t="s">
        <v>2671</v>
      </c>
      <c r="I8" s="8" t="s">
        <v>97</v>
      </c>
      <c r="J8" s="9" t="s">
        <v>2672</v>
      </c>
      <c r="K8" s="9" t="s">
        <v>2673</v>
      </c>
      <c r="L8" s="9"/>
      <c r="M8" s="9"/>
    </row>
  </sheetData>
  <sheetProtection formatCells="0" formatColumns="0" formatRows="0" insertRows="0" insertColumns="0" insertHyperlinks="0" deleteColumns="0" deleteRows="0" sort="0" autoFilter="0" pivotTables="0"/>
  <mergeCells count="3">
    <mergeCell ref="A1:J1"/>
    <mergeCell ref="J2:K2"/>
    <mergeCell ref="L2:M2"/>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I19"/>
  <sheetViews>
    <sheetView workbookViewId="0">
      <selection activeCell="G29" sqref="G29"/>
    </sheetView>
  </sheetViews>
  <sheetFormatPr defaultColWidth="11" defaultRowHeight="15.5"/>
  <cols>
    <col min="1" max="2" width="23.3307692307692" customWidth="1"/>
    <col min="3" max="3" width="23.3307692307692" style="2" customWidth="1"/>
    <col min="4" max="8" width="23.3307692307692" customWidth="1"/>
  </cols>
  <sheetData>
    <row r="1" s="1" customFormat="1" ht="22" customHeight="1" spans="1:9">
      <c r="A1" s="3" t="s">
        <v>2674</v>
      </c>
      <c r="B1" s="4"/>
      <c r="C1" s="4"/>
      <c r="D1" s="4"/>
      <c r="E1" s="4"/>
      <c r="F1" s="4"/>
      <c r="G1" s="4"/>
      <c r="H1" s="4"/>
    </row>
    <row r="2" s="1" customFormat="1" ht="25" customHeight="1" spans="1:9">
      <c r="A2" s="5" t="s">
        <v>0</v>
      </c>
      <c r="B2" s="5" t="s">
        <v>2675</v>
      </c>
      <c r="C2" s="6" t="s">
        <v>2676</v>
      </c>
      <c r="D2" s="5" t="s">
        <v>2677</v>
      </c>
      <c r="E2" s="5" t="s">
        <v>2678</v>
      </c>
      <c r="F2" s="5" t="s">
        <v>2679</v>
      </c>
      <c r="G2" s="5" t="s">
        <v>2680</v>
      </c>
      <c r="H2" s="5" t="s">
        <v>2681</v>
      </c>
      <c r="I2" s="7" t="s">
        <v>2682</v>
      </c>
    </row>
    <row r="3" ht="30" spans="1:9">
      <c r="A3" s="8">
        <v>1</v>
      </c>
      <c r="B3" s="8" t="s">
        <v>2683</v>
      </c>
      <c r="C3" s="9" t="s">
        <v>2684</v>
      </c>
      <c r="D3" s="10" t="s">
        <v>2648</v>
      </c>
      <c r="E3" s="8">
        <v>2000</v>
      </c>
      <c r="F3" s="8" t="s">
        <v>85</v>
      </c>
      <c r="G3" s="11">
        <v>45897</v>
      </c>
      <c r="H3" s="12" t="s">
        <v>85</v>
      </c>
      <c r="I3" s="13" t="s">
        <v>88</v>
      </c>
    </row>
    <row r="4" ht="30" spans="1:9">
      <c r="A4" s="8">
        <v>2</v>
      </c>
      <c r="B4" s="8" t="s">
        <v>2683</v>
      </c>
      <c r="C4" s="9" t="s">
        <v>2685</v>
      </c>
      <c r="D4" s="10" t="s">
        <v>2665</v>
      </c>
      <c r="E4" s="8">
        <v>2000</v>
      </c>
      <c r="F4" s="8" t="s">
        <v>85</v>
      </c>
      <c r="G4" s="11">
        <v>45965</v>
      </c>
      <c r="H4" s="12" t="s">
        <v>85</v>
      </c>
      <c r="I4" s="13" t="s">
        <v>88</v>
      </c>
    </row>
    <row r="5" ht="45" spans="1:9">
      <c r="A5" s="8">
        <v>3</v>
      </c>
      <c r="B5" s="8" t="s">
        <v>2686</v>
      </c>
      <c r="C5" s="9" t="s">
        <v>2687</v>
      </c>
      <c r="D5" s="8" t="s">
        <v>2688</v>
      </c>
      <c r="E5" s="8" t="s">
        <v>2689</v>
      </c>
      <c r="F5" s="8" t="s">
        <v>85</v>
      </c>
      <c r="G5" s="11">
        <v>45961</v>
      </c>
      <c r="H5" s="12" t="s">
        <v>85</v>
      </c>
      <c r="I5" s="13" t="s">
        <v>88</v>
      </c>
    </row>
    <row r="6" spans="1:9">
      <c r="A6" s="8">
        <v>4</v>
      </c>
      <c r="B6" s="8" t="s">
        <v>2683</v>
      </c>
      <c r="C6" s="14" t="s">
        <v>2690</v>
      </c>
      <c r="D6" s="10" t="s">
        <v>2648</v>
      </c>
      <c r="E6" s="8" t="s">
        <v>2691</v>
      </c>
      <c r="F6" s="8" t="s">
        <v>85</v>
      </c>
      <c r="G6" s="11">
        <v>46013</v>
      </c>
      <c r="H6" s="12" t="s">
        <v>85</v>
      </c>
      <c r="I6" s="13" t="s">
        <v>88</v>
      </c>
    </row>
    <row r="7" spans="1:9">
      <c r="A7" s="8">
        <v>5</v>
      </c>
      <c r="B7" s="8"/>
      <c r="C7" s="14"/>
      <c r="D7" s="8"/>
      <c r="E7" s="8"/>
      <c r="F7" s="8"/>
      <c r="G7" s="8"/>
      <c r="H7" s="12"/>
      <c r="I7" s="13"/>
    </row>
    <row r="8" spans="1:9">
      <c r="A8" s="8">
        <v>6</v>
      </c>
      <c r="B8" s="8"/>
      <c r="C8" s="14"/>
      <c r="D8" s="8"/>
      <c r="E8" s="8"/>
      <c r="F8" s="8"/>
      <c r="G8" s="8"/>
      <c r="H8" s="12"/>
      <c r="I8" s="13"/>
    </row>
    <row r="9" spans="1:9">
      <c r="A9" s="8">
        <v>7</v>
      </c>
      <c r="B9" s="8"/>
      <c r="C9" s="14"/>
      <c r="D9" s="8"/>
      <c r="E9" s="8"/>
      <c r="F9" s="8"/>
      <c r="G9" s="8"/>
      <c r="H9" s="12"/>
      <c r="I9" s="13"/>
    </row>
    <row r="10" spans="1:9">
      <c r="A10" s="8">
        <v>8</v>
      </c>
      <c r="B10" s="8"/>
      <c r="C10" s="14"/>
      <c r="D10" s="8"/>
      <c r="E10" s="8"/>
      <c r="F10" s="8"/>
      <c r="G10" s="8"/>
      <c r="H10" s="12"/>
      <c r="I10" s="13"/>
    </row>
    <row r="11" spans="1:9">
      <c r="A11" s="8">
        <v>9</v>
      </c>
      <c r="B11" s="8"/>
      <c r="C11" s="14"/>
      <c r="D11" s="8"/>
      <c r="E11" s="8"/>
      <c r="F11" s="8"/>
      <c r="G11" s="8"/>
      <c r="H11" s="12"/>
      <c r="I11" s="13"/>
    </row>
    <row r="12" spans="1:9">
      <c r="A12" s="8">
        <v>10</v>
      </c>
      <c r="B12" s="8"/>
      <c r="C12" s="14"/>
      <c r="D12" s="8"/>
      <c r="E12" s="8"/>
      <c r="F12" s="8"/>
      <c r="G12" s="8"/>
      <c r="H12" s="12"/>
      <c r="I12" s="13"/>
    </row>
    <row r="13" spans="1:9">
      <c r="A13" s="8">
        <v>11</v>
      </c>
      <c r="B13" s="8"/>
      <c r="C13" s="14"/>
      <c r="D13" s="8"/>
      <c r="E13" s="8"/>
      <c r="F13" s="8"/>
      <c r="G13" s="8"/>
      <c r="H13" s="12"/>
      <c r="I13" s="13"/>
    </row>
    <row r="14" spans="1:9">
      <c r="A14" s="8">
        <v>12</v>
      </c>
      <c r="B14" s="8"/>
      <c r="C14" s="14"/>
      <c r="D14" s="8"/>
      <c r="E14" s="8"/>
      <c r="F14" s="8"/>
      <c r="G14" s="8"/>
      <c r="H14" s="12"/>
      <c r="I14" s="13"/>
    </row>
    <row r="15" spans="1:9">
      <c r="A15" s="8">
        <v>13</v>
      </c>
      <c r="B15" s="8"/>
      <c r="C15" s="14"/>
      <c r="D15" s="8"/>
      <c r="E15" s="8"/>
      <c r="F15" s="8"/>
      <c r="G15" s="8"/>
      <c r="H15" s="12"/>
      <c r="I15" s="13"/>
    </row>
    <row r="16" spans="1:9">
      <c r="A16" s="8">
        <v>14</v>
      </c>
      <c r="B16" s="8"/>
      <c r="C16" s="14"/>
      <c r="D16" s="8"/>
      <c r="E16" s="8"/>
      <c r="F16" s="8"/>
      <c r="G16" s="8"/>
      <c r="H16" s="12"/>
      <c r="I16" s="13"/>
    </row>
    <row r="17" spans="1:9">
      <c r="A17" s="8">
        <v>15</v>
      </c>
      <c r="B17" s="8"/>
      <c r="C17" s="14"/>
      <c r="D17" s="8"/>
      <c r="E17" s="8"/>
      <c r="F17" s="8"/>
      <c r="G17" s="8"/>
      <c r="H17" s="12"/>
      <c r="I17" s="13"/>
    </row>
    <row r="18" spans="1:9">
      <c r="A18" s="8">
        <v>16</v>
      </c>
      <c r="B18" s="8"/>
      <c r="C18" s="14"/>
      <c r="D18" s="8"/>
      <c r="E18" s="8"/>
      <c r="F18" s="8"/>
      <c r="G18" s="8"/>
      <c r="H18" s="12"/>
      <c r="I18" s="13"/>
    </row>
    <row r="19" spans="1:9">
      <c r="A19" s="8">
        <v>17</v>
      </c>
      <c r="B19" s="8"/>
      <c r="C19" s="14"/>
      <c r="D19" s="8"/>
      <c r="E19" s="8"/>
      <c r="F19" s="8"/>
      <c r="G19" s="8"/>
      <c r="H19" s="12"/>
      <c r="I19" s="13"/>
    </row>
  </sheetData>
  <sheetProtection formatCells="0" formatColumns="0" formatRows="0" insertRows="0" insertColumns="0" insertHyperlinks="0" deleteColumns="0" deleteRows="0" sort="0" autoFilter="0" pivotTables="0"/>
  <mergeCells count="1">
    <mergeCell ref="A1:H1"/>
  </mergeCells>
  <pageMargins left="0.7" right="0.7" top="0.75" bottom="0.75" header="0.3" footer="0.3"/>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224D003E-15C9-4FFE-AB16-9E66474EAE4E}">
  <ds:schemaRefs/>
</ds:datastoreItem>
</file>

<file path=customXml/itemProps2.xml><?xml version="1.0" encoding="utf-8"?>
<ds:datastoreItem xmlns:ds="http://schemas.openxmlformats.org/officeDocument/2006/customXml" ds:itemID="{06C82605-B75B-4693-9329-32AAD527C692}">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7</vt:i4>
      </vt:variant>
    </vt:vector>
  </HeadingPairs>
  <TitlesOfParts>
    <vt:vector size="7" baseType="lpstr">
      <vt:lpstr>1.1 常州市产业带调研</vt:lpstr>
      <vt:lpstr>1.2 产业带调研汇总表</vt:lpstr>
      <vt:lpstr>2.1 周度建联企业情况表</vt:lpstr>
      <vt:lpstr>2.2 企业周报</vt:lpstr>
      <vt:lpstr>3.1 重点企业情况分析</vt:lpstr>
      <vt:lpstr>4.1 商业化意向表</vt:lpstr>
      <vt:lpstr>5.1 商业化收入统计表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Qianer JU</dc:creator>
  <cp:lastModifiedBy>Administrator</cp:lastModifiedBy>
  <dcterms:created xsi:type="dcterms:W3CDTF">2026-03-23T10:12:00Z</dcterms:created>
  <dcterms:modified xsi:type="dcterms:W3CDTF">2026-04-07T03:55:50Z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CalculationRule">
    <vt:i4>0</vt:i4>
  </property>
  <property fmtid="{D5CDD505-2E9C-101B-9397-08002B2CF9AE}" pid="4" name="ICV">
    <vt:lpwstr>933A24DF2A45427B8BEE6346084999C7_13</vt:lpwstr>
  </property>
</Properties>
</file>